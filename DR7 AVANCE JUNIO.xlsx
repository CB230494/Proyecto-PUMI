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3EDA2DEC-D9F1-4590-BF93-B0FF3D99DA47}" xr6:coauthVersionLast="47" xr6:coauthVersionMax="47" xr10:uidLastSave="{00000000-0000-0000-0000-000000000000}"/>
  <bookViews>
    <workbookView xWindow="-120" yWindow="-120" windowWidth="29040" windowHeight="15720" activeTab="3" xr2:uid="{00000000-000D-0000-FFFF-FFFF00000000}"/>
  </bookViews>
  <sheets>
    <sheet name="D79 Perez Zeledón" sheetId="1" r:id="rId1"/>
    <sheet name="D80 Buenos Aires" sheetId="2" r:id="rId2"/>
    <sheet name="D81 Osa" sheetId="3" r:id="rId3"/>
    <sheet name="Total Región" sheetId="4" r:id="rId4"/>
  </sheets>
  <externalReferences>
    <externalReference r:id="rId5"/>
    <externalReference r:id="rId6"/>
    <externalReference r:id="rId7"/>
    <externalReference r:id="rId8"/>
  </externalReferences>
  <definedNames>
    <definedName name="ABANG" localSheetId="1">[1]DAT2!#REF!</definedName>
    <definedName name="ABANG" localSheetId="2">[2]DAT2!#REF!</definedName>
    <definedName name="ABANG" localSheetId="3">[3]DAT2!#REF!</definedName>
    <definedName name="ABANG">[4]DAT2!#REF!</definedName>
    <definedName name="ACOS" localSheetId="1">[1]DAT2!#REF!</definedName>
    <definedName name="ACOS" localSheetId="2">[2]DAT2!#REF!</definedName>
    <definedName name="ACOS" localSheetId="3">[3]DAT2!#REF!</definedName>
    <definedName name="ACOS">[4]DAT2!#REF!</definedName>
    <definedName name="ALAJU" localSheetId="1">[1]DAT2!#REF!</definedName>
    <definedName name="ALAJU" localSheetId="2">[2]DAT2!#REF!</definedName>
    <definedName name="ALAJU" localSheetId="3">[3]DAT2!#REF!</definedName>
    <definedName name="ALAJU">[4]DAT2!#REF!</definedName>
    <definedName name="ALAJUE" localSheetId="1">[1]DAT2!#REF!</definedName>
    <definedName name="ALAJUE" localSheetId="2">[2]DAT2!#REF!</definedName>
    <definedName name="ALAJUE" localSheetId="3">[3]DAT2!#REF!</definedName>
    <definedName name="ALAJUE">[4]DAT2!#REF!</definedName>
    <definedName name="ALVA" localSheetId="1">[1]DAT2!#REF!</definedName>
    <definedName name="ALVA" localSheetId="2">[2]DAT2!#REF!</definedName>
    <definedName name="ALVA" localSheetId="3">[3]DAT2!#REF!</definedName>
    <definedName name="ALVA">[4]DAT2!#REF!</definedName>
    <definedName name="ASERR" localSheetId="1">[1]DAT2!#REF!</definedName>
    <definedName name="ASERR" localSheetId="2">[2]DAT2!#REF!</definedName>
    <definedName name="ASERR" localSheetId="3">[3]DAT2!#REF!</definedName>
    <definedName name="ASERR">[4]DAT2!#REF!</definedName>
    <definedName name="ATE" localSheetId="1">[1]DAT2!#REF!</definedName>
    <definedName name="ATE" localSheetId="2">[2]DAT2!#REF!</definedName>
    <definedName name="ATE" localSheetId="3">[3]DAT2!#REF!</definedName>
    <definedName name="ATE">[4]DAT2!#REF!</definedName>
    <definedName name="BAGAC" localSheetId="1">[1]DAT2!#REF!</definedName>
    <definedName name="BAGAC" localSheetId="2">[2]DAT2!#REF!</definedName>
    <definedName name="BAGAC" localSheetId="3">[3]DAT2!#REF!</definedName>
    <definedName name="BAGAC">[4]DAT2!#REF!</definedName>
    <definedName name="BARV" localSheetId="1">[1]DAT2!#REF!</definedName>
    <definedName name="BARV" localSheetId="2">[2]DAT2!#REF!</definedName>
    <definedName name="BARV" localSheetId="3">[3]DAT2!#REF!</definedName>
    <definedName name="BARV">[4]DAT2!#REF!</definedName>
    <definedName name="BEL" localSheetId="1">[1]DAT2!#REF!</definedName>
    <definedName name="BEL" localSheetId="2">[2]DAT2!#REF!</definedName>
    <definedName name="BEL" localSheetId="3">[3]DAT2!#REF!</definedName>
    <definedName name="BEL">[4]DAT2!#REF!</definedName>
    <definedName name="BUEN" localSheetId="1">[1]DAT2!#REF!</definedName>
    <definedName name="BUEN" localSheetId="2">[2]DAT2!#REF!</definedName>
    <definedName name="BUEN" localSheetId="3">[3]DAT2!#REF!</definedName>
    <definedName name="BUEN">[4]DAT2!#REF!</definedName>
    <definedName name="CANTÓNN">[4]!Tabla103[#All]</definedName>
    <definedName name="CAÑ" localSheetId="1">[1]DAT2!#REF!</definedName>
    <definedName name="CAÑ" localSheetId="2">[2]DAT2!#REF!</definedName>
    <definedName name="CAÑ" localSheetId="3">[3]DAT2!#REF!</definedName>
    <definedName name="CAÑ">[4]DAT2!#REF!</definedName>
    <definedName name="CARR" localSheetId="1">[1]DAT2!#REF!</definedName>
    <definedName name="CARR" localSheetId="2">[2]DAT2!#REF!</definedName>
    <definedName name="CARR" localSheetId="3">[3]DAT2!#REF!</definedName>
    <definedName name="CARR">[4]DAT2!#REF!</definedName>
    <definedName name="CARTAG" localSheetId="1">[1]DAT2!#REF!</definedName>
    <definedName name="CARTAG" localSheetId="2">[2]DAT2!#REF!</definedName>
    <definedName name="CARTAG" localSheetId="3">[3]DAT2!#REF!</definedName>
    <definedName name="CARTAG">[4]DAT2!#REF!</definedName>
    <definedName name="CORR" localSheetId="1">[1]DAT2!#REF!</definedName>
    <definedName name="CORR" localSheetId="2">[2]DAT2!#REF!</definedName>
    <definedName name="CORR" localSheetId="3">[3]DAT2!#REF!</definedName>
    <definedName name="CORR">[4]DAT2!#REF!</definedName>
    <definedName name="COTB" localSheetId="1">[1]DAT2!#REF!</definedName>
    <definedName name="COTB" localSheetId="2">[2]DAT2!#REF!</definedName>
    <definedName name="COTB" localSheetId="3">[3]DAT2!#REF!</definedName>
    <definedName name="COTB">[4]DAT2!#REF!</definedName>
    <definedName name="CURRI" localSheetId="1">[1]DAT2!#REF!</definedName>
    <definedName name="CURRI" localSheetId="2">[2]DAT2!#REF!</definedName>
    <definedName name="CURRI" localSheetId="3">[3]DAT2!#REF!</definedName>
    <definedName name="CURRI">[4]DAT2!#REF!</definedName>
    <definedName name="DESAMP" localSheetId="1">[1]DAT2!#REF!</definedName>
    <definedName name="DESAMP" localSheetId="2">[2]DAT2!#REF!</definedName>
    <definedName name="DESAMP" localSheetId="3">[3]DAT2!#REF!</definedName>
    <definedName name="DESAMP">[4]DAT2!#REF!</definedName>
    <definedName name="DISTRI" localSheetId="1">#REF!</definedName>
    <definedName name="DISTRI" localSheetId="2">#REF!</definedName>
    <definedName name="DISTRI" localSheetId="3">#REF!</definedName>
    <definedName name="DISTRI">#REF!</definedName>
    <definedName name="DOTA" localSheetId="1">[1]DAT2!#REF!</definedName>
    <definedName name="DOTA" localSheetId="2">[2]DAT2!#REF!</definedName>
    <definedName name="DOTA" localSheetId="3">[3]DAT2!#REF!</definedName>
    <definedName name="DOTA">[4]DAT2!#REF!</definedName>
    <definedName name="ELGUA" localSheetId="1">[1]DAT2!#REF!</definedName>
    <definedName name="ELGUA" localSheetId="2">[2]DAT2!#REF!</definedName>
    <definedName name="ELGUA" localSheetId="3">[3]DAT2!#REF!</definedName>
    <definedName name="ELGUA">[4]DAT2!#REF!</definedName>
    <definedName name="ESCAZ" localSheetId="1">[1]DAT2!#REF!</definedName>
    <definedName name="ESCAZ" localSheetId="2">[2]DAT2!#REF!</definedName>
    <definedName name="ESCAZ" localSheetId="3">[3]DAT2!#REF!</definedName>
    <definedName name="ESCAZ">[4]DAT2!#REF!</definedName>
    <definedName name="ESPA" localSheetId="1">[1]DAT2!#REF!</definedName>
    <definedName name="ESPA" localSheetId="2">[2]DAT2!#REF!</definedName>
    <definedName name="ESPA" localSheetId="3">[3]DAT2!#REF!</definedName>
    <definedName name="ESPA">[4]DAT2!#REF!</definedName>
    <definedName name="FLOR" localSheetId="1">[1]DAT2!#REF!</definedName>
    <definedName name="FLOR" localSheetId="2">[2]DAT2!#REF!</definedName>
    <definedName name="FLOR" localSheetId="3">[3]DAT2!#REF!</definedName>
    <definedName name="FLOR">[4]DAT2!#REF!</definedName>
    <definedName name="GARAB" localSheetId="1">[1]DAT2!#REF!</definedName>
    <definedName name="GARAB" localSheetId="2">[2]DAT2!#REF!</definedName>
    <definedName name="GARAB" localSheetId="3">[3]DAT2!#REF!</definedName>
    <definedName name="GARAB">[4]DAT2!#REF!</definedName>
    <definedName name="GOIC" localSheetId="1">[1]DAT2!#REF!</definedName>
    <definedName name="GOIC" localSheetId="2">[2]DAT2!#REF!</definedName>
    <definedName name="GOIC" localSheetId="3">[3]DAT2!#REF!</definedName>
    <definedName name="GOIC">[4]DAT2!#REF!</definedName>
    <definedName name="GOLF" localSheetId="1">[1]DAT2!#REF!</definedName>
    <definedName name="GOLF" localSheetId="2">[2]DAT2!#REF!</definedName>
    <definedName name="GOLF" localSheetId="3">[3]DAT2!#REF!</definedName>
    <definedName name="GOLF">[4]DAT2!#REF!</definedName>
    <definedName name="GREC" localSheetId="1">[1]DAT2!#REF!</definedName>
    <definedName name="GREC" localSheetId="2">[2]DAT2!#REF!</definedName>
    <definedName name="GREC" localSheetId="3">[3]DAT2!#REF!</definedName>
    <definedName name="GREC">[4]DAT2!#REF!</definedName>
    <definedName name="GUAC" localSheetId="1">[1]DAT2!#REF!</definedName>
    <definedName name="GUAC" localSheetId="2">[2]DAT2!#REF!</definedName>
    <definedName name="GUAC" localSheetId="3">[3]DAT2!#REF!</definedName>
    <definedName name="GUAC">[4]DAT2!#REF!</definedName>
    <definedName name="GUATU" localSheetId="1">[1]DAT2!#REF!</definedName>
    <definedName name="GUATU" localSheetId="2">[2]DAT2!#REF!</definedName>
    <definedName name="GUATU" localSheetId="3">[3]DAT2!#REF!</definedName>
    <definedName name="GUATU">[4]DAT2!#REF!</definedName>
    <definedName name="HERED" localSheetId="1">[1]DAT2!#REF!</definedName>
    <definedName name="HERED" localSheetId="2">[2]DAT2!#REF!</definedName>
    <definedName name="HERED" localSheetId="3">[3]DAT2!#REF!</definedName>
    <definedName name="HERED">[4]DAT2!#REF!</definedName>
    <definedName name="HOJA" localSheetId="1">[1]DAT2!#REF!</definedName>
    <definedName name="HOJA" localSheetId="2">[2]DAT2!#REF!</definedName>
    <definedName name="HOJA" localSheetId="3">[3]DAT2!#REF!</definedName>
    <definedName name="HOJA">[4]DAT2!#REF!</definedName>
    <definedName name="JE">[4]!Tabla103[#All]</definedName>
    <definedName name="jes">[4]!Tabla103[#All]</definedName>
    <definedName name="JIME" localSheetId="1">[1]DAT2!#REF!</definedName>
    <definedName name="JIME" localSheetId="2">[2]DAT2!#REF!</definedName>
    <definedName name="JIME" localSheetId="3">[3]DAT2!#REF!</definedName>
    <definedName name="JIME">[4]DAT2!#REF!</definedName>
    <definedName name="LACRU" localSheetId="1">[1]DAT2!#REF!</definedName>
    <definedName name="LACRU" localSheetId="2">[2]DAT2!#REF!</definedName>
    <definedName name="LACRU" localSheetId="3">[3]DAT2!#REF!</definedName>
    <definedName name="LACRU">[4]DAT2!#REF!</definedName>
    <definedName name="LAUN" localSheetId="1">[1]DAT2!#REF!</definedName>
    <definedName name="LAUN" localSheetId="2">[2]DAT2!#REF!</definedName>
    <definedName name="LAUN" localSheetId="3">[3]DAT2!#REF!</definedName>
    <definedName name="LAUN">[4]DAT2!#REF!</definedName>
    <definedName name="LEO" localSheetId="1">[1]DAT1!#REF!</definedName>
    <definedName name="LEO" localSheetId="2">[2]DAT1!#REF!</definedName>
    <definedName name="LEO" localSheetId="3">[3]DAT1!#REF!</definedName>
    <definedName name="LEO">[4]DAT1!#REF!</definedName>
    <definedName name="LIB" localSheetId="1">[1]DAT2!#REF!</definedName>
    <definedName name="LIB" localSheetId="2">[2]DAT2!#REF!</definedName>
    <definedName name="LIB" localSheetId="3">[3]DAT2!#REF!</definedName>
    <definedName name="LIB">[4]DAT2!#REF!</definedName>
    <definedName name="LIM" localSheetId="1">[1]DAT2!#REF!</definedName>
    <definedName name="LIM" localSheetId="2">[2]DAT2!#REF!</definedName>
    <definedName name="LIM" localSheetId="3">[3]DAT2!#REF!</definedName>
    <definedName name="LIM">[4]DAT2!#REF!</definedName>
    <definedName name="LOSCHI" localSheetId="1">[1]DAT2!#REF!</definedName>
    <definedName name="LOSCHI" localSheetId="2">[2]DAT2!#REF!</definedName>
    <definedName name="LOSCHI" localSheetId="3">[3]DAT2!#REF!</definedName>
    <definedName name="LOSCHI">[4]DAT2!#REF!</definedName>
    <definedName name="MAT" localSheetId="1">[1]DAT2!#REF!</definedName>
    <definedName name="MAT" localSheetId="2">[2]DAT2!#REF!</definedName>
    <definedName name="MAT" localSheetId="3">[3]DAT2!#REF!</definedName>
    <definedName name="MAT">[4]DAT2!#REF!</definedName>
    <definedName name="MONTEV" localSheetId="1">[1]DAT2!#REF!</definedName>
    <definedName name="MONTEV" localSheetId="2">[2]DAT2!#REF!</definedName>
    <definedName name="MONTEV" localSheetId="3">[3]DAT2!#REF!</definedName>
    <definedName name="MONTEV">[4]DAT2!#REF!</definedName>
    <definedName name="MONTOC" localSheetId="1">[1]DAT2!#REF!</definedName>
    <definedName name="MONTOC" localSheetId="2">[2]DAT2!#REF!</definedName>
    <definedName name="MONTOC" localSheetId="3">[3]DAT2!#REF!</definedName>
    <definedName name="MONTOC">[4]DAT2!#REF!</definedName>
    <definedName name="MONTOR" localSheetId="1">[1]DAT2!#REF!</definedName>
    <definedName name="MONTOR" localSheetId="2">[2]DAT2!#REF!</definedName>
    <definedName name="MONTOR" localSheetId="3">[3]DAT2!#REF!</definedName>
    <definedName name="MONTOR">[4]DAT2!#REF!</definedName>
    <definedName name="MOR" localSheetId="1">[1]DAT2!#REF!</definedName>
    <definedName name="MOR" localSheetId="2">[2]DAT2!#REF!</definedName>
    <definedName name="MOR" localSheetId="3">[3]DAT2!#REF!</definedName>
    <definedName name="MOR">[4]DAT2!#REF!</definedName>
    <definedName name="MORAV" localSheetId="1">[1]DAT2!#REF!</definedName>
    <definedName name="MORAV" localSheetId="2">[2]DAT2!#REF!</definedName>
    <definedName name="MORAV" localSheetId="3">[3]DAT2!#REF!</definedName>
    <definedName name="MORAV">[4]DAT2!#REF!</definedName>
    <definedName name="NAND" localSheetId="1">[1]DAT2!#REF!</definedName>
    <definedName name="NAND" localSheetId="2">[2]DAT2!#REF!</definedName>
    <definedName name="NAND" localSheetId="3">[3]DAT2!#REF!</definedName>
    <definedName name="NAND">[4]DAT2!#REF!</definedName>
    <definedName name="NARA" localSheetId="1">[1]DAT2!#REF!</definedName>
    <definedName name="NARA" localSheetId="2">[2]DAT2!#REF!</definedName>
    <definedName name="NARA" localSheetId="3">[3]DAT2!#REF!</definedName>
    <definedName name="NARA">[4]DAT2!#REF!</definedName>
    <definedName name="NICO" localSheetId="1">[1]DAT2!#REF!</definedName>
    <definedName name="NICO" localSheetId="2">[2]DAT2!#REF!</definedName>
    <definedName name="NICO" localSheetId="3">[3]DAT2!#REF!</definedName>
    <definedName name="NICO">[4]DAT2!#REF!</definedName>
    <definedName name="OREAMU" localSheetId="1">[1]DAT2!#REF!</definedName>
    <definedName name="OREAMU" localSheetId="2">[2]DAT2!#REF!</definedName>
    <definedName name="OREAMU" localSheetId="3">[3]DAT2!#REF!</definedName>
    <definedName name="OREAMU">[4]DAT2!#REF!</definedName>
    <definedName name="OROT" localSheetId="1">[1]DAT2!#REF!</definedName>
    <definedName name="OROT" localSheetId="2">[2]DAT2!#REF!</definedName>
    <definedName name="OROT" localSheetId="3">[3]DAT2!#REF!</definedName>
    <definedName name="OROT">[4]DAT2!#REF!</definedName>
    <definedName name="OSA" localSheetId="1">[1]DAT2!#REF!</definedName>
    <definedName name="OSA" localSheetId="2">[2]DAT2!#REF!</definedName>
    <definedName name="OSA" localSheetId="3">[3]DAT2!#REF!</definedName>
    <definedName name="OSA">[4]DAT2!#REF!</definedName>
    <definedName name="PALMA" localSheetId="1">[1]DAT2!#REF!</definedName>
    <definedName name="PALMA" localSheetId="2">[2]DAT2!#REF!</definedName>
    <definedName name="PALMA" localSheetId="3">[3]DAT2!#REF!</definedName>
    <definedName name="PALMA">[4]DAT2!#REF!</definedName>
    <definedName name="PARA" localSheetId="1">[1]DAT2!#REF!</definedName>
    <definedName name="PARA" localSheetId="2">[2]DAT2!#REF!</definedName>
    <definedName name="PARA" localSheetId="3">[3]DAT2!#REF!</definedName>
    <definedName name="PARA">[4]DAT2!#REF!</definedName>
    <definedName name="PARR" localSheetId="1">[1]DAT2!#REF!</definedName>
    <definedName name="PARR" localSheetId="2">[2]DAT2!#REF!</definedName>
    <definedName name="PARR" localSheetId="3">[3]DAT2!#REF!</definedName>
    <definedName name="PARR">[4]DAT2!#REF!</definedName>
    <definedName name="POA" localSheetId="1">[1]DAT2!#REF!</definedName>
    <definedName name="POA" localSheetId="2">[2]DAT2!#REF!</definedName>
    <definedName name="POA" localSheetId="3">[3]DAT2!#REF!</definedName>
    <definedName name="POA">[4]DAT2!#REF!</definedName>
    <definedName name="POCOC" localSheetId="1">[1]DAT2!#REF!</definedName>
    <definedName name="POCOC" localSheetId="2">[2]DAT2!#REF!</definedName>
    <definedName name="POCOC" localSheetId="3">[3]DAT2!#REF!</definedName>
    <definedName name="POCOC">[4]DAT2!#REF!</definedName>
    <definedName name="PUERTOJ" localSheetId="1">[1]DAT2!#REF!</definedName>
    <definedName name="PUERTOJ" localSheetId="2">[2]DAT2!#REF!</definedName>
    <definedName name="PUERTOJ" localSheetId="3">[3]DAT2!#REF!</definedName>
    <definedName name="PUERTOJ">[4]DAT2!#REF!</definedName>
    <definedName name="PUNTAR" localSheetId="1">[1]DAT2!#REF!</definedName>
    <definedName name="PUNTAR" localSheetId="2">[2]DAT2!#REF!</definedName>
    <definedName name="PUNTAR" localSheetId="3">[3]DAT2!#REF!</definedName>
    <definedName name="PUNTAR">[4]DAT2!#REF!</definedName>
    <definedName name="PURIS" localSheetId="1">[1]DAT2!#REF!</definedName>
    <definedName name="PURIS" localSheetId="2">[2]DAT2!#REF!</definedName>
    <definedName name="PURIS" localSheetId="3">[3]DAT2!#REF!</definedName>
    <definedName name="PURIS">[4]DAT2!#REF!</definedName>
    <definedName name="PZ" localSheetId="1">[1]DAT2!#REF!</definedName>
    <definedName name="PZ" localSheetId="2">[2]DAT2!#REF!</definedName>
    <definedName name="PZ" localSheetId="3">[3]DAT2!#REF!</definedName>
    <definedName name="PZ">[4]DAT2!#REF!</definedName>
    <definedName name="QUEP" localSheetId="1">[1]DAT2!#REF!</definedName>
    <definedName name="QUEP" localSheetId="2">[2]DAT2!#REF!</definedName>
    <definedName name="QUEP" localSheetId="3">[3]DAT2!#REF!</definedName>
    <definedName name="QUEP">[4]DAT2!#REF!</definedName>
    <definedName name="RIOCU" localSheetId="1">[1]DAT2!#REF!</definedName>
    <definedName name="RIOCU" localSheetId="2">[2]DAT2!#REF!</definedName>
    <definedName name="RIOCU" localSheetId="3">[3]DAT2!#REF!</definedName>
    <definedName name="RIOCU">[4]DAT2!#REF!</definedName>
    <definedName name="SANCAR" localSheetId="1">[1]DAT2!#REF!</definedName>
    <definedName name="SANCAR" localSheetId="2">[2]DAT2!#REF!</definedName>
    <definedName name="SANCAR" localSheetId="3">[3]DAT2!#REF!</definedName>
    <definedName name="SANCAR">[4]DAT2!#REF!</definedName>
    <definedName name="SANISI" localSheetId="1">[1]DAT2!#REF!</definedName>
    <definedName name="SANISI" localSheetId="2">[2]DAT2!#REF!</definedName>
    <definedName name="SANISI" localSheetId="3">[3]DAT2!#REF!</definedName>
    <definedName name="SANISI">[4]DAT2!#REF!</definedName>
    <definedName name="SANMAT" localSheetId="1">[1]DAT2!#REF!</definedName>
    <definedName name="SANMAT" localSheetId="2">[2]DAT2!#REF!</definedName>
    <definedName name="SANMAT" localSheetId="3">[3]DAT2!#REF!</definedName>
    <definedName name="SANMAT">[4]DAT2!#REF!</definedName>
    <definedName name="SANPA" localSheetId="1">[1]DAT2!#REF!</definedName>
    <definedName name="SANPA" localSheetId="2">[2]DAT2!#REF!</definedName>
    <definedName name="SANPA" localSheetId="3">[3]DAT2!#REF!</definedName>
    <definedName name="SANPA">[4]DAT2!#REF!</definedName>
    <definedName name="SANRA" localSheetId="1">[1]DAT2!#REF!</definedName>
    <definedName name="SANRA" localSheetId="2">[2]DAT2!#REF!</definedName>
    <definedName name="SANRA" localSheetId="3">[3]DAT2!#REF!</definedName>
    <definedName name="SANRA">[4]DAT2!#REF!</definedName>
    <definedName name="SANRAF" localSheetId="1">[1]DAT2!#REF!</definedName>
    <definedName name="SANRAF" localSheetId="2">[2]DAT2!#REF!</definedName>
    <definedName name="SANRAF" localSheetId="3">[3]DAT2!#REF!</definedName>
    <definedName name="SANRAF">[4]DAT2!#REF!</definedName>
    <definedName name="SANTA" localSheetId="1">[1]DAT2!#REF!</definedName>
    <definedName name="SANTA" localSheetId="2">[2]DAT2!#REF!</definedName>
    <definedName name="SANTA" localSheetId="3">[3]DAT2!#REF!</definedName>
    <definedName name="SANTA">[4]DAT2!#REF!</definedName>
    <definedName name="SANTABA" localSheetId="1">[1]DAT2!#REF!</definedName>
    <definedName name="SANTABA" localSheetId="2">[2]DAT2!#REF!</definedName>
    <definedName name="SANTABA" localSheetId="3">[3]DAT2!#REF!</definedName>
    <definedName name="SANTABA">[4]DAT2!#REF!</definedName>
    <definedName name="SANTACRU" localSheetId="1">[1]DAT2!#REF!</definedName>
    <definedName name="SANTACRU" localSheetId="2">[2]DAT2!#REF!</definedName>
    <definedName name="SANTACRU" localSheetId="3">[3]DAT2!#REF!</definedName>
    <definedName name="SANTACRU">[4]DAT2!#REF!</definedName>
    <definedName name="SANTODO" localSheetId="1">[1]DAT2!#REF!</definedName>
    <definedName name="SANTODO" localSheetId="2">[2]DAT2!#REF!</definedName>
    <definedName name="SANTODO" localSheetId="3">[3]DAT2!#REF!</definedName>
    <definedName name="SANTODO">[4]DAT2!#REF!</definedName>
    <definedName name="SAR" localSheetId="1">[1]DAT2!#REF!</definedName>
    <definedName name="SAR" localSheetId="2">[2]DAT2!#REF!</definedName>
    <definedName name="SAR" localSheetId="3">[3]DAT2!#REF!</definedName>
    <definedName name="SAR">[4]DAT2!#REF!</definedName>
    <definedName name="SARAP" localSheetId="1">[1]DAT2!#REF!</definedName>
    <definedName name="SARAP" localSheetId="2">[2]DAT2!#REF!</definedName>
    <definedName name="SARAP" localSheetId="3">[3]DAT2!#REF!</definedName>
    <definedName name="SARAP">[4]DAT2!#REF!</definedName>
    <definedName name="SIQUIRR" localSheetId="1">[1]DAT2!#REF!</definedName>
    <definedName name="SIQUIRR" localSheetId="2">[2]DAT2!#REF!</definedName>
    <definedName name="SIQUIRR" localSheetId="3">[3]DAT2!#REF!</definedName>
    <definedName name="SIQUIRR">[4]DAT2!#REF!</definedName>
    <definedName name="TALAMA" localSheetId="1">[1]DAT2!#REF!</definedName>
    <definedName name="TALAMA" localSheetId="2">[2]DAT2!#REF!</definedName>
    <definedName name="TALAMA" localSheetId="3">[3]DAT2!#REF!</definedName>
    <definedName name="TALAMA">[4]DAT2!#REF!</definedName>
    <definedName name="TARRAZ" localSheetId="1">[1]DAT2!#REF!</definedName>
    <definedName name="TARRAZ" localSheetId="2">[2]DAT2!#REF!</definedName>
    <definedName name="TARRAZ" localSheetId="3">[3]DAT2!#REF!</definedName>
    <definedName name="TARRAZ">[4]DAT2!#REF!</definedName>
    <definedName name="TIB" localSheetId="1">[1]DAT2!#REF!</definedName>
    <definedName name="TIB" localSheetId="2">[2]DAT2!#REF!</definedName>
    <definedName name="TIB" localSheetId="3">[3]DAT2!#REF!</definedName>
    <definedName name="TIB">[4]DAT2!#REF!</definedName>
    <definedName name="TILAR" localSheetId="1">[1]DAT2!#REF!</definedName>
    <definedName name="TILAR" localSheetId="2">[2]DAT2!#REF!</definedName>
    <definedName name="TILAR" localSheetId="3">[3]DAT2!#REF!</definedName>
    <definedName name="TILAR">[4]DAT2!#REF!</definedName>
    <definedName name="TURR" localSheetId="1">[1]DAT2!#REF!</definedName>
    <definedName name="TURR" localSheetId="2">[2]DAT2!#REF!</definedName>
    <definedName name="TURR" localSheetId="3">[3]DAT2!#REF!</definedName>
    <definedName name="TURR">[4]DAT2!#REF!</definedName>
    <definedName name="TURRI" localSheetId="1">[1]DAT2!#REF!</definedName>
    <definedName name="TURRI" localSheetId="2">[2]DAT2!#REF!</definedName>
    <definedName name="TURRI" localSheetId="3">[3]DAT2!#REF!</definedName>
    <definedName name="TURRI">[4]DAT2!#REF!</definedName>
    <definedName name="U">[4]!Tabla103[#All]</definedName>
    <definedName name="UPA" localSheetId="1">[1]DAT2!#REF!</definedName>
    <definedName name="UPA" localSheetId="2">[2]DAT2!#REF!</definedName>
    <definedName name="UPA" localSheetId="3">[3]DAT2!#REF!</definedName>
    <definedName name="UPA">[4]DAT2!#REF!</definedName>
    <definedName name="uu">[4]!Tabla103[#All]</definedName>
    <definedName name="uum">[4]!Tabla103[#All]</definedName>
    <definedName name="uuu">[4]!Tabla103[#All]</definedName>
    <definedName name="VASQUE" localSheetId="1">[1]DAT2!#REF!</definedName>
    <definedName name="VASQUE" localSheetId="2">[2]DAT2!#REF!</definedName>
    <definedName name="VASQUE" localSheetId="3">[3]DAT2!#REF!</definedName>
    <definedName name="VASQUE">[4]DAT2!#REF!</definedName>
    <definedName name="ZAR" localSheetId="1">[1]DAT2!#REF!</definedName>
    <definedName name="ZAR" localSheetId="2">[2]DAT2!#REF!</definedName>
    <definedName name="ZAR" localSheetId="3">[3]DAT2!#REF!</definedName>
    <definedName name="ZAR">[4]DAT2!#REF!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7" i="3" l="1"/>
  <c r="C4" i="4" s="1"/>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7" i="2"/>
  <c r="C3" i="4" s="1"/>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7" i="1"/>
  <c r="C2" i="4" s="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C5" i="4" l="1"/>
  <c r="D37" i="3"/>
  <c r="D37" i="2"/>
  <c r="D37" i="1"/>
  <c r="D38" i="3" l="1"/>
  <c r="D4" i="4"/>
  <c r="E4" i="4" s="1"/>
  <c r="D38" i="2"/>
  <c r="D3" i="4"/>
  <c r="E3" i="4" s="1"/>
  <c r="D38" i="1"/>
  <c r="D2" i="4"/>
  <c r="D5" i="4" l="1"/>
  <c r="E5" i="4" s="1"/>
  <c r="E2" i="4"/>
</calcChain>
</file>

<file path=xl/sharedStrings.xml><?xml version="1.0" encoding="utf-8"?>
<sst xmlns="http://schemas.openxmlformats.org/spreadsheetml/2006/main" count="185" uniqueCount="76">
  <si>
    <t>D79 PÉREZ ZELEDÓN</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</si>
  <si>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</si>
  <si>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</si>
  <si>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</si>
  <si>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</si>
  <si>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</si>
  <si>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</si>
  <si>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</si>
  <si>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</si>
  <si>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</si>
  <si>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</si>
  <si>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</si>
  <si>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</si>
  <si>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</si>
  <si>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</si>
  <si>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</si>
  <si>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</si>
  <si>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dentro del área georreferenciada del informe territorial de la Estrategia Sembremos Seguridad 2024, dos por año, una por semestre.</t>
  </si>
  <si>
    <t>PSCC</t>
  </si>
  <si>
    <t>Realizar 2 procesos formativos (Cursos de la oferta de los programas DARE - GREAT - MPAS) en Centros Educativos, Uno por año, dentro de los distritos que contemplan las áreas georreferenciadas del informe territorial de la Estrategia Sembremos Seguridad 2024. En caso de no contar con instructor acreditado DARE, se puede cumplir la meta con las charlas de Habilidades para la vida DARE, con el aval del Coordinador Nacional.</t>
  </si>
  <si>
    <t>GREAT/MPAS/DARE</t>
  </si>
  <si>
    <t>Cubrir 4 Centros Educativos (dos por año) dentro del área georreferenciada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</si>
  <si>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</si>
  <si>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Dos estrategias de divulgación (Por medio de brochures, post o imágenes en redes sociales) en el tema del procedimiento para realizar una "Denuncia de ventas de drogas"  dirigidas a las comunidades integradas al Programa de Seguridad Comunitaria, que se localicen, dentro del área georreferenciada del informe territorial de la Estrategia Sembremos Seguridad 2024, una por año.</t>
  </si>
  <si>
    <t>Cuatro capacitaciones, en el tema de "Denuncia a búnkers", dirigidas a las comunidades integradas al Programa de Seguridad Comunitaria, que se localicen, dentro del área georreferenciada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</si>
  <si>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dentro del área georreferenciada del informe territorial de la Estrategia Sembremos Seguridad 2024, una por año.</t>
  </si>
  <si>
    <t>D80 BUENOS AIRES</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</si>
  <si>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</si>
  <si>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</si>
  <si>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</si>
  <si>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</si>
  <si>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</si>
  <si>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</si>
  <si>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</si>
  <si>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</si>
  <si>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Dos estrategias de divulgación (Por medio de brochures, post o imágenes en redes sociales) en el tema del procedimiento para realizar una "Denuncia de  receptación" dirigidas a las comunidades integradas al Programa de Seguridad Comunitaria que se localicen, en los distritos que contemplan las área georreferenciadas del informe territorial de la Estrategia Sembremos Seguridad 2024, una por año.</t>
  </si>
  <si>
    <t>Delegación</t>
  </si>
  <si>
    <t>PEREZ ZELEDÓN</t>
  </si>
  <si>
    <t>BUENOS AIRES</t>
  </si>
  <si>
    <t>OSA</t>
  </si>
  <si>
    <t>D79</t>
  </si>
  <si>
    <t>D80</t>
  </si>
  <si>
    <t>D81</t>
  </si>
  <si>
    <t>AVANCE</t>
  </si>
  <si>
    <t>TOTALES</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</si>
  <si>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</si>
  <si>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</si>
  <si>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</si>
  <si>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</si>
  <si>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</si>
  <si>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</si>
  <si>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</si>
  <si>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</si>
  <si>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</si>
  <si>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</si>
  <si>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</si>
  <si>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</si>
  <si>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</si>
  <si>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</si>
  <si>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</si>
  <si>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</si>
  <si>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</si>
  <si>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</si>
  <si>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</si>
  <si>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</si>
  <si>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</si>
  <si>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</si>
  <si>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</si>
  <si>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</si>
  <si>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</si>
  <si>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</si>
  <si>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</si>
  <si>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</si>
  <si>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</si>
  <si>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D81 OSA</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</si>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</sst>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b/>
      <sz val="9"/>
      <color theme="1"/>
      <name val="Calibri"/>
      <family val="2"/>
    </font>
    <font>
      <sz val="11"/>
      <color rgb="FFFFC000"/>
      <name val="Aptos Narrow"/>
      <family val="2"/>
      <scheme val="minor"/>
    </font>
    <font>
      <sz val="11"/>
      <name val="Aptos Narrow"/>
      <family val="2"/>
      <scheme val="minor"/>
    </font>
    <font>
      <b/>
      <sz val="11"/>
      <color rgb="FFFFC000"/>
      <name val="Aptos Narrow"/>
      <family val="2"/>
      <scheme val="minor"/>
    </font>
    <font>
      <b/>
      <sz val="9"/>
      <name val="Arial"/>
      <family val="2"/>
    </font>
  </fonts>
  <fills count="20">
    <fill>
      <patternFill patternType="none"/>
    </fill>
    <fill>
      <patternFill patternType="gray125"/>
    </fill>
    <fill>
      <patternFill patternType="solid">
        <fgColor theme="3"/>
        <bgColor indexed="64"/>
      </patternFill>
    </fill>
    <fill>
      <patternFill patternType="solid">
        <fgColor rgb="FFDDEBF7"/>
        <bgColor indexed="64"/>
      </patternFill>
    </fill>
    <fill>
      <patternFill patternType="solid">
        <fgColor theme="4" tint="0.79998168889431442"/>
        <bgColor indexed="64"/>
      </patternFill>
    </fill>
    <fill>
      <patternFill patternType="solid">
        <fgColor rgb="FFE2EFDA"/>
        <bgColor indexed="64"/>
      </patternFill>
    </fill>
    <fill>
      <patternFill patternType="solid">
        <fgColor theme="9" tint="0.79998168889431442"/>
        <bgColor indexed="64"/>
      </patternFill>
    </fill>
    <fill>
      <patternFill patternType="solid">
        <fgColor rgb="FFFBE4D5"/>
        <bgColor indexed="64"/>
      </patternFill>
    </fill>
    <fill>
      <patternFill patternType="solid">
        <fgColor theme="5" tint="0.79998168889431442"/>
        <bgColor indexed="64"/>
      </patternFill>
    </fill>
    <fill>
      <patternFill patternType="solid">
        <fgColor rgb="FFDEEAF6"/>
        <bgColor indexed="64"/>
      </patternFill>
    </fill>
    <fill>
      <patternFill patternType="solid">
        <fgColor rgb="FFE2EFD9"/>
        <bgColor indexed="64"/>
      </patternFill>
    </fill>
    <fill>
      <patternFill patternType="solid">
        <fgColor theme="1"/>
        <bgColor indexed="64"/>
      </patternFill>
    </fill>
    <fill>
      <patternFill patternType="solid">
        <fgColor theme="0" tint="-0.34998626667073579"/>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4" tint="-0.499984740745262"/>
        <bgColor indexed="64"/>
      </patternFill>
    </fill>
    <fill>
      <patternFill patternType="solid">
        <fgColor theme="0" tint="-0.14999847407452621"/>
        <bgColor indexed="64"/>
      </patternFill>
    </fill>
  </fills>
  <borders count="17">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8">
    <xf numFmtId="0" fontId="0" fillId="0" borderId="0" xfId="0"/>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4" fillId="3" borderId="4"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4" fillId="5" borderId="6" xfId="0" applyFont="1" applyFill="1" applyBorder="1" applyAlignment="1">
      <alignment horizontal="left" vertical="center" wrapText="1"/>
    </xf>
    <xf numFmtId="0" fontId="4" fillId="7" borderId="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2" fillId="0" borderId="0" xfId="0" applyFont="1" applyProtection="1">
      <protection locked="0"/>
    </xf>
    <xf numFmtId="0" fontId="6" fillId="9" borderId="8" xfId="0" applyFont="1" applyFill="1" applyBorder="1" applyAlignment="1">
      <alignment horizontal="left" vertical="center" wrapText="1"/>
    </xf>
    <xf numFmtId="0" fontId="6" fillId="10" borderId="8" xfId="0" applyFont="1" applyFill="1" applyBorder="1" applyAlignment="1">
      <alignment horizontal="left" vertical="center" wrapText="1"/>
    </xf>
    <xf numFmtId="0" fontId="6" fillId="7" borderId="8" xfId="0" applyFont="1" applyFill="1" applyBorder="1" applyAlignment="1">
      <alignment horizontal="left" vertical="center" wrapText="1"/>
    </xf>
    <xf numFmtId="0" fontId="5" fillId="8" borderId="7" xfId="0" applyFont="1" applyFill="1" applyBorder="1" applyAlignment="1">
      <alignment horizontal="center" vertical="center" wrapText="1"/>
    </xf>
    <xf numFmtId="0" fontId="4" fillId="3" borderId="8" xfId="0" applyFont="1" applyFill="1" applyBorder="1" applyAlignment="1">
      <alignment horizontal="left" vertical="center" wrapText="1"/>
    </xf>
    <xf numFmtId="0" fontId="4" fillId="5" borderId="8" xfId="0" applyFont="1" applyFill="1" applyBorder="1" applyAlignment="1">
      <alignment horizontal="left" vertical="center" wrapText="1"/>
    </xf>
    <xf numFmtId="0" fontId="6" fillId="3" borderId="8" xfId="0" applyFont="1" applyFill="1" applyBorder="1" applyAlignment="1">
      <alignment horizontal="left" vertical="center" wrapText="1"/>
    </xf>
    <xf numFmtId="0" fontId="2" fillId="12" borderId="8" xfId="0" applyFont="1" applyFill="1" applyBorder="1" applyAlignment="1">
      <alignment horizontal="center"/>
    </xf>
    <xf numFmtId="0" fontId="9" fillId="2" borderId="9" xfId="0" applyFont="1" applyFill="1" applyBorder="1"/>
    <xf numFmtId="0" fontId="7" fillId="11" borderId="0" xfId="0" applyFont="1" applyFill="1" applyAlignment="1">
      <alignment horizontal="center"/>
    </xf>
    <xf numFmtId="0" fontId="0" fillId="0" borderId="8" xfId="0" applyBorder="1" applyAlignment="1">
      <alignment horizontal="center"/>
    </xf>
    <xf numFmtId="1" fontId="0" fillId="0" borderId="8" xfId="0" applyNumberFormat="1" applyBorder="1" applyAlignment="1">
      <alignment horizontal="center"/>
    </xf>
    <xf numFmtId="0" fontId="2" fillId="13" borderId="0" xfId="0" applyFont="1" applyFill="1" applyAlignment="1">
      <alignment horizontal="center"/>
    </xf>
    <xf numFmtId="0" fontId="1" fillId="2" borderId="0" xfId="0" applyFont="1" applyFill="1" applyAlignment="1">
      <alignment horizontal="center"/>
    </xf>
    <xf numFmtId="1" fontId="5" fillId="0" borderId="5" xfId="0" applyNumberFormat="1" applyFont="1" applyBorder="1" applyAlignment="1">
      <alignment horizontal="center" vertical="center" wrapText="1"/>
    </xf>
    <xf numFmtId="0" fontId="3" fillId="14" borderId="0" xfId="0" applyFont="1" applyFill="1" applyProtection="1">
      <protection locked="0"/>
    </xf>
    <xf numFmtId="0" fontId="5" fillId="15" borderId="8" xfId="0" applyFont="1" applyFill="1" applyBorder="1" applyAlignment="1">
      <alignment horizontal="center" vertical="center" textRotation="90" wrapText="1"/>
    </xf>
    <xf numFmtId="0" fontId="2" fillId="0" borderId="8" xfId="0" applyFont="1" applyBorder="1" applyAlignment="1" applyProtection="1">
      <alignment horizontal="center" vertical="center"/>
      <protection locked="0"/>
    </xf>
    <xf numFmtId="0" fontId="5" fillId="16" borderId="8" xfId="0" applyFont="1" applyFill="1" applyBorder="1" applyAlignment="1">
      <alignment horizontal="center" vertical="center" textRotation="90" wrapText="1"/>
    </xf>
    <xf numFmtId="0" fontId="5" fillId="6" borderId="7" xfId="0" applyFont="1" applyFill="1" applyBorder="1" applyAlignment="1">
      <alignment horizontal="center" vertical="center" wrapText="1"/>
    </xf>
    <xf numFmtId="0" fontId="5" fillId="17" borderId="8" xfId="0" applyFont="1" applyFill="1" applyBorder="1" applyAlignment="1">
      <alignment horizontal="center" vertical="center" textRotation="90" wrapText="1"/>
    </xf>
    <xf numFmtId="0" fontId="5" fillId="4" borderId="7" xfId="0" applyFont="1" applyFill="1" applyBorder="1" applyAlignment="1">
      <alignment horizontal="center" vertical="center" wrapText="1"/>
    </xf>
    <xf numFmtId="0" fontId="1" fillId="18" borderId="12" xfId="0" applyFont="1" applyFill="1" applyBorder="1" applyAlignment="1">
      <alignment horizontal="left" vertical="center" wrapText="1"/>
    </xf>
    <xf numFmtId="0" fontId="0" fillId="0" borderId="8" xfId="0" applyBorder="1" applyProtection="1">
      <protection locked="0"/>
    </xf>
    <xf numFmtId="0" fontId="10" fillId="19" borderId="14" xfId="0" applyFont="1" applyFill="1" applyBorder="1" applyAlignment="1">
      <alignment horizontal="left" vertical="center" wrapText="1"/>
    </xf>
    <xf numFmtId="0" fontId="10" fillId="19" borderId="16" xfId="0" applyFont="1" applyFill="1" applyBorder="1" applyAlignment="1">
      <alignment horizontal="left" vertical="center" wrapText="1"/>
    </xf>
    <xf numFmtId="0" fontId="2" fillId="0" borderId="8" xfId="0" applyFont="1" applyBorder="1" applyAlignment="1" applyProtection="1">
      <alignment horizontal="center"/>
      <protection locked="0"/>
    </xf>
    <xf numFmtId="1" fontId="2" fillId="0" borderId="8" xfId="0" applyNumberFormat="1" applyFont="1" applyBorder="1" applyAlignment="1" applyProtection="1">
      <alignment horizontal="center" vertical="center"/>
      <protection locked="0"/>
    </xf>
    <xf numFmtId="10" fontId="1" fillId="18" borderId="0" xfId="0" applyNumberFormat="1" applyFont="1" applyFill="1" applyAlignment="1" applyProtection="1">
      <alignment horizontal="center"/>
      <protection locked="0"/>
    </xf>
    <xf numFmtId="10" fontId="0" fillId="0" borderId="8" xfId="0" applyNumberFormat="1" applyBorder="1" applyAlignment="1">
      <alignment horizontal="center"/>
    </xf>
    <xf numFmtId="0" fontId="8" fillId="0" borderId="8" xfId="0" applyFont="1" applyFill="1" applyBorder="1"/>
    <xf numFmtId="0" fontId="1" fillId="2" borderId="1" xfId="0" applyFont="1" applyFill="1" applyBorder="1" applyAlignment="1">
      <alignment horizontal="center" vertical="center" textRotation="90"/>
    </xf>
    <xf numFmtId="0" fontId="1" fillId="2" borderId="10" xfId="0" applyFont="1" applyFill="1" applyBorder="1" applyAlignment="1">
      <alignment horizontal="center" vertical="center" textRotation="90"/>
    </xf>
    <xf numFmtId="0" fontId="5" fillId="4" borderId="11" xfId="0" applyFont="1" applyFill="1" applyBorder="1" applyAlignment="1">
      <alignment horizontal="center" vertical="center" textRotation="90" wrapText="1"/>
    </xf>
    <xf numFmtId="0" fontId="5" fillId="4" borderId="13" xfId="0" applyFont="1" applyFill="1" applyBorder="1" applyAlignment="1">
      <alignment horizontal="center" vertical="center" textRotation="90" wrapText="1"/>
    </xf>
    <xf numFmtId="0" fontId="5" fillId="4" borderId="15" xfId="0" applyFont="1" applyFill="1" applyBorder="1" applyAlignment="1">
      <alignment horizontal="center" vertical="center" textRotation="90" wrapText="1"/>
    </xf>
    <xf numFmtId="0" fontId="7" fillId="11" borderId="8" xfId="0" applyFont="1" applyFill="1" applyBorder="1" applyAlignment="1">
      <alignment horizontal="center"/>
    </xf>
  </cellXfs>
  <cellStyles count="1">
    <cellStyle name="Normal" xfId="0" builtinId="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7/D80%20Buenos%20Aires%20%20(Junio).xlsx?53DB48E4" TargetMode="External"/><Relationship Id="rId1" Type="http://schemas.openxmlformats.org/officeDocument/2006/relationships/externalLinkPath" Target="file:///\\53DB48E4\D80%20Buenos%20Aires%20%20(Junio).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7/D81%20Osa%20JUNIO%20OSA%202025.xlsx?53DB48E4" TargetMode="External"/><Relationship Id="rId1" Type="http://schemas.openxmlformats.org/officeDocument/2006/relationships/externalLinkPath" Target="file:///\\53DB48E4\D81%20Osa%20JUNIO%20OSA%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7/D79%20P&#233;rez%20Zeled&#243;n%20junio.xlsx?53DB48E4" TargetMode="External"/><Relationship Id="rId1" Type="http://schemas.openxmlformats.org/officeDocument/2006/relationships/externalLinkPath" Target="file:///\\53DB48E4\D79%20P&#233;rez%20Zeled&#243;n%20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0 BUENOS AIRES PSCC "/>
      <sheetName val="D80 BUENOS AIRES VIF"/>
      <sheetName val="D80 BUENOS AIRES DARE"/>
      <sheetName val="D80 BUENOS AIRES GREAT"/>
      <sheetName val="D80 BUENOS AIRES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1 OSA PSCC "/>
      <sheetName val="D81 OSA VIF"/>
      <sheetName val="D81 OSA DARE"/>
      <sheetName val="D81 OSA GREAT"/>
      <sheetName val="D81 OSA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79 PÉREZ ZELDÓN PSCC "/>
      <sheetName val="D79 PÉREZ ZELDÓN VIF"/>
      <sheetName val="D79 PÉREZ ZELDÓN DARE"/>
      <sheetName val="D79 PÉREZ ZELDÓN GREAT"/>
      <sheetName val="D79 PÉREZ ZELDÓN MPAS"/>
      <sheetName val="Totales PDIF"/>
      <sheetName val="Totales Política Pública"/>
      <sheetName val="DAT1"/>
      <sheetName val="DAT2"/>
      <sheetName val="D79 Pérez Zeledón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8"/>
  <sheetViews>
    <sheetView zoomScale="70" zoomScaleNormal="70" workbookViewId="0">
      <selection activeCell="L29" sqref="L29"/>
    </sheetView>
  </sheetViews>
  <sheetFormatPr baseColWidth="10" defaultColWidth="11.42578125" defaultRowHeight="15" x14ac:dyDescent="0.25"/>
  <cols>
    <col min="1" max="1" width="7" style="2" customWidth="1"/>
    <col min="2" max="2" width="107.140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2" t="s">
        <v>1</v>
      </c>
      <c r="B1" s="24"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3"/>
      <c r="B2" s="24"/>
      <c r="C2" s="3">
        <v>2026</v>
      </c>
      <c r="D2" s="3" t="s">
        <v>16</v>
      </c>
      <c r="E2" s="26"/>
      <c r="F2" s="26"/>
      <c r="G2" s="26"/>
      <c r="H2" s="26"/>
      <c r="I2" s="26"/>
      <c r="J2" s="26"/>
      <c r="K2" s="26"/>
      <c r="L2" s="26"/>
      <c r="M2" s="26"/>
      <c r="N2" s="26"/>
      <c r="O2" s="26"/>
      <c r="P2" s="26"/>
    </row>
    <row r="3" spans="1:16" ht="81" customHeight="1" thickBot="1" x14ac:dyDescent="0.3">
      <c r="A3" s="27" t="s">
        <v>18</v>
      </c>
      <c r="B3" s="5" t="s">
        <v>17</v>
      </c>
      <c r="C3" s="6">
        <v>2</v>
      </c>
      <c r="D3" s="25">
        <f t="shared" ref="D3:D8" si="0">SUM(E3:P3)</f>
        <v>1</v>
      </c>
      <c r="E3" s="28"/>
      <c r="F3" s="28"/>
      <c r="G3" s="28">
        <v>1</v>
      </c>
      <c r="H3" s="28"/>
      <c r="I3" s="28"/>
      <c r="J3" s="28"/>
      <c r="K3" s="28"/>
      <c r="L3" s="28"/>
      <c r="M3" s="28"/>
      <c r="N3" s="28"/>
      <c r="O3" s="28"/>
      <c r="P3" s="28"/>
    </row>
    <row r="4" spans="1:16" ht="81" customHeight="1" thickBot="1" x14ac:dyDescent="0.3">
      <c r="A4" s="29" t="s">
        <v>20</v>
      </c>
      <c r="B4" s="7" t="s">
        <v>19</v>
      </c>
      <c r="C4" s="30">
        <v>1</v>
      </c>
      <c r="D4" s="25">
        <f t="shared" si="0"/>
        <v>0</v>
      </c>
      <c r="E4" s="28">
        <v>0</v>
      </c>
      <c r="F4" s="28">
        <v>0</v>
      </c>
      <c r="G4" s="28">
        <v>0</v>
      </c>
      <c r="H4" s="28">
        <v>0</v>
      </c>
      <c r="I4" s="28"/>
      <c r="J4" s="28"/>
      <c r="K4" s="28"/>
      <c r="L4" s="28"/>
      <c r="M4" s="28"/>
      <c r="N4" s="28"/>
      <c r="O4" s="28"/>
      <c r="P4" s="28"/>
    </row>
    <row r="5" spans="1:16" ht="81" customHeight="1" thickBot="1" x14ac:dyDescent="0.3">
      <c r="A5" s="31" t="s">
        <v>22</v>
      </c>
      <c r="B5" s="8" t="s">
        <v>21</v>
      </c>
      <c r="C5" s="14">
        <v>2</v>
      </c>
      <c r="D5" s="25">
        <f t="shared" si="0"/>
        <v>0</v>
      </c>
      <c r="E5" s="28">
        <v>0</v>
      </c>
      <c r="F5" s="28">
        <v>0</v>
      </c>
      <c r="G5" s="28">
        <v>0</v>
      </c>
      <c r="H5" s="28">
        <v>0</v>
      </c>
      <c r="I5" s="28"/>
      <c r="J5" s="28"/>
      <c r="K5" s="28"/>
      <c r="L5" s="28"/>
      <c r="M5" s="28"/>
      <c r="N5" s="28"/>
      <c r="O5" s="28"/>
      <c r="P5" s="28"/>
    </row>
    <row r="6" spans="1:16" ht="81" customHeight="1" thickBot="1" x14ac:dyDescent="0.3">
      <c r="A6" s="27" t="s">
        <v>18</v>
      </c>
      <c r="B6" s="9" t="s">
        <v>23</v>
      </c>
      <c r="C6" s="32">
        <v>1</v>
      </c>
      <c r="D6" s="25">
        <f t="shared" si="0"/>
        <v>0</v>
      </c>
      <c r="E6" s="28"/>
      <c r="F6" s="28"/>
      <c r="G6" s="28"/>
      <c r="H6" s="28"/>
      <c r="I6" s="28"/>
      <c r="J6" s="28"/>
      <c r="K6" s="28"/>
      <c r="L6" s="28"/>
      <c r="M6" s="28"/>
      <c r="N6" s="28"/>
      <c r="O6" s="28"/>
      <c r="P6" s="28"/>
    </row>
    <row r="7" spans="1:16" ht="81" customHeight="1" thickBot="1" x14ac:dyDescent="0.3">
      <c r="A7" s="27" t="s">
        <v>18</v>
      </c>
      <c r="B7" s="9" t="s">
        <v>24</v>
      </c>
      <c r="C7" s="32">
        <v>2</v>
      </c>
      <c r="D7" s="25">
        <f t="shared" si="0"/>
        <v>1</v>
      </c>
      <c r="E7" s="28"/>
      <c r="F7" s="28"/>
      <c r="G7" s="28"/>
      <c r="H7" s="28">
        <v>1</v>
      </c>
      <c r="I7" s="28"/>
      <c r="J7" s="28"/>
      <c r="K7" s="28"/>
      <c r="L7" s="28"/>
      <c r="M7" s="28"/>
      <c r="N7" s="28"/>
      <c r="O7" s="28"/>
      <c r="P7" s="28"/>
    </row>
    <row r="8" spans="1:16" ht="81" customHeight="1" thickBot="1" x14ac:dyDescent="0.3">
      <c r="A8" s="27" t="s">
        <v>18</v>
      </c>
      <c r="B8" s="9" t="s">
        <v>25</v>
      </c>
      <c r="C8" s="32">
        <v>1</v>
      </c>
      <c r="D8" s="25">
        <f t="shared" si="0"/>
        <v>0</v>
      </c>
      <c r="E8" s="28"/>
      <c r="F8" s="28"/>
      <c r="G8" s="28"/>
      <c r="H8" s="28"/>
      <c r="I8" s="28"/>
      <c r="J8" s="28"/>
      <c r="K8" s="28"/>
      <c r="L8" s="28"/>
      <c r="M8" s="28"/>
      <c r="N8" s="28"/>
      <c r="O8" s="28"/>
      <c r="P8" s="28"/>
    </row>
    <row r="9" spans="1:16" ht="28.5" customHeight="1" x14ac:dyDescent="0.25">
      <c r="A9" s="44" t="s">
        <v>45</v>
      </c>
      <c r="B9" s="33" t="s">
        <v>46</v>
      </c>
      <c r="C9" s="32">
        <v>1</v>
      </c>
      <c r="D9" s="25">
        <f t="shared" ref="D9:D36" si="1">SUM(E9:O9)</f>
        <v>0</v>
      </c>
      <c r="E9" s="28"/>
      <c r="F9" s="28"/>
      <c r="G9" s="28"/>
      <c r="H9" s="28"/>
      <c r="I9" s="28"/>
      <c r="J9" s="28"/>
      <c r="K9" s="28"/>
      <c r="L9" s="28"/>
      <c r="M9" s="28"/>
      <c r="N9" s="28"/>
      <c r="O9" s="28"/>
      <c r="P9" s="34"/>
    </row>
    <row r="10" spans="1:16" ht="28.5" customHeight="1" x14ac:dyDescent="0.25">
      <c r="A10" s="45"/>
      <c r="B10" s="33" t="s">
        <v>47</v>
      </c>
      <c r="C10" s="32">
        <v>3</v>
      </c>
      <c r="D10" s="25">
        <f t="shared" si="1"/>
        <v>0</v>
      </c>
      <c r="E10" s="28"/>
      <c r="F10" s="28"/>
      <c r="G10" s="28"/>
      <c r="H10" s="28"/>
      <c r="I10" s="28"/>
      <c r="J10" s="28"/>
      <c r="K10" s="28"/>
      <c r="L10" s="28"/>
      <c r="M10" s="28"/>
      <c r="N10" s="28"/>
      <c r="O10" s="28"/>
      <c r="P10" s="34"/>
    </row>
    <row r="11" spans="1:16" ht="28.5" customHeight="1" x14ac:dyDescent="0.25">
      <c r="A11" s="45"/>
      <c r="B11" s="33" t="s">
        <v>48</v>
      </c>
      <c r="C11" s="32">
        <v>64</v>
      </c>
      <c r="D11" s="25">
        <f t="shared" si="1"/>
        <v>24</v>
      </c>
      <c r="E11" s="28">
        <v>5</v>
      </c>
      <c r="F11" s="28">
        <v>4</v>
      </c>
      <c r="G11" s="28">
        <v>2</v>
      </c>
      <c r="H11" s="28">
        <v>5</v>
      </c>
      <c r="I11" s="28">
        <v>5</v>
      </c>
      <c r="J11" s="28">
        <v>3</v>
      </c>
      <c r="K11" s="28"/>
      <c r="L11" s="28"/>
      <c r="M11" s="28"/>
      <c r="N11" s="28"/>
      <c r="O11" s="28"/>
      <c r="P11" s="34"/>
    </row>
    <row r="12" spans="1:16" ht="28.5" customHeight="1" x14ac:dyDescent="0.25">
      <c r="A12" s="45"/>
      <c r="B12" s="33" t="s">
        <v>49</v>
      </c>
      <c r="C12" s="32">
        <v>44</v>
      </c>
      <c r="D12" s="25">
        <f t="shared" si="1"/>
        <v>7</v>
      </c>
      <c r="E12" s="28"/>
      <c r="F12" s="28"/>
      <c r="G12" s="28"/>
      <c r="H12" s="28">
        <v>7</v>
      </c>
      <c r="I12" s="28"/>
      <c r="J12" s="28"/>
      <c r="K12" s="28"/>
      <c r="L12" s="28"/>
      <c r="M12" s="28"/>
      <c r="N12" s="28"/>
      <c r="O12" s="28"/>
      <c r="P12" s="34"/>
    </row>
    <row r="13" spans="1:16" ht="28.5" customHeight="1" x14ac:dyDescent="0.25">
      <c r="A13" s="45"/>
      <c r="B13" s="33" t="s">
        <v>50</v>
      </c>
      <c r="C13" s="32">
        <v>2</v>
      </c>
      <c r="D13" s="25">
        <f t="shared" si="1"/>
        <v>0</v>
      </c>
      <c r="E13" s="28"/>
      <c r="F13" s="28"/>
      <c r="G13" s="28"/>
      <c r="H13" s="28"/>
      <c r="I13" s="28"/>
      <c r="J13" s="28"/>
      <c r="K13" s="28"/>
      <c r="L13" s="28"/>
      <c r="M13" s="28"/>
      <c r="N13" s="28"/>
      <c r="O13" s="28"/>
      <c r="P13" s="34"/>
    </row>
    <row r="14" spans="1:16" ht="28.5" customHeight="1" x14ac:dyDescent="0.25">
      <c r="A14" s="45"/>
      <c r="B14" s="33" t="s">
        <v>51</v>
      </c>
      <c r="C14" s="32">
        <v>21</v>
      </c>
      <c r="D14" s="25">
        <f t="shared" si="1"/>
        <v>0</v>
      </c>
      <c r="E14" s="28"/>
      <c r="F14" s="28"/>
      <c r="G14" s="28"/>
      <c r="H14" s="28"/>
      <c r="I14" s="28"/>
      <c r="J14" s="28"/>
      <c r="K14" s="28"/>
      <c r="L14" s="28"/>
      <c r="M14" s="28"/>
      <c r="N14" s="28"/>
      <c r="O14" s="28"/>
      <c r="P14" s="34"/>
    </row>
    <row r="15" spans="1:16" ht="28.5" customHeight="1" x14ac:dyDescent="0.25">
      <c r="A15" s="45"/>
      <c r="B15" s="33" t="s">
        <v>52</v>
      </c>
      <c r="C15" s="32">
        <v>0</v>
      </c>
      <c r="D15" s="25">
        <f t="shared" si="1"/>
        <v>0</v>
      </c>
      <c r="E15" s="28"/>
      <c r="F15" s="28"/>
      <c r="G15" s="28"/>
      <c r="H15" s="28"/>
      <c r="I15" s="28"/>
      <c r="J15" s="28"/>
      <c r="K15" s="28"/>
      <c r="L15" s="28"/>
      <c r="M15" s="28"/>
      <c r="N15" s="28"/>
      <c r="O15" s="28"/>
      <c r="P15" s="34"/>
    </row>
    <row r="16" spans="1:16" ht="28.5" customHeight="1" x14ac:dyDescent="0.25">
      <c r="A16" s="45"/>
      <c r="B16" s="33" t="s">
        <v>53</v>
      </c>
      <c r="C16" s="32">
        <v>1</v>
      </c>
      <c r="D16" s="25">
        <f t="shared" si="1"/>
        <v>1</v>
      </c>
      <c r="E16" s="28"/>
      <c r="F16" s="28"/>
      <c r="G16" s="28">
        <v>1</v>
      </c>
      <c r="H16" s="28"/>
      <c r="I16" s="28"/>
      <c r="J16" s="28"/>
      <c r="K16" s="28"/>
      <c r="L16" s="28"/>
      <c r="M16" s="28"/>
      <c r="N16" s="28"/>
      <c r="O16" s="28"/>
      <c r="P16" s="34"/>
    </row>
    <row r="17" spans="1:16" ht="28.5" customHeight="1" x14ac:dyDescent="0.25">
      <c r="A17" s="45"/>
      <c r="B17" s="33" t="s">
        <v>54</v>
      </c>
      <c r="C17" s="32">
        <v>0</v>
      </c>
      <c r="D17" s="25">
        <f t="shared" si="1"/>
        <v>0</v>
      </c>
      <c r="E17" s="28"/>
      <c r="F17" s="28"/>
      <c r="G17" s="28"/>
      <c r="H17" s="28"/>
      <c r="I17" s="28"/>
      <c r="J17" s="28"/>
      <c r="K17" s="28"/>
      <c r="L17" s="28"/>
      <c r="M17" s="28"/>
      <c r="N17" s="28"/>
      <c r="O17" s="28"/>
      <c r="P17" s="34"/>
    </row>
    <row r="18" spans="1:16" ht="28.5" customHeight="1" x14ac:dyDescent="0.25">
      <c r="A18" s="45"/>
      <c r="B18" s="33" t="s">
        <v>55</v>
      </c>
      <c r="C18" s="32">
        <v>0</v>
      </c>
      <c r="D18" s="25">
        <f t="shared" si="1"/>
        <v>0</v>
      </c>
      <c r="E18" s="28"/>
      <c r="F18" s="28"/>
      <c r="G18" s="28"/>
      <c r="H18" s="28"/>
      <c r="I18" s="28"/>
      <c r="J18" s="28"/>
      <c r="K18" s="28"/>
      <c r="L18" s="28"/>
      <c r="M18" s="28"/>
      <c r="N18" s="28"/>
      <c r="O18" s="28"/>
      <c r="P18" s="34"/>
    </row>
    <row r="19" spans="1:16" ht="28.5" customHeight="1" x14ac:dyDescent="0.25">
      <c r="A19" s="45"/>
      <c r="B19" s="33" t="s">
        <v>56</v>
      </c>
      <c r="C19" s="32">
        <v>7</v>
      </c>
      <c r="D19" s="25">
        <f t="shared" si="1"/>
        <v>2</v>
      </c>
      <c r="E19" s="28"/>
      <c r="F19" s="28"/>
      <c r="G19" s="28"/>
      <c r="H19" s="28">
        <v>1</v>
      </c>
      <c r="I19" s="28">
        <v>1</v>
      </c>
      <c r="J19" s="28"/>
      <c r="K19" s="28"/>
      <c r="L19" s="28"/>
      <c r="M19" s="28"/>
      <c r="N19" s="28"/>
      <c r="O19" s="28"/>
      <c r="P19" s="34"/>
    </row>
    <row r="20" spans="1:16" ht="28.5" customHeight="1" x14ac:dyDescent="0.25">
      <c r="A20" s="45"/>
      <c r="B20" s="33" t="s">
        <v>57</v>
      </c>
      <c r="C20" s="32">
        <v>0</v>
      </c>
      <c r="D20" s="25">
        <f t="shared" si="1"/>
        <v>0</v>
      </c>
      <c r="E20" s="28"/>
      <c r="F20" s="28"/>
      <c r="G20" s="28"/>
      <c r="H20" s="28"/>
      <c r="I20" s="28"/>
      <c r="J20" s="28"/>
      <c r="K20" s="28"/>
      <c r="L20" s="28"/>
      <c r="M20" s="28"/>
      <c r="N20" s="28"/>
      <c r="O20" s="28"/>
      <c r="P20" s="34"/>
    </row>
    <row r="21" spans="1:16" ht="28.5" customHeight="1" x14ac:dyDescent="0.25">
      <c r="A21" s="45"/>
      <c r="B21" s="33" t="s">
        <v>58</v>
      </c>
      <c r="C21" s="32">
        <v>0</v>
      </c>
      <c r="D21" s="25">
        <f t="shared" si="1"/>
        <v>0</v>
      </c>
      <c r="E21" s="28"/>
      <c r="F21" s="28"/>
      <c r="G21" s="28"/>
      <c r="H21" s="28"/>
      <c r="I21" s="28"/>
      <c r="J21" s="28"/>
      <c r="K21" s="28"/>
      <c r="L21" s="28"/>
      <c r="M21" s="28"/>
      <c r="N21" s="28"/>
      <c r="O21" s="28"/>
      <c r="P21" s="34"/>
    </row>
    <row r="22" spans="1:16" ht="28.5" customHeight="1" x14ac:dyDescent="0.25">
      <c r="A22" s="45"/>
      <c r="B22" s="33" t="s">
        <v>59</v>
      </c>
      <c r="C22" s="32">
        <v>0</v>
      </c>
      <c r="D22" s="25">
        <f t="shared" si="1"/>
        <v>0</v>
      </c>
      <c r="E22" s="28"/>
      <c r="F22" s="28"/>
      <c r="G22" s="28"/>
      <c r="H22" s="28"/>
      <c r="I22" s="28"/>
      <c r="J22" s="28"/>
      <c r="K22" s="28"/>
      <c r="L22" s="28"/>
      <c r="M22" s="28"/>
      <c r="N22" s="28"/>
      <c r="O22" s="28"/>
      <c r="P22" s="34"/>
    </row>
    <row r="23" spans="1:16" ht="28.5" customHeight="1" x14ac:dyDescent="0.25">
      <c r="A23" s="45"/>
      <c r="B23" s="33" t="s">
        <v>60</v>
      </c>
      <c r="C23" s="32">
        <v>310</v>
      </c>
      <c r="D23" s="25">
        <f t="shared" si="1"/>
        <v>144</v>
      </c>
      <c r="E23" s="28">
        <v>42</v>
      </c>
      <c r="F23" s="28">
        <v>20</v>
      </c>
      <c r="G23" s="28">
        <v>24</v>
      </c>
      <c r="H23" s="28">
        <v>38</v>
      </c>
      <c r="I23" s="28">
        <v>16</v>
      </c>
      <c r="J23" s="28">
        <v>4</v>
      </c>
      <c r="K23" s="28"/>
      <c r="L23" s="28"/>
      <c r="M23" s="28"/>
      <c r="N23" s="28"/>
      <c r="O23" s="28"/>
      <c r="P23" s="34"/>
    </row>
    <row r="24" spans="1:16" ht="28.5" customHeight="1" x14ac:dyDescent="0.25">
      <c r="A24" s="45"/>
      <c r="B24" s="33" t="s">
        <v>61</v>
      </c>
      <c r="C24" s="32">
        <v>2</v>
      </c>
      <c r="D24" s="25">
        <f t="shared" si="1"/>
        <v>0</v>
      </c>
      <c r="E24" s="28"/>
      <c r="F24" s="28"/>
      <c r="G24" s="28"/>
      <c r="H24" s="28"/>
      <c r="I24" s="28"/>
      <c r="J24" s="28"/>
      <c r="K24" s="28"/>
      <c r="L24" s="28"/>
      <c r="M24" s="28"/>
      <c r="N24" s="28"/>
      <c r="O24" s="28"/>
      <c r="P24" s="34"/>
    </row>
    <row r="25" spans="1:16" ht="24" customHeight="1" x14ac:dyDescent="0.25">
      <c r="A25" s="45"/>
      <c r="B25" s="35" t="s">
        <v>62</v>
      </c>
      <c r="C25" s="32">
        <v>12</v>
      </c>
      <c r="D25" s="25">
        <f t="shared" si="1"/>
        <v>8</v>
      </c>
      <c r="E25" s="28"/>
      <c r="F25" s="28">
        <v>2</v>
      </c>
      <c r="G25" s="28">
        <v>6</v>
      </c>
      <c r="H25" s="28"/>
      <c r="I25" s="28"/>
      <c r="J25" s="28"/>
      <c r="K25" s="28"/>
      <c r="L25" s="28"/>
      <c r="M25" s="28"/>
      <c r="N25" s="28"/>
      <c r="O25" s="28"/>
      <c r="P25" s="34"/>
    </row>
    <row r="26" spans="1:16" ht="24" customHeight="1" x14ac:dyDescent="0.25">
      <c r="A26" s="45"/>
      <c r="B26" s="35" t="s">
        <v>63</v>
      </c>
      <c r="C26" s="32">
        <v>12</v>
      </c>
      <c r="D26" s="25">
        <f t="shared" si="1"/>
        <v>12</v>
      </c>
      <c r="E26" s="28"/>
      <c r="F26" s="28"/>
      <c r="G26" s="28"/>
      <c r="H26" s="28">
        <v>12</v>
      </c>
      <c r="I26" s="28"/>
      <c r="J26" s="28"/>
      <c r="K26" s="28"/>
      <c r="L26" s="28"/>
      <c r="M26" s="28"/>
      <c r="N26" s="28"/>
      <c r="O26" s="28"/>
      <c r="P26" s="34"/>
    </row>
    <row r="27" spans="1:16" ht="24" customHeight="1" x14ac:dyDescent="0.25">
      <c r="A27" s="45"/>
      <c r="B27" s="35" t="s">
        <v>64</v>
      </c>
      <c r="C27" s="32">
        <v>12</v>
      </c>
      <c r="D27" s="25">
        <f t="shared" si="1"/>
        <v>11</v>
      </c>
      <c r="E27" s="28"/>
      <c r="F27" s="28"/>
      <c r="G27" s="28"/>
      <c r="H27" s="28"/>
      <c r="I27" s="28">
        <v>11</v>
      </c>
      <c r="J27" s="28"/>
      <c r="K27" s="28"/>
      <c r="L27" s="28"/>
      <c r="M27" s="28"/>
      <c r="N27" s="28"/>
      <c r="O27" s="28"/>
      <c r="P27" s="34"/>
    </row>
    <row r="28" spans="1:16" ht="24" customHeight="1" x14ac:dyDescent="0.25">
      <c r="A28" s="45"/>
      <c r="B28" s="35" t="s">
        <v>65</v>
      </c>
      <c r="C28" s="32">
        <v>12</v>
      </c>
      <c r="D28" s="25">
        <f t="shared" si="1"/>
        <v>2</v>
      </c>
      <c r="E28" s="28"/>
      <c r="F28" s="28"/>
      <c r="G28" s="28"/>
      <c r="H28" s="28"/>
      <c r="I28" s="28"/>
      <c r="J28" s="28">
        <v>2</v>
      </c>
      <c r="K28" s="28"/>
      <c r="L28" s="28"/>
      <c r="M28" s="28"/>
      <c r="N28" s="28"/>
      <c r="O28" s="28"/>
      <c r="P28" s="34"/>
    </row>
    <row r="29" spans="1:16" ht="24" customHeight="1" x14ac:dyDescent="0.25">
      <c r="A29" s="45"/>
      <c r="B29" s="35" t="s">
        <v>66</v>
      </c>
      <c r="C29" s="32">
        <v>12</v>
      </c>
      <c r="D29" s="25">
        <f t="shared" si="1"/>
        <v>0</v>
      </c>
      <c r="E29" s="28"/>
      <c r="F29" s="28"/>
      <c r="G29" s="28"/>
      <c r="H29" s="28"/>
      <c r="I29" s="28"/>
      <c r="J29" s="28"/>
      <c r="K29" s="28"/>
      <c r="L29" s="28"/>
      <c r="M29" s="28"/>
      <c r="N29" s="28"/>
      <c r="O29" s="28"/>
      <c r="P29" s="34"/>
    </row>
    <row r="30" spans="1:16" ht="24" customHeight="1" x14ac:dyDescent="0.25">
      <c r="A30" s="45"/>
      <c r="B30" s="35" t="s">
        <v>67</v>
      </c>
      <c r="C30" s="32">
        <v>1</v>
      </c>
      <c r="D30" s="25">
        <f t="shared" si="1"/>
        <v>0</v>
      </c>
      <c r="E30" s="28"/>
      <c r="F30" s="28"/>
      <c r="G30" s="28"/>
      <c r="H30" s="28"/>
      <c r="I30" s="28"/>
      <c r="J30" s="28"/>
      <c r="K30" s="28"/>
      <c r="L30" s="28"/>
      <c r="M30" s="28"/>
      <c r="N30" s="28"/>
      <c r="O30" s="28"/>
      <c r="P30" s="34"/>
    </row>
    <row r="31" spans="1:16" ht="24" customHeight="1" x14ac:dyDescent="0.25">
      <c r="A31" s="45"/>
      <c r="B31" s="35" t="s">
        <v>68</v>
      </c>
      <c r="C31" s="32">
        <v>1</v>
      </c>
      <c r="D31" s="25">
        <f t="shared" si="1"/>
        <v>0</v>
      </c>
      <c r="E31" s="28"/>
      <c r="F31" s="28"/>
      <c r="G31" s="28"/>
      <c r="H31" s="28"/>
      <c r="I31" s="28"/>
      <c r="J31" s="28"/>
      <c r="K31" s="28"/>
      <c r="L31" s="28"/>
      <c r="M31" s="28"/>
      <c r="N31" s="28"/>
      <c r="O31" s="28"/>
      <c r="P31" s="34"/>
    </row>
    <row r="32" spans="1:16" ht="24" customHeight="1" x14ac:dyDescent="0.25">
      <c r="A32" s="45"/>
      <c r="B32" s="35" t="s">
        <v>69</v>
      </c>
      <c r="C32" s="32">
        <v>1</v>
      </c>
      <c r="D32" s="25">
        <f t="shared" si="1"/>
        <v>0</v>
      </c>
      <c r="E32" s="28"/>
      <c r="F32" s="28"/>
      <c r="G32" s="28"/>
      <c r="H32" s="28"/>
      <c r="I32" s="28"/>
      <c r="J32" s="28"/>
      <c r="K32" s="28"/>
      <c r="L32" s="28"/>
      <c r="M32" s="28"/>
      <c r="N32" s="28"/>
      <c r="O32" s="28"/>
      <c r="P32" s="34"/>
    </row>
    <row r="33" spans="1:16" ht="24" customHeight="1" x14ac:dyDescent="0.25">
      <c r="A33" s="45"/>
      <c r="B33" s="35" t="s">
        <v>70</v>
      </c>
      <c r="C33" s="32">
        <v>1</v>
      </c>
      <c r="D33" s="25">
        <f t="shared" si="1"/>
        <v>0</v>
      </c>
      <c r="E33" s="28"/>
      <c r="F33" s="28"/>
      <c r="G33" s="28"/>
      <c r="H33" s="28"/>
      <c r="I33" s="28"/>
      <c r="J33" s="28"/>
      <c r="K33" s="28"/>
      <c r="L33" s="28"/>
      <c r="M33" s="28"/>
      <c r="N33" s="28"/>
      <c r="O33" s="28"/>
      <c r="P33" s="34"/>
    </row>
    <row r="34" spans="1:16" ht="24" customHeight="1" x14ac:dyDescent="0.25">
      <c r="A34" s="45"/>
      <c r="B34" s="35" t="s">
        <v>71</v>
      </c>
      <c r="C34" s="32">
        <v>1</v>
      </c>
      <c r="D34" s="25">
        <f t="shared" si="1"/>
        <v>0</v>
      </c>
      <c r="E34" s="28"/>
      <c r="F34" s="28"/>
      <c r="G34" s="28"/>
      <c r="H34" s="28"/>
      <c r="I34" s="28"/>
      <c r="J34" s="28"/>
      <c r="K34" s="28"/>
      <c r="L34" s="28"/>
      <c r="M34" s="28"/>
      <c r="N34" s="28"/>
      <c r="O34" s="28"/>
      <c r="P34" s="34"/>
    </row>
    <row r="35" spans="1:16" ht="24" customHeight="1" x14ac:dyDescent="0.25">
      <c r="A35" s="45"/>
      <c r="B35" s="35" t="s">
        <v>72</v>
      </c>
      <c r="C35" s="32">
        <v>1</v>
      </c>
      <c r="D35" s="25">
        <f t="shared" si="1"/>
        <v>0</v>
      </c>
      <c r="E35" s="28"/>
      <c r="F35" s="28"/>
      <c r="G35" s="28"/>
      <c r="H35" s="28"/>
      <c r="I35" s="28"/>
      <c r="J35" s="28"/>
      <c r="K35" s="28"/>
      <c r="L35" s="28"/>
      <c r="M35" s="28"/>
      <c r="N35" s="28"/>
      <c r="O35" s="28"/>
      <c r="P35" s="34"/>
    </row>
    <row r="36" spans="1:16" ht="24" customHeight="1" thickBot="1" x14ac:dyDescent="0.3">
      <c r="A36" s="46"/>
      <c r="B36" s="36" t="s">
        <v>73</v>
      </c>
      <c r="C36" s="32">
        <v>1</v>
      </c>
      <c r="D36" s="25">
        <f t="shared" si="1"/>
        <v>0</v>
      </c>
      <c r="E36" s="28"/>
      <c r="F36" s="28"/>
      <c r="G36" s="28"/>
      <c r="H36" s="28"/>
      <c r="I36" s="28"/>
      <c r="J36" s="28"/>
      <c r="K36" s="28"/>
      <c r="L36" s="28"/>
      <c r="M36" s="28"/>
      <c r="N36" s="28"/>
      <c r="O36" s="28"/>
      <c r="P36" s="34"/>
    </row>
    <row r="37" spans="1:16" x14ac:dyDescent="0.25">
      <c r="C37" s="37">
        <f>SUM(C3:C36)</f>
        <v>531</v>
      </c>
      <c r="D37" s="38">
        <f>SUM(D3:D36)</f>
        <v>213</v>
      </c>
    </row>
    <row r="38" spans="1:16" x14ac:dyDescent="0.25">
      <c r="C38" s="10"/>
      <c r="D38" s="39">
        <f>D37/C37</f>
        <v>0.40112994350282488</v>
      </c>
    </row>
  </sheetData>
  <sheetProtection algorithmName="SHA-512" hashValue="E3I4orNSKrRpA/4mlrXYivBNPgII7yfdo2B5cZjoHjx+ZM8fmKNKbVmF5OwSA1xYSjr1VQHLSmp09oLL3nLf0A==" saltValue="azOaHLUabg5WJbq3TeCsGQ==" spinCount="100000" sheet="1" objects="1" scenarios="1" autoFilter="0"/>
  <mergeCells count="2">
    <mergeCell ref="A1:A2"/>
    <mergeCell ref="A9:A36"/>
  </mergeCells>
  <conditionalFormatting sqref="C3:D3 D4:D8">
    <cfRule type="dataBar" priority="44">
      <dataBar>
        <cfvo type="min"/>
        <cfvo type="max"/>
        <color rgb="FF008AEF"/>
      </dataBar>
      <extLst>
        <ext xmlns:x14="http://schemas.microsoft.com/office/spreadsheetml/2009/9/main" uri="{B025F937-C7B1-47D3-B67F-A62EFF666E3E}">
          <x14:id>{42A6F3AE-46F0-4E18-8D99-C03C5442CBD9}</x14:id>
        </ext>
      </extLst>
    </cfRule>
  </conditionalFormatting>
  <conditionalFormatting sqref="C4:D4">
    <cfRule type="dataBar" priority="6">
      <dataBar>
        <cfvo type="min"/>
        <cfvo type="max"/>
        <color rgb="FF008AEF"/>
      </dataBar>
      <extLst>
        <ext xmlns:x14="http://schemas.microsoft.com/office/spreadsheetml/2009/9/main" uri="{B025F937-C7B1-47D3-B67F-A62EFF666E3E}">
          <x14:id>{A4719116-5645-4A01-B480-7E6EAB9EF7E2}</x14:id>
        </ext>
      </extLst>
    </cfRule>
  </conditionalFormatting>
  <conditionalFormatting sqref="C5:D5">
    <cfRule type="dataBar" priority="7">
      <dataBar>
        <cfvo type="min"/>
        <cfvo type="max"/>
        <color rgb="FF008AEF"/>
      </dataBar>
      <extLst>
        <ext xmlns:x14="http://schemas.microsoft.com/office/spreadsheetml/2009/9/main" uri="{B025F937-C7B1-47D3-B67F-A62EFF666E3E}">
          <x14:id>{24378049-C295-43E7-BE39-7BA0F6D2E0E7}</x14:id>
        </ext>
      </extLst>
    </cfRule>
  </conditionalFormatting>
  <conditionalFormatting sqref="C6:D6">
    <cfRule type="dataBar" priority="8">
      <dataBar>
        <cfvo type="min"/>
        <cfvo type="max"/>
        <color rgb="FF008AEF"/>
      </dataBar>
      <extLst>
        <ext xmlns:x14="http://schemas.microsoft.com/office/spreadsheetml/2009/9/main" uri="{B025F937-C7B1-47D3-B67F-A62EFF666E3E}">
          <x14:id>{1F8B9115-9465-44AF-8F76-BFF17F847B8B}</x14:id>
        </ext>
      </extLst>
    </cfRule>
  </conditionalFormatting>
  <conditionalFormatting sqref="C7:D7">
    <cfRule type="dataBar" priority="9">
      <dataBar>
        <cfvo type="min"/>
        <cfvo type="max"/>
        <color rgb="FF008AEF"/>
      </dataBar>
      <extLst>
        <ext xmlns:x14="http://schemas.microsoft.com/office/spreadsheetml/2009/9/main" uri="{B025F937-C7B1-47D3-B67F-A62EFF666E3E}">
          <x14:id>{F3ADEE7F-D335-4F25-A12C-90E2E0369615}</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{D77E6FB3-E36B-4357-B918-E262446A597C}</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{4D0CA71A-A6CE-4B73-ABE2-2058B0AF5C31}</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{1F97B79C-7C9B-41FB-BE51-1E1A065F96C6}</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{6B47E8F9-4A3D-4DD6-B10D-97E81B294E8E}</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{BD0ABE4C-591D-42B8-BED5-1237E74AEEF6}</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{F7CD40A8-5EF9-4D88-B6D9-6DE3E2764827}</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{CC796F1F-8DD6-42C7-A24D-E61ED3C0255D}</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{2ACD862A-5718-4E7A-B9D4-E9E9F828B3DB}</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{9AE2F860-2028-4115-A163-31AE641F589A}</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{E7C41688-86A9-4180-A671-737CA6CCF4FC}</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{6C97845C-E6A0-4EA4-8305-8495E25FCE86}</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{E5207EE2-B89A-461F-B541-E3D5EB61F0C9}</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{C9611B4A-ADAE-4F74-AD08-59F33963D32D}</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{B25E85F7-99E8-41FE-AEF0-621CDF4920ED}</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{76C3ED89-90CD-49D1-BAE6-5BD258CDC7CA}</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{34CBF4BB-5F13-45A1-9600-2223009FF4CD}</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{AAC52DB6-E2BC-4A0A-8507-9D47FA4765DC}</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{DE28519D-3EDB-41FD-AF1B-D9A68626A02D}</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{2ACA2BFB-A33A-4CCE-A716-09E944B622B1}</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{89222C0B-BCE0-4370-B4D0-59F002863AAD}</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{E6EEAD2A-2984-4175-BD66-623B6A861674}</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{2B3AFFF4-F985-4740-9265-D4CE05B3BF62}</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{52E932BB-3017-4FEE-873A-7E80B53B8F8B}</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{9BBFE5CC-E1F4-47F3-AE77-606664EA7B7F}</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{7AE0E93C-E4C8-40C1-8E77-EF4236349DF7}</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{B581B6A5-F37E-47DD-8F78-27170027BC1B}</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{FC8BC483-5FF0-4696-A513-E87C31D925EF}</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{9FE16FF7-F7DC-406D-9685-1B47B19E71BE}</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{498B3205-5DBF-4ABE-ACE6-FE55392AF327}</x14:id>
        </ext>
      </extLst>
    </cfRule>
  </conditionalFormatting>
  <conditionalFormatting sqref="E3:F32 E33:O36">
    <cfRule type="cellIs" dxfId="9" priority="3" operator="greaterThan">
      <formula>0</formula>
    </cfRule>
  </conditionalFormatting>
  <conditionalFormatting sqref="G9:O32">
    <cfRule type="cellIs" dxfId="8" priority="12" operator="greaterThan">
      <formula>0</formula>
    </cfRule>
  </conditionalFormatting>
  <conditionalFormatting sqref="G3:P8">
    <cfRule type="cellIs" dxfId="7"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2A6F3AE-46F0-4E18-8D99-C03C5442CBD9}">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A4719116-5645-4A01-B480-7E6EAB9EF7E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4378049-C295-43E7-BE39-7BA0F6D2E0E7}">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1F8B9115-9465-44AF-8F76-BFF17F847B8B}">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3ADEE7F-D335-4F25-A12C-90E2E036961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77E6FB3-E36B-4357-B918-E262446A597C}">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4D0CA71A-A6CE-4B73-ABE2-2058B0AF5C31}">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F97B79C-7C9B-41FB-BE51-1E1A065F96C6}">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6B47E8F9-4A3D-4DD6-B10D-97E81B294E8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BD0ABE4C-591D-42B8-BED5-1237E74AEEF6}">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F7CD40A8-5EF9-4D88-B6D9-6DE3E2764827}">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C796F1F-8DD6-42C7-A24D-E61ED3C0255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ACD862A-5718-4E7A-B9D4-E9E9F828B3DB}">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9AE2F860-2028-4115-A163-31AE641F589A}">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7C41688-86A9-4180-A671-737CA6CCF4F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6C97845C-E6A0-4EA4-8305-8495E25FCE86}">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5207EE2-B89A-461F-B541-E3D5EB61F0C9}">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C9611B4A-ADAE-4F74-AD08-59F33963D32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25E85F7-99E8-41FE-AEF0-621CDF4920ED}">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76C3ED89-90CD-49D1-BAE6-5BD258CDC7C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34CBF4BB-5F13-45A1-9600-2223009FF4CD}">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AAC52DB6-E2BC-4A0A-8507-9D47FA4765D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DE28519D-3EDB-41FD-AF1B-D9A68626A02D}">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2ACA2BFB-A33A-4CCE-A716-09E944B622B1}">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9222C0B-BCE0-4370-B4D0-59F002863AAD}">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E6EEAD2A-2984-4175-BD66-623B6A861674}">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B3AFFF4-F985-4740-9265-D4CE05B3BF62}">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2E932BB-3017-4FEE-873A-7E80B53B8F8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9BBFE5CC-E1F4-47F3-AE77-606664EA7B7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7AE0E93C-E4C8-40C1-8E77-EF4236349DF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581B6A5-F37E-47DD-8F78-27170027BC1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FC8BC483-5FF0-4696-A513-E87C31D925EF}">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9FE16FF7-F7DC-406D-9685-1B47B19E71BE}">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498B3205-5DBF-4ABE-ACE6-FE55392AF327}">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8"/>
  <sheetViews>
    <sheetView zoomScale="70" zoomScaleNormal="70" workbookViewId="0">
      <selection activeCell="L8" sqref="L8"/>
    </sheetView>
  </sheetViews>
  <sheetFormatPr baseColWidth="10" defaultColWidth="11.42578125" defaultRowHeight="15" x14ac:dyDescent="0.25"/>
  <cols>
    <col min="1" max="1" width="7.5703125" style="2" customWidth="1"/>
    <col min="2" max="2" width="106.140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2" t="s">
        <v>1</v>
      </c>
      <c r="B1" s="24" t="s">
        <v>26</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3"/>
      <c r="B2" s="24"/>
      <c r="C2" s="3">
        <v>2026</v>
      </c>
      <c r="D2" s="3" t="s">
        <v>16</v>
      </c>
      <c r="E2" s="26"/>
      <c r="F2" s="26"/>
      <c r="G2" s="26"/>
      <c r="H2" s="26"/>
      <c r="I2" s="26"/>
      <c r="J2" s="26"/>
      <c r="K2" s="26"/>
      <c r="L2" s="26"/>
      <c r="M2" s="26"/>
      <c r="N2" s="26"/>
      <c r="O2" s="26"/>
      <c r="P2" s="26"/>
    </row>
    <row r="3" spans="1:16" ht="81" customHeight="1" x14ac:dyDescent="0.25">
      <c r="A3" s="27" t="s">
        <v>18</v>
      </c>
      <c r="B3" s="11" t="s">
        <v>27</v>
      </c>
      <c r="C3" s="6">
        <v>2</v>
      </c>
      <c r="D3" s="25">
        <f t="shared" ref="D3:D8" si="0">SUM(E3:P3)</f>
        <v>1</v>
      </c>
      <c r="E3" s="28">
        <v>1</v>
      </c>
      <c r="F3" s="28"/>
      <c r="G3" s="28"/>
      <c r="H3" s="28"/>
      <c r="I3" s="28"/>
      <c r="J3" s="28"/>
      <c r="K3" s="28"/>
      <c r="L3" s="28"/>
      <c r="M3" s="28"/>
      <c r="N3" s="28"/>
      <c r="O3" s="28"/>
      <c r="P3" s="28"/>
    </row>
    <row r="4" spans="1:16" ht="81" customHeight="1" x14ac:dyDescent="0.25">
      <c r="A4" s="29" t="s">
        <v>20</v>
      </c>
      <c r="B4" s="12" t="s">
        <v>19</v>
      </c>
      <c r="C4" s="30">
        <v>1</v>
      </c>
      <c r="D4" s="25">
        <f t="shared" si="0"/>
        <v>2</v>
      </c>
      <c r="E4" s="28">
        <v>0</v>
      </c>
      <c r="F4" s="28">
        <v>0</v>
      </c>
      <c r="G4" s="28">
        <v>0</v>
      </c>
      <c r="H4" s="28"/>
      <c r="I4" s="28">
        <v>1</v>
      </c>
      <c r="J4" s="28">
        <v>1</v>
      </c>
      <c r="K4" s="28"/>
      <c r="L4" s="28"/>
      <c r="M4" s="28"/>
      <c r="N4" s="28"/>
      <c r="O4" s="28"/>
      <c r="P4" s="28"/>
    </row>
    <row r="5" spans="1:16" ht="81" customHeight="1" x14ac:dyDescent="0.25">
      <c r="A5" s="31" t="s">
        <v>22</v>
      </c>
      <c r="B5" s="13" t="s">
        <v>28</v>
      </c>
      <c r="C5" s="14">
        <v>1</v>
      </c>
      <c r="D5" s="25">
        <f t="shared" si="0"/>
        <v>0</v>
      </c>
      <c r="E5" s="28">
        <v>0</v>
      </c>
      <c r="F5" s="28">
        <v>0</v>
      </c>
      <c r="G5" s="28">
        <v>0</v>
      </c>
      <c r="H5" s="28"/>
      <c r="I5" s="28"/>
      <c r="J5" s="28"/>
      <c r="K5" s="28"/>
      <c r="L5" s="28"/>
      <c r="M5" s="28"/>
      <c r="N5" s="28"/>
      <c r="O5" s="28"/>
      <c r="P5" s="28"/>
    </row>
    <row r="6" spans="1:16" ht="81" customHeight="1" x14ac:dyDescent="0.25">
      <c r="A6" s="27" t="s">
        <v>18</v>
      </c>
      <c r="B6" s="11" t="s">
        <v>29</v>
      </c>
      <c r="C6" s="32">
        <v>2</v>
      </c>
      <c r="D6" s="25">
        <f t="shared" si="0"/>
        <v>0</v>
      </c>
      <c r="E6" s="28"/>
      <c r="F6" s="28"/>
      <c r="G6" s="28"/>
      <c r="H6" s="28"/>
      <c r="I6" s="28"/>
      <c r="J6" s="28"/>
      <c r="K6" s="28"/>
      <c r="L6" s="28"/>
      <c r="M6" s="28"/>
      <c r="N6" s="28"/>
      <c r="O6" s="28"/>
      <c r="P6" s="28"/>
    </row>
    <row r="7" spans="1:16" ht="81" customHeight="1" x14ac:dyDescent="0.25">
      <c r="A7" s="27" t="s">
        <v>18</v>
      </c>
      <c r="B7" s="11" t="s">
        <v>30</v>
      </c>
      <c r="C7" s="32">
        <v>2</v>
      </c>
      <c r="D7" s="25">
        <f t="shared" si="0"/>
        <v>1</v>
      </c>
      <c r="E7" s="28">
        <v>1</v>
      </c>
      <c r="F7" s="28"/>
      <c r="G7" s="28"/>
      <c r="H7" s="28"/>
      <c r="I7" s="28"/>
      <c r="J7" s="28"/>
      <c r="K7" s="28"/>
      <c r="L7" s="28"/>
      <c r="M7" s="28"/>
      <c r="N7" s="28"/>
      <c r="O7" s="28"/>
      <c r="P7" s="28"/>
    </row>
    <row r="8" spans="1:16" ht="81" customHeight="1" x14ac:dyDescent="0.25">
      <c r="A8" s="27" t="s">
        <v>18</v>
      </c>
      <c r="B8" s="11" t="s">
        <v>31</v>
      </c>
      <c r="C8" s="32">
        <v>1</v>
      </c>
      <c r="D8" s="25">
        <f t="shared" si="0"/>
        <v>1</v>
      </c>
      <c r="E8" s="28">
        <v>1</v>
      </c>
      <c r="F8" s="28"/>
      <c r="G8" s="28"/>
      <c r="H8" s="28"/>
      <c r="I8" s="28"/>
      <c r="J8" s="28"/>
      <c r="K8" s="28"/>
      <c r="L8" s="28"/>
      <c r="M8" s="28"/>
      <c r="N8" s="28"/>
      <c r="O8" s="28"/>
      <c r="P8" s="28"/>
    </row>
    <row r="9" spans="1:16" ht="28.5" customHeight="1" x14ac:dyDescent="0.25">
      <c r="A9" s="44" t="s">
        <v>45</v>
      </c>
      <c r="B9" s="33" t="s">
        <v>46</v>
      </c>
      <c r="C9" s="32">
        <v>2</v>
      </c>
      <c r="D9" s="25">
        <f t="shared" ref="D9:D36" si="1">SUM(E9:O9)</f>
        <v>0</v>
      </c>
      <c r="E9" s="28"/>
      <c r="F9" s="28"/>
      <c r="G9" s="28"/>
      <c r="H9" s="28"/>
      <c r="I9" s="28"/>
      <c r="J9" s="28"/>
      <c r="K9" s="28"/>
      <c r="L9" s="28"/>
      <c r="M9" s="28"/>
      <c r="N9" s="28"/>
      <c r="O9" s="28"/>
      <c r="P9" s="34"/>
    </row>
    <row r="10" spans="1:16" ht="28.5" customHeight="1" x14ac:dyDescent="0.25">
      <c r="A10" s="45"/>
      <c r="B10" s="33" t="s">
        <v>47</v>
      </c>
      <c r="C10" s="32">
        <v>3</v>
      </c>
      <c r="D10" s="25">
        <f t="shared" si="1"/>
        <v>0</v>
      </c>
      <c r="E10" s="28"/>
      <c r="F10" s="28"/>
      <c r="G10" s="28"/>
      <c r="H10" s="28"/>
      <c r="I10" s="28"/>
      <c r="J10" s="28"/>
      <c r="K10" s="28"/>
      <c r="L10" s="28"/>
      <c r="M10" s="28"/>
      <c r="N10" s="28"/>
      <c r="O10" s="28"/>
      <c r="P10" s="34"/>
    </row>
    <row r="11" spans="1:16" ht="28.5" customHeight="1" x14ac:dyDescent="0.25">
      <c r="A11" s="45"/>
      <c r="B11" s="33" t="s">
        <v>48</v>
      </c>
      <c r="C11" s="32">
        <v>104</v>
      </c>
      <c r="D11" s="25">
        <f t="shared" si="1"/>
        <v>36</v>
      </c>
      <c r="E11" s="28">
        <v>5</v>
      </c>
      <c r="F11" s="28">
        <v>8</v>
      </c>
      <c r="G11" s="28">
        <v>8</v>
      </c>
      <c r="H11" s="28">
        <v>7</v>
      </c>
      <c r="I11" s="28">
        <v>7</v>
      </c>
      <c r="J11" s="28">
        <v>1</v>
      </c>
      <c r="K11" s="28"/>
      <c r="L11" s="28"/>
      <c r="M11" s="28"/>
      <c r="N11" s="28"/>
      <c r="O11" s="28"/>
      <c r="P11" s="34"/>
    </row>
    <row r="12" spans="1:16" ht="28.5" customHeight="1" x14ac:dyDescent="0.25">
      <c r="A12" s="45"/>
      <c r="B12" s="33" t="s">
        <v>49</v>
      </c>
      <c r="C12" s="32">
        <v>86</v>
      </c>
      <c r="D12" s="25">
        <f t="shared" si="1"/>
        <v>43</v>
      </c>
      <c r="E12" s="28"/>
      <c r="F12" s="28"/>
      <c r="G12" s="28">
        <v>5</v>
      </c>
      <c r="H12" s="28">
        <v>38</v>
      </c>
      <c r="I12" s="28"/>
      <c r="J12" s="28"/>
      <c r="K12" s="28"/>
      <c r="L12" s="28"/>
      <c r="M12" s="28"/>
      <c r="N12" s="28"/>
      <c r="O12" s="28"/>
      <c r="P12" s="34"/>
    </row>
    <row r="13" spans="1:16" ht="28.5" customHeight="1" x14ac:dyDescent="0.25">
      <c r="A13" s="45"/>
      <c r="B13" s="33" t="s">
        <v>50</v>
      </c>
      <c r="C13" s="32">
        <v>2</v>
      </c>
      <c r="D13" s="25">
        <f t="shared" si="1"/>
        <v>0</v>
      </c>
      <c r="E13" s="28"/>
      <c r="F13" s="28"/>
      <c r="G13" s="28"/>
      <c r="H13" s="28"/>
      <c r="I13" s="28"/>
      <c r="J13" s="28"/>
      <c r="K13" s="28"/>
      <c r="L13" s="28"/>
      <c r="M13" s="28"/>
      <c r="N13" s="28"/>
      <c r="O13" s="28"/>
      <c r="P13" s="34"/>
    </row>
    <row r="14" spans="1:16" ht="28.5" customHeight="1" x14ac:dyDescent="0.25">
      <c r="A14" s="45"/>
      <c r="B14" s="33" t="s">
        <v>51</v>
      </c>
      <c r="C14" s="32">
        <v>18</v>
      </c>
      <c r="D14" s="25">
        <f t="shared" si="1"/>
        <v>8</v>
      </c>
      <c r="E14" s="28">
        <v>2</v>
      </c>
      <c r="F14" s="28">
        <v>4</v>
      </c>
      <c r="G14" s="28"/>
      <c r="H14" s="28"/>
      <c r="I14" s="28">
        <v>1</v>
      </c>
      <c r="J14" s="28">
        <v>1</v>
      </c>
      <c r="K14" s="28"/>
      <c r="L14" s="28"/>
      <c r="M14" s="28"/>
      <c r="N14" s="28"/>
      <c r="O14" s="28"/>
      <c r="P14" s="34"/>
    </row>
    <row r="15" spans="1:16" ht="28.5" customHeight="1" x14ac:dyDescent="0.25">
      <c r="A15" s="45"/>
      <c r="B15" s="33" t="s">
        <v>52</v>
      </c>
      <c r="C15" s="32">
        <v>3</v>
      </c>
      <c r="D15" s="25">
        <f t="shared" si="1"/>
        <v>0</v>
      </c>
      <c r="E15" s="28"/>
      <c r="F15" s="28"/>
      <c r="G15" s="28"/>
      <c r="H15" s="28"/>
      <c r="I15" s="28"/>
      <c r="J15" s="28"/>
      <c r="K15" s="28"/>
      <c r="L15" s="28"/>
      <c r="M15" s="28"/>
      <c r="N15" s="28"/>
      <c r="O15" s="28"/>
      <c r="P15" s="34"/>
    </row>
    <row r="16" spans="1:16" ht="28.5" customHeight="1" x14ac:dyDescent="0.25">
      <c r="A16" s="45"/>
      <c r="B16" s="33" t="s">
        <v>53</v>
      </c>
      <c r="C16" s="32">
        <v>10</v>
      </c>
      <c r="D16" s="25">
        <f t="shared" si="1"/>
        <v>3</v>
      </c>
      <c r="E16" s="28"/>
      <c r="F16" s="28"/>
      <c r="G16" s="28"/>
      <c r="H16" s="28">
        <v>1</v>
      </c>
      <c r="I16" s="28">
        <v>2</v>
      </c>
      <c r="J16" s="28"/>
      <c r="K16" s="28"/>
      <c r="L16" s="28"/>
      <c r="M16" s="28"/>
      <c r="N16" s="28"/>
      <c r="O16" s="28"/>
      <c r="P16" s="34"/>
    </row>
    <row r="17" spans="1:16" ht="28.5" customHeight="1" x14ac:dyDescent="0.25">
      <c r="A17" s="45"/>
      <c r="B17" s="33" t="s">
        <v>54</v>
      </c>
      <c r="C17" s="32">
        <v>7</v>
      </c>
      <c r="D17" s="25">
        <f t="shared" si="1"/>
        <v>2</v>
      </c>
      <c r="E17" s="28"/>
      <c r="F17" s="28"/>
      <c r="G17" s="28">
        <v>1</v>
      </c>
      <c r="H17" s="28"/>
      <c r="I17" s="28">
        <v>1</v>
      </c>
      <c r="J17" s="28"/>
      <c r="K17" s="28"/>
      <c r="L17" s="28"/>
      <c r="M17" s="28"/>
      <c r="N17" s="28"/>
      <c r="O17" s="28"/>
      <c r="P17" s="34"/>
    </row>
    <row r="18" spans="1:16" ht="28.5" customHeight="1" x14ac:dyDescent="0.25">
      <c r="A18" s="45"/>
      <c r="B18" s="33" t="s">
        <v>55</v>
      </c>
      <c r="C18" s="32">
        <v>7</v>
      </c>
      <c r="D18" s="25">
        <f t="shared" si="1"/>
        <v>3</v>
      </c>
      <c r="E18" s="28">
        <v>2</v>
      </c>
      <c r="F18" s="28"/>
      <c r="G18" s="28">
        <v>1</v>
      </c>
      <c r="H18" s="28"/>
      <c r="I18" s="28"/>
      <c r="J18" s="28"/>
      <c r="K18" s="28"/>
      <c r="L18" s="28"/>
      <c r="M18" s="28"/>
      <c r="N18" s="28"/>
      <c r="O18" s="28"/>
      <c r="P18" s="34"/>
    </row>
    <row r="19" spans="1:16" ht="28.5" customHeight="1" x14ac:dyDescent="0.25">
      <c r="A19" s="45"/>
      <c r="B19" s="33" t="s">
        <v>56</v>
      </c>
      <c r="C19" s="32">
        <v>2</v>
      </c>
      <c r="D19" s="25">
        <f t="shared" si="1"/>
        <v>0</v>
      </c>
      <c r="E19" s="28"/>
      <c r="F19" s="28"/>
      <c r="G19" s="28"/>
      <c r="H19" s="28"/>
      <c r="I19" s="28"/>
      <c r="J19" s="28"/>
      <c r="K19" s="28"/>
      <c r="L19" s="28"/>
      <c r="M19" s="28"/>
      <c r="N19" s="28"/>
      <c r="O19" s="28"/>
      <c r="P19" s="34"/>
    </row>
    <row r="20" spans="1:16" ht="28.5" customHeight="1" x14ac:dyDescent="0.25">
      <c r="A20" s="45"/>
      <c r="B20" s="33" t="s">
        <v>57</v>
      </c>
      <c r="C20" s="32">
        <v>0</v>
      </c>
      <c r="D20" s="25">
        <f t="shared" si="1"/>
        <v>0</v>
      </c>
      <c r="E20" s="28"/>
      <c r="F20" s="28"/>
      <c r="G20" s="28"/>
      <c r="H20" s="28"/>
      <c r="I20" s="28"/>
      <c r="J20" s="28"/>
      <c r="K20" s="28"/>
      <c r="L20" s="28"/>
      <c r="M20" s="28"/>
      <c r="N20" s="28"/>
      <c r="O20" s="28"/>
      <c r="P20" s="34"/>
    </row>
    <row r="21" spans="1:16" ht="28.5" customHeight="1" x14ac:dyDescent="0.25">
      <c r="A21" s="45"/>
      <c r="B21" s="33" t="s">
        <v>58</v>
      </c>
      <c r="C21" s="32">
        <v>1</v>
      </c>
      <c r="D21" s="25">
        <f t="shared" si="1"/>
        <v>0</v>
      </c>
      <c r="E21" s="28"/>
      <c r="F21" s="28"/>
      <c r="G21" s="28"/>
      <c r="H21" s="28"/>
      <c r="I21" s="28"/>
      <c r="J21" s="28"/>
      <c r="K21" s="28"/>
      <c r="L21" s="28"/>
      <c r="M21" s="28"/>
      <c r="N21" s="28"/>
      <c r="O21" s="28"/>
      <c r="P21" s="34"/>
    </row>
    <row r="22" spans="1:16" ht="28.5" customHeight="1" x14ac:dyDescent="0.25">
      <c r="A22" s="45"/>
      <c r="B22" s="33" t="s">
        <v>59</v>
      </c>
      <c r="C22" s="32">
        <v>2</v>
      </c>
      <c r="D22" s="25">
        <f t="shared" si="1"/>
        <v>1</v>
      </c>
      <c r="E22" s="28"/>
      <c r="F22" s="28">
        <v>1</v>
      </c>
      <c r="G22" s="28"/>
      <c r="H22" s="28"/>
      <c r="I22" s="28"/>
      <c r="J22" s="28"/>
      <c r="K22" s="28"/>
      <c r="L22" s="28"/>
      <c r="M22" s="28"/>
      <c r="N22" s="28"/>
      <c r="O22" s="28"/>
      <c r="P22" s="34"/>
    </row>
    <row r="23" spans="1:16" ht="28.5" customHeight="1" x14ac:dyDescent="0.25">
      <c r="A23" s="45"/>
      <c r="B23" s="33" t="s">
        <v>60</v>
      </c>
      <c r="C23" s="32">
        <v>177</v>
      </c>
      <c r="D23" s="25">
        <f t="shared" si="1"/>
        <v>90</v>
      </c>
      <c r="E23" s="28">
        <v>47</v>
      </c>
      <c r="F23" s="28">
        <v>10</v>
      </c>
      <c r="G23" s="28"/>
      <c r="H23" s="28">
        <v>16</v>
      </c>
      <c r="I23" s="28">
        <v>13</v>
      </c>
      <c r="J23" s="28">
        <v>4</v>
      </c>
      <c r="K23" s="28"/>
      <c r="L23" s="28"/>
      <c r="M23" s="28"/>
      <c r="N23" s="28"/>
      <c r="O23" s="28"/>
      <c r="P23" s="34"/>
    </row>
    <row r="24" spans="1:16" ht="28.5" customHeight="1" x14ac:dyDescent="0.25">
      <c r="A24" s="45"/>
      <c r="B24" s="33" t="s">
        <v>61</v>
      </c>
      <c r="C24" s="32">
        <v>3</v>
      </c>
      <c r="D24" s="25">
        <f t="shared" si="1"/>
        <v>1</v>
      </c>
      <c r="E24" s="28">
        <v>1</v>
      </c>
      <c r="F24" s="28"/>
      <c r="G24" s="28"/>
      <c r="H24" s="28"/>
      <c r="I24" s="28"/>
      <c r="J24" s="28"/>
      <c r="K24" s="28"/>
      <c r="L24" s="28"/>
      <c r="M24" s="28"/>
      <c r="N24" s="28"/>
      <c r="O24" s="28"/>
      <c r="P24" s="34"/>
    </row>
    <row r="25" spans="1:16" ht="24" customHeight="1" x14ac:dyDescent="0.25">
      <c r="A25" s="45"/>
      <c r="B25" s="35" t="s">
        <v>62</v>
      </c>
      <c r="C25" s="32">
        <v>9</v>
      </c>
      <c r="D25" s="25">
        <f t="shared" si="1"/>
        <v>9</v>
      </c>
      <c r="E25" s="28"/>
      <c r="F25" s="28"/>
      <c r="G25" s="28">
        <v>2</v>
      </c>
      <c r="H25" s="28">
        <v>7</v>
      </c>
      <c r="I25" s="28"/>
      <c r="J25" s="28"/>
      <c r="K25" s="28"/>
      <c r="L25" s="28"/>
      <c r="M25" s="28"/>
      <c r="N25" s="28"/>
      <c r="O25" s="28"/>
      <c r="P25" s="34"/>
    </row>
    <row r="26" spans="1:16" ht="24" customHeight="1" x14ac:dyDescent="0.25">
      <c r="A26" s="45"/>
      <c r="B26" s="35" t="s">
        <v>63</v>
      </c>
      <c r="C26" s="32">
        <v>9</v>
      </c>
      <c r="D26" s="25">
        <f t="shared" si="1"/>
        <v>9</v>
      </c>
      <c r="E26" s="28"/>
      <c r="F26" s="28"/>
      <c r="G26" s="28"/>
      <c r="H26" s="28">
        <v>9</v>
      </c>
      <c r="I26" s="28"/>
      <c r="J26" s="28"/>
      <c r="K26" s="28"/>
      <c r="L26" s="28"/>
      <c r="M26" s="28"/>
      <c r="N26" s="28"/>
      <c r="O26" s="28"/>
      <c r="P26" s="34"/>
    </row>
    <row r="27" spans="1:16" ht="24" customHeight="1" x14ac:dyDescent="0.25">
      <c r="A27" s="45"/>
      <c r="B27" s="35" t="s">
        <v>64</v>
      </c>
      <c r="C27" s="32">
        <v>9</v>
      </c>
      <c r="D27" s="25">
        <f t="shared" si="1"/>
        <v>9</v>
      </c>
      <c r="E27" s="28"/>
      <c r="F27" s="28"/>
      <c r="G27" s="28"/>
      <c r="H27" s="28"/>
      <c r="I27" s="28">
        <v>9</v>
      </c>
      <c r="J27" s="28"/>
      <c r="K27" s="28"/>
      <c r="L27" s="28"/>
      <c r="M27" s="28"/>
      <c r="N27" s="28"/>
      <c r="O27" s="28"/>
      <c r="P27" s="34"/>
    </row>
    <row r="28" spans="1:16" ht="24" customHeight="1" x14ac:dyDescent="0.25">
      <c r="A28" s="45"/>
      <c r="B28" s="35" t="s">
        <v>65</v>
      </c>
      <c r="C28" s="32">
        <v>9</v>
      </c>
      <c r="D28" s="25">
        <f t="shared" si="1"/>
        <v>2</v>
      </c>
      <c r="E28" s="28"/>
      <c r="F28" s="28"/>
      <c r="G28" s="28"/>
      <c r="H28" s="28"/>
      <c r="I28" s="28"/>
      <c r="J28" s="28">
        <v>2</v>
      </c>
      <c r="K28" s="28"/>
      <c r="L28" s="28"/>
      <c r="M28" s="28"/>
      <c r="N28" s="28"/>
      <c r="O28" s="28"/>
      <c r="P28" s="34"/>
    </row>
    <row r="29" spans="1:16" ht="24" customHeight="1" x14ac:dyDescent="0.25">
      <c r="A29" s="45"/>
      <c r="B29" s="35" t="s">
        <v>66</v>
      </c>
      <c r="C29" s="32">
        <v>9</v>
      </c>
      <c r="D29" s="25">
        <f t="shared" si="1"/>
        <v>0</v>
      </c>
      <c r="E29" s="28"/>
      <c r="F29" s="28"/>
      <c r="G29" s="28"/>
      <c r="H29" s="28"/>
      <c r="I29" s="28"/>
      <c r="J29" s="28"/>
      <c r="K29" s="28"/>
      <c r="L29" s="28"/>
      <c r="M29" s="28"/>
      <c r="N29" s="28"/>
      <c r="O29" s="28"/>
      <c r="P29" s="34"/>
    </row>
    <row r="30" spans="1:16" ht="24" customHeight="1" x14ac:dyDescent="0.25">
      <c r="A30" s="45"/>
      <c r="B30" s="35" t="s">
        <v>67</v>
      </c>
      <c r="C30" s="32">
        <v>1</v>
      </c>
      <c r="D30" s="25">
        <f t="shared" si="1"/>
        <v>0</v>
      </c>
      <c r="E30" s="28"/>
      <c r="F30" s="28"/>
      <c r="G30" s="28"/>
      <c r="H30" s="28"/>
      <c r="I30" s="28"/>
      <c r="J30" s="28"/>
      <c r="K30" s="28"/>
      <c r="L30" s="28"/>
      <c r="M30" s="28"/>
      <c r="N30" s="28"/>
      <c r="O30" s="28"/>
      <c r="P30" s="34"/>
    </row>
    <row r="31" spans="1:16" ht="24" customHeight="1" x14ac:dyDescent="0.25">
      <c r="A31" s="45"/>
      <c r="B31" s="35" t="s">
        <v>68</v>
      </c>
      <c r="C31" s="32">
        <v>1</v>
      </c>
      <c r="D31" s="25">
        <f t="shared" si="1"/>
        <v>0</v>
      </c>
      <c r="E31" s="28"/>
      <c r="F31" s="28"/>
      <c r="G31" s="28"/>
      <c r="H31" s="28"/>
      <c r="I31" s="28"/>
      <c r="J31" s="28"/>
      <c r="K31" s="28"/>
      <c r="L31" s="28"/>
      <c r="M31" s="28"/>
      <c r="N31" s="28"/>
      <c r="O31" s="28"/>
      <c r="P31" s="34"/>
    </row>
    <row r="32" spans="1:16" ht="24" customHeight="1" x14ac:dyDescent="0.25">
      <c r="A32" s="45"/>
      <c r="B32" s="35" t="s">
        <v>69</v>
      </c>
      <c r="C32" s="32">
        <v>1</v>
      </c>
      <c r="D32" s="25">
        <f t="shared" si="1"/>
        <v>0</v>
      </c>
      <c r="E32" s="28"/>
      <c r="F32" s="28"/>
      <c r="G32" s="28"/>
      <c r="H32" s="28"/>
      <c r="I32" s="28"/>
      <c r="J32" s="28"/>
      <c r="K32" s="28"/>
      <c r="L32" s="28"/>
      <c r="M32" s="28"/>
      <c r="N32" s="28"/>
      <c r="O32" s="28"/>
      <c r="P32" s="34"/>
    </row>
    <row r="33" spans="1:16" ht="24" customHeight="1" x14ac:dyDescent="0.25">
      <c r="A33" s="45"/>
      <c r="B33" s="35" t="s">
        <v>70</v>
      </c>
      <c r="C33" s="32">
        <v>1</v>
      </c>
      <c r="D33" s="25">
        <f t="shared" si="1"/>
        <v>0</v>
      </c>
      <c r="E33" s="28"/>
      <c r="F33" s="28"/>
      <c r="G33" s="28"/>
      <c r="H33" s="28"/>
      <c r="I33" s="28"/>
      <c r="J33" s="28"/>
      <c r="K33" s="28"/>
      <c r="L33" s="28"/>
      <c r="M33" s="28"/>
      <c r="N33" s="28"/>
      <c r="O33" s="28"/>
      <c r="P33" s="34"/>
    </row>
    <row r="34" spans="1:16" ht="24" customHeight="1" x14ac:dyDescent="0.25">
      <c r="A34" s="45"/>
      <c r="B34" s="35" t="s">
        <v>71</v>
      </c>
      <c r="C34" s="32">
        <v>1</v>
      </c>
      <c r="D34" s="25">
        <f t="shared" si="1"/>
        <v>0</v>
      </c>
      <c r="E34" s="28"/>
      <c r="F34" s="28"/>
      <c r="G34" s="28"/>
      <c r="H34" s="28"/>
      <c r="I34" s="28"/>
      <c r="J34" s="28"/>
      <c r="K34" s="28"/>
      <c r="L34" s="28"/>
      <c r="M34" s="28"/>
      <c r="N34" s="28"/>
      <c r="O34" s="28"/>
      <c r="P34" s="34"/>
    </row>
    <row r="35" spans="1:16" ht="24" customHeight="1" x14ac:dyDescent="0.25">
      <c r="A35" s="45"/>
      <c r="B35" s="35" t="s">
        <v>72</v>
      </c>
      <c r="C35" s="32">
        <v>1</v>
      </c>
      <c r="D35" s="25">
        <f t="shared" si="1"/>
        <v>0</v>
      </c>
      <c r="E35" s="28"/>
      <c r="F35" s="28"/>
      <c r="G35" s="28"/>
      <c r="H35" s="28"/>
      <c r="I35" s="28"/>
      <c r="J35" s="28"/>
      <c r="K35" s="28"/>
      <c r="L35" s="28"/>
      <c r="M35" s="28"/>
      <c r="N35" s="28"/>
      <c r="O35" s="28"/>
      <c r="P35" s="34"/>
    </row>
    <row r="36" spans="1:16" ht="24" customHeight="1" thickBot="1" x14ac:dyDescent="0.3">
      <c r="A36" s="46"/>
      <c r="B36" s="36" t="s">
        <v>73</v>
      </c>
      <c r="C36" s="32">
        <v>1</v>
      </c>
      <c r="D36" s="25">
        <f t="shared" si="1"/>
        <v>0</v>
      </c>
      <c r="E36" s="28"/>
      <c r="F36" s="28"/>
      <c r="G36" s="28"/>
      <c r="H36" s="28"/>
      <c r="I36" s="28"/>
      <c r="J36" s="28"/>
      <c r="K36" s="28"/>
      <c r="L36" s="28"/>
      <c r="M36" s="28"/>
      <c r="N36" s="28"/>
      <c r="O36" s="28"/>
      <c r="P36" s="34"/>
    </row>
    <row r="37" spans="1:16" x14ac:dyDescent="0.25">
      <c r="C37" s="37">
        <f>SUM(C3:C36)</f>
        <v>488</v>
      </c>
      <c r="D37" s="38">
        <f>SUM(D3:D36)</f>
        <v>221</v>
      </c>
    </row>
    <row r="38" spans="1:16" x14ac:dyDescent="0.25">
      <c r="C38" s="10"/>
      <c r="D38" s="39">
        <f>D37/C37</f>
        <v>0.45286885245901637</v>
      </c>
    </row>
  </sheetData>
  <sheetProtection algorithmName="SHA-512" hashValue="Nw6mRhmIiO8yshyESlgxqAt5ZqplU+p9KtKxCbuJsyL9agBibgQvqIDZNE7lBX2jnwpnhGe6KZB27tAFWCvcXQ==" saltValue="dXYtkLahB147b5QvAThy4g==" spinCount="100000" sheet="1" objects="1" scenarios="1" autoFilter="0"/>
  <mergeCells count="2">
    <mergeCell ref="A1:A2"/>
    <mergeCell ref="A9:A36"/>
  </mergeCells>
  <conditionalFormatting sqref="C3:D3 D4:D8">
    <cfRule type="dataBar" priority="45">
      <dataBar>
        <cfvo type="min"/>
        <cfvo type="max"/>
        <color rgb="FF008AEF"/>
      </dataBar>
      <extLst>
        <ext xmlns:x14="http://schemas.microsoft.com/office/spreadsheetml/2009/9/main" uri="{B025F937-C7B1-47D3-B67F-A62EFF666E3E}">
          <x14:id>{3537BB28-B33E-4633-99D0-5337E882759C}</x14:id>
        </ext>
      </extLst>
    </cfRule>
  </conditionalFormatting>
  <conditionalFormatting sqref="C4:D4">
    <cfRule type="dataBar" priority="6">
      <dataBar>
        <cfvo type="min"/>
        <cfvo type="max"/>
        <color rgb="FF008AEF"/>
      </dataBar>
      <extLst>
        <ext xmlns:x14="http://schemas.microsoft.com/office/spreadsheetml/2009/9/main" uri="{B025F937-C7B1-47D3-B67F-A62EFF666E3E}">
          <x14:id>{E1873525-20CD-4E9A-A47A-7573507F50B9}</x14:id>
        </ext>
      </extLst>
    </cfRule>
  </conditionalFormatting>
  <conditionalFormatting sqref="C5:D5">
    <cfRule type="dataBar" priority="7">
      <dataBar>
        <cfvo type="min"/>
        <cfvo type="max"/>
        <color rgb="FF008AEF"/>
      </dataBar>
      <extLst>
        <ext xmlns:x14="http://schemas.microsoft.com/office/spreadsheetml/2009/9/main" uri="{B025F937-C7B1-47D3-B67F-A62EFF666E3E}">
          <x14:id>{BEE2F61C-9F64-4E6B-9549-6092F9E83260}</x14:id>
        </ext>
      </extLst>
    </cfRule>
  </conditionalFormatting>
  <conditionalFormatting sqref="C6:D6">
    <cfRule type="dataBar" priority="8">
      <dataBar>
        <cfvo type="min"/>
        <cfvo type="max"/>
        <color rgb="FF008AEF"/>
      </dataBar>
      <extLst>
        <ext xmlns:x14="http://schemas.microsoft.com/office/spreadsheetml/2009/9/main" uri="{B025F937-C7B1-47D3-B67F-A62EFF666E3E}">
          <x14:id>{C69EAA03-5F03-4843-B899-A4BD809002B3}</x14:id>
        </ext>
      </extLst>
    </cfRule>
  </conditionalFormatting>
  <conditionalFormatting sqref="C7:D7">
    <cfRule type="dataBar" priority="9">
      <dataBar>
        <cfvo type="min"/>
        <cfvo type="max"/>
        <color rgb="FF008AEF"/>
      </dataBar>
      <extLst>
        <ext xmlns:x14="http://schemas.microsoft.com/office/spreadsheetml/2009/9/main" uri="{B025F937-C7B1-47D3-B67F-A62EFF666E3E}">
          <x14:id>{A12DCE99-12D7-4028-9391-433872D76E6F}</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{40783470-92FE-44CC-82CD-3F179AE2CA63}</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{AD14C8F1-10B4-413B-AED1-7542832EF50C}</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{820B9290-3D5A-467F-8056-C77D940CB0ED}</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{2C1A0202-9B24-471A-B0FD-CA0B803F6490}</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{222FC525-7A37-4406-88D0-3F43EFFC0DED}</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{7A5E3E02-42C7-4A1C-B1A4-82ADCCBAF5E6}</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{945E9457-AE58-41EC-9DF7-1BD48A579AEC}</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{49566523-62D0-4E64-AA6E-2D6828865DF5}</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{A4F064BD-E3E4-4B1A-9E73-E93E1E98C57F}</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{44804933-B694-4772-94D3-E326C97C0035}</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{8265D6AB-10A9-48CA-A1EF-D2AAC636F164}</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{F0EB41C8-6CEC-4BC6-914C-388939F153F8}</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{99020274-9E22-44C5-B7F1-3B52CF90CCA8}</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{53370754-2563-4BF3-9ACA-13CA514696BA}</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{619DF0FC-6BA7-4773-B5E4-BF6C473C4041}</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{1643CFB1-8D46-479F-AE55-B80AC0A443F5}</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{7AD2BB4F-8DA3-4208-8B58-DD0CFA86FCCE}</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{EDB912E6-4B9E-4714-BCF4-F508EFF19838}</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{5AF2F374-AE38-4C22-BD46-545D48BAECAC}</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{DCDF7D48-2B5D-45A2-9BF1-88CFFC7164EE}</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{14F60DFB-2C17-41CB-9329-5981477E55A1}</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{106ACE26-E12B-44D5-B255-7001F3795FAB}</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{8642EB1F-DE89-42C6-ADF8-277704C7D3CC}</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{1137DEDA-9056-4662-96AA-D73B8653A4BB}</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{B7311025-C039-44A3-A408-B0D6682A2E93}</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{C9A9F835-9F53-497C-BF44-F321A9538A08}</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{88CDDE3C-07A7-43E8-A9B9-0C8975E6E732}</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{20F9BCBC-3BF1-48D4-8E87-1544107B9CAF}</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{AE1FCA68-2F1D-4427-903C-8485BC889745}</x14:id>
        </ext>
      </extLst>
    </cfRule>
  </conditionalFormatting>
  <conditionalFormatting sqref="E3:F32 E33:O36">
    <cfRule type="cellIs" dxfId="6" priority="3" operator="greaterThan">
      <formula>0</formula>
    </cfRule>
  </conditionalFormatting>
  <conditionalFormatting sqref="G9:O32">
    <cfRule type="cellIs" dxfId="5" priority="12" operator="greaterThan">
      <formula>0</formula>
    </cfRule>
  </conditionalFormatting>
  <conditionalFormatting sqref="G3:P8">
    <cfRule type="cellIs" dxfId="4"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537BB28-B33E-4633-99D0-5337E882759C}">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E1873525-20CD-4E9A-A47A-7573507F50B9}">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BEE2F61C-9F64-4E6B-9549-6092F9E8326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C69EAA03-5F03-4843-B899-A4BD809002B3}">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A12DCE99-12D7-4028-9391-433872D76E6F}">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40783470-92FE-44CC-82CD-3F179AE2CA6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AD14C8F1-10B4-413B-AED1-7542832EF50C}">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820B9290-3D5A-467F-8056-C77D940CB0ED}">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2C1A0202-9B24-471A-B0FD-CA0B803F6490}">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222FC525-7A37-4406-88D0-3F43EFFC0DED}">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A5E3E02-42C7-4A1C-B1A4-82ADCCBAF5E6}">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945E9457-AE58-41EC-9DF7-1BD48A579AEC}">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49566523-62D0-4E64-AA6E-2D6828865DF5}">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4F064BD-E3E4-4B1A-9E73-E93E1E98C57F}">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4804933-B694-4772-94D3-E326C97C0035}">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8265D6AB-10A9-48CA-A1EF-D2AAC636F164}">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F0EB41C8-6CEC-4BC6-914C-388939F153F8}">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99020274-9E22-44C5-B7F1-3B52CF90CCA8}">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53370754-2563-4BF3-9ACA-13CA514696BA}">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619DF0FC-6BA7-4773-B5E4-BF6C473C4041}">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1643CFB1-8D46-479F-AE55-B80AC0A443F5}">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AD2BB4F-8DA3-4208-8B58-DD0CFA86FCCE}">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EDB912E6-4B9E-4714-BCF4-F508EFF19838}">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5AF2F374-AE38-4C22-BD46-545D48BAECAC}">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DCDF7D48-2B5D-45A2-9BF1-88CFFC7164EE}">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14F60DFB-2C17-41CB-9329-5981477E55A1}">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106ACE26-E12B-44D5-B255-7001F3795FAB}">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642EB1F-DE89-42C6-ADF8-277704C7D3CC}">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1137DEDA-9056-4662-96AA-D73B8653A4BB}">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7311025-C039-44A3-A408-B0D6682A2E93}">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9A9F835-9F53-497C-BF44-F321A9538A08}">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88CDDE3C-07A7-43E8-A9B9-0C8975E6E732}">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20F9BCBC-3BF1-48D4-8E87-1544107B9CAF}">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AE1FCA68-2F1D-4427-903C-8485BC889745}">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8"/>
  <sheetViews>
    <sheetView zoomScale="71" zoomScaleNormal="71" workbookViewId="0">
      <selection activeCell="M11" sqref="M11"/>
    </sheetView>
  </sheetViews>
  <sheetFormatPr baseColWidth="10" defaultColWidth="11.42578125" defaultRowHeight="15" x14ac:dyDescent="0.25"/>
  <cols>
    <col min="1" max="1" width="8.7109375" style="2" customWidth="1"/>
    <col min="2" max="2" width="107" style="2" customWidth="1"/>
    <col min="3" max="3" width="11.42578125" style="2"/>
    <col min="4" max="4" width="22.42578125" style="2" customWidth="1"/>
    <col min="5" max="9" width="17.28515625" style="2" customWidth="1"/>
    <col min="10" max="16384" width="11.42578125" style="2"/>
  </cols>
  <sheetData>
    <row r="1" spans="1:16" ht="61.5" customHeight="1" x14ac:dyDescent="0.25">
      <c r="A1" s="42" t="s">
        <v>1</v>
      </c>
      <c r="B1" s="24" t="s">
        <v>74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3"/>
      <c r="B2" s="24"/>
      <c r="C2" s="3">
        <v>2026</v>
      </c>
      <c r="D2" s="3" t="s">
        <v>16</v>
      </c>
      <c r="E2" s="26"/>
      <c r="F2" s="26"/>
      <c r="G2" s="26"/>
      <c r="H2" s="26"/>
      <c r="I2" s="26"/>
      <c r="J2" s="26"/>
      <c r="K2" s="26"/>
      <c r="L2" s="26"/>
      <c r="M2" s="26"/>
      <c r="N2" s="26"/>
      <c r="O2" s="26"/>
      <c r="P2" s="26"/>
    </row>
    <row r="3" spans="1:16" ht="81" customHeight="1" x14ac:dyDescent="0.25">
      <c r="A3" s="27" t="s">
        <v>18</v>
      </c>
      <c r="B3" s="15" t="s">
        <v>27</v>
      </c>
      <c r="C3" s="6">
        <v>2</v>
      </c>
      <c r="D3" s="25">
        <f t="shared" ref="D3:D8" si="0">SUM(E3:P3)</f>
        <v>0</v>
      </c>
      <c r="E3" s="28"/>
      <c r="F3" s="28"/>
      <c r="G3" s="28"/>
      <c r="H3" s="28"/>
      <c r="I3" s="28"/>
      <c r="J3" s="28"/>
      <c r="K3" s="28"/>
      <c r="L3" s="28"/>
      <c r="M3" s="28"/>
      <c r="N3" s="28"/>
      <c r="O3" s="28"/>
      <c r="P3" s="28"/>
    </row>
    <row r="4" spans="1:16" ht="81" customHeight="1" x14ac:dyDescent="0.25">
      <c r="A4" s="29" t="s">
        <v>20</v>
      </c>
      <c r="B4" s="16" t="s">
        <v>19</v>
      </c>
      <c r="C4" s="30">
        <v>1</v>
      </c>
      <c r="D4" s="25">
        <f t="shared" si="0"/>
        <v>0</v>
      </c>
      <c r="E4" s="28">
        <v>0</v>
      </c>
      <c r="F4" s="28">
        <v>0</v>
      </c>
      <c r="G4" s="28">
        <v>0</v>
      </c>
      <c r="H4" s="28">
        <v>0</v>
      </c>
      <c r="I4" s="28"/>
      <c r="J4" s="28"/>
      <c r="K4" s="28"/>
      <c r="L4" s="28"/>
      <c r="M4" s="28"/>
      <c r="N4" s="28"/>
      <c r="O4" s="28"/>
      <c r="P4" s="28"/>
    </row>
    <row r="5" spans="1:16" ht="81" customHeight="1" x14ac:dyDescent="0.25">
      <c r="A5" s="27" t="s">
        <v>18</v>
      </c>
      <c r="B5" s="15" t="s">
        <v>32</v>
      </c>
      <c r="C5" s="32">
        <v>1</v>
      </c>
      <c r="D5" s="25">
        <f t="shared" si="0"/>
        <v>0</v>
      </c>
      <c r="E5" s="28"/>
      <c r="F5" s="28"/>
      <c r="G5" s="28"/>
      <c r="H5" s="28"/>
      <c r="I5" s="28"/>
      <c r="J5" s="28"/>
      <c r="K5" s="28"/>
      <c r="L5" s="28"/>
      <c r="M5" s="28"/>
      <c r="N5" s="28"/>
      <c r="O5" s="28"/>
      <c r="P5" s="28"/>
    </row>
    <row r="6" spans="1:16" ht="81" customHeight="1" x14ac:dyDescent="0.25">
      <c r="A6" s="27" t="s">
        <v>18</v>
      </c>
      <c r="B6" s="15" t="s">
        <v>33</v>
      </c>
      <c r="C6" s="32">
        <v>2</v>
      </c>
      <c r="D6" s="25">
        <f t="shared" si="0"/>
        <v>0</v>
      </c>
      <c r="E6" s="28"/>
      <c r="F6" s="28"/>
      <c r="G6" s="28"/>
      <c r="H6" s="28"/>
      <c r="I6" s="28"/>
      <c r="J6" s="28"/>
      <c r="K6" s="28"/>
      <c r="L6" s="28"/>
      <c r="M6" s="28"/>
      <c r="N6" s="28"/>
      <c r="O6" s="28"/>
      <c r="P6" s="28"/>
    </row>
    <row r="7" spans="1:16" ht="81" customHeight="1" x14ac:dyDescent="0.25">
      <c r="A7" s="27" t="s">
        <v>18</v>
      </c>
      <c r="B7" s="15" t="s">
        <v>34</v>
      </c>
      <c r="C7" s="32">
        <v>1</v>
      </c>
      <c r="D7" s="25">
        <f t="shared" si="0"/>
        <v>0</v>
      </c>
      <c r="E7" s="28"/>
      <c r="F7" s="28"/>
      <c r="G7" s="28"/>
      <c r="H7" s="28"/>
      <c r="I7" s="28"/>
      <c r="J7" s="28"/>
      <c r="K7" s="28"/>
      <c r="L7" s="28"/>
      <c r="M7" s="28"/>
      <c r="N7" s="28"/>
      <c r="O7" s="28"/>
      <c r="P7" s="28"/>
    </row>
    <row r="8" spans="1:16" ht="81" customHeight="1" x14ac:dyDescent="0.25">
      <c r="A8" s="27" t="s">
        <v>18</v>
      </c>
      <c r="B8" s="17" t="s">
        <v>35</v>
      </c>
      <c r="C8" s="32">
        <v>1</v>
      </c>
      <c r="D8" s="25">
        <f t="shared" si="0"/>
        <v>0</v>
      </c>
      <c r="E8" s="28"/>
      <c r="F8" s="28"/>
      <c r="G8" s="28"/>
      <c r="H8" s="28"/>
      <c r="I8" s="28"/>
      <c r="J8" s="28"/>
      <c r="K8" s="28"/>
      <c r="L8" s="28"/>
      <c r="M8" s="28"/>
      <c r="N8" s="28"/>
      <c r="O8" s="28"/>
      <c r="P8" s="28"/>
    </row>
    <row r="9" spans="1:16" ht="28.5" customHeight="1" x14ac:dyDescent="0.25">
      <c r="A9" s="44" t="s">
        <v>45</v>
      </c>
      <c r="B9" s="33" t="s">
        <v>46</v>
      </c>
      <c r="C9" s="32">
        <v>0</v>
      </c>
      <c r="D9" s="25">
        <f t="shared" ref="D9:D36" si="1">SUM(E9:O9)</f>
        <v>0</v>
      </c>
      <c r="E9" s="28"/>
      <c r="F9" s="28"/>
      <c r="G9" s="28"/>
      <c r="H9" s="28"/>
      <c r="I9" s="28"/>
      <c r="J9" s="28"/>
      <c r="K9" s="28"/>
      <c r="L9" s="28"/>
      <c r="M9" s="28"/>
      <c r="N9" s="28"/>
      <c r="O9" s="28"/>
      <c r="P9" s="34"/>
    </row>
    <row r="10" spans="1:16" ht="28.5" customHeight="1" x14ac:dyDescent="0.25">
      <c r="A10" s="45"/>
      <c r="B10" s="33" t="s">
        <v>47</v>
      </c>
      <c r="C10" s="32">
        <v>0</v>
      </c>
      <c r="D10" s="25">
        <f t="shared" si="1"/>
        <v>0</v>
      </c>
      <c r="E10" s="28"/>
      <c r="F10" s="28"/>
      <c r="G10" s="28"/>
      <c r="H10" s="28"/>
      <c r="I10" s="28"/>
      <c r="J10" s="28"/>
      <c r="K10" s="28"/>
      <c r="L10" s="28"/>
      <c r="M10" s="28"/>
      <c r="N10" s="28"/>
      <c r="O10" s="28"/>
      <c r="P10" s="34"/>
    </row>
    <row r="11" spans="1:16" ht="28.5" customHeight="1" x14ac:dyDescent="0.25">
      <c r="A11" s="45"/>
      <c r="B11" s="33" t="s">
        <v>48</v>
      </c>
      <c r="C11" s="32">
        <v>40</v>
      </c>
      <c r="D11" s="25">
        <f t="shared" si="1"/>
        <v>20</v>
      </c>
      <c r="E11" s="28">
        <v>4</v>
      </c>
      <c r="F11" s="28">
        <v>6</v>
      </c>
      <c r="G11" s="28"/>
      <c r="H11" s="28">
        <v>4</v>
      </c>
      <c r="I11" s="28">
        <v>6</v>
      </c>
      <c r="J11" s="28"/>
      <c r="K11" s="28"/>
      <c r="L11" s="28"/>
      <c r="M11" s="28"/>
      <c r="N11" s="28"/>
      <c r="O11" s="28"/>
      <c r="P11" s="34"/>
    </row>
    <row r="12" spans="1:16" ht="28.5" customHeight="1" x14ac:dyDescent="0.25">
      <c r="A12" s="45"/>
      <c r="B12" s="33" t="s">
        <v>49</v>
      </c>
      <c r="C12" s="32">
        <v>11</v>
      </c>
      <c r="D12" s="25">
        <f t="shared" si="1"/>
        <v>13</v>
      </c>
      <c r="E12" s="28"/>
      <c r="F12" s="28"/>
      <c r="G12" s="28">
        <v>10</v>
      </c>
      <c r="H12" s="28">
        <v>3</v>
      </c>
      <c r="I12" s="28"/>
      <c r="J12" s="28"/>
      <c r="K12" s="28"/>
      <c r="L12" s="28"/>
      <c r="M12" s="28"/>
      <c r="N12" s="28"/>
      <c r="O12" s="28"/>
      <c r="P12" s="34"/>
    </row>
    <row r="13" spans="1:16" ht="28.5" customHeight="1" x14ac:dyDescent="0.25">
      <c r="A13" s="45"/>
      <c r="B13" s="33" t="s">
        <v>50</v>
      </c>
      <c r="C13" s="32">
        <v>0</v>
      </c>
      <c r="D13" s="25">
        <f t="shared" si="1"/>
        <v>0</v>
      </c>
      <c r="E13" s="28"/>
      <c r="F13" s="28"/>
      <c r="G13" s="28"/>
      <c r="H13" s="28"/>
      <c r="I13" s="28"/>
      <c r="J13" s="28"/>
      <c r="K13" s="28"/>
      <c r="L13" s="28"/>
      <c r="M13" s="28"/>
      <c r="N13" s="28"/>
      <c r="O13" s="28"/>
      <c r="P13" s="34"/>
    </row>
    <row r="14" spans="1:16" ht="28.5" customHeight="1" x14ac:dyDescent="0.25">
      <c r="A14" s="45"/>
      <c r="B14" s="33" t="s">
        <v>51</v>
      </c>
      <c r="C14" s="32">
        <v>17</v>
      </c>
      <c r="D14" s="25">
        <f t="shared" si="1"/>
        <v>2</v>
      </c>
      <c r="E14" s="28"/>
      <c r="F14" s="28"/>
      <c r="G14" s="28"/>
      <c r="H14" s="28"/>
      <c r="I14" s="28">
        <v>2</v>
      </c>
      <c r="J14" s="28"/>
      <c r="K14" s="28"/>
      <c r="L14" s="28"/>
      <c r="M14" s="28"/>
      <c r="N14" s="28"/>
      <c r="O14" s="28"/>
      <c r="P14" s="34"/>
    </row>
    <row r="15" spans="1:16" ht="28.5" customHeight="1" x14ac:dyDescent="0.25">
      <c r="A15" s="45"/>
      <c r="B15" s="33" t="s">
        <v>52</v>
      </c>
      <c r="C15" s="32">
        <v>0</v>
      </c>
      <c r="D15" s="25">
        <f t="shared" si="1"/>
        <v>0</v>
      </c>
      <c r="E15" s="28"/>
      <c r="F15" s="28"/>
      <c r="G15" s="28"/>
      <c r="H15" s="28"/>
      <c r="I15" s="28"/>
      <c r="J15" s="28"/>
      <c r="K15" s="28"/>
      <c r="L15" s="28"/>
      <c r="M15" s="28"/>
      <c r="N15" s="28"/>
      <c r="O15" s="28"/>
      <c r="P15" s="34"/>
    </row>
    <row r="16" spans="1:16" ht="28.5" customHeight="1" x14ac:dyDescent="0.25">
      <c r="A16" s="45"/>
      <c r="B16" s="33" t="s">
        <v>53</v>
      </c>
      <c r="C16" s="32">
        <v>6</v>
      </c>
      <c r="D16" s="25">
        <f t="shared" si="1"/>
        <v>0</v>
      </c>
      <c r="E16" s="28"/>
      <c r="F16" s="28"/>
      <c r="G16" s="28"/>
      <c r="H16" s="28"/>
      <c r="I16" s="28"/>
      <c r="J16" s="28"/>
      <c r="K16" s="28"/>
      <c r="L16" s="28"/>
      <c r="M16" s="28"/>
      <c r="N16" s="28"/>
      <c r="O16" s="28"/>
      <c r="P16" s="34"/>
    </row>
    <row r="17" spans="1:16" ht="28.5" customHeight="1" x14ac:dyDescent="0.25">
      <c r="A17" s="45"/>
      <c r="B17" s="33" t="s">
        <v>54</v>
      </c>
      <c r="C17" s="32">
        <v>0</v>
      </c>
      <c r="D17" s="25">
        <f t="shared" si="1"/>
        <v>0</v>
      </c>
      <c r="E17" s="28"/>
      <c r="F17" s="28"/>
      <c r="G17" s="28"/>
      <c r="H17" s="28"/>
      <c r="I17" s="28"/>
      <c r="J17" s="28"/>
      <c r="K17" s="28"/>
      <c r="L17" s="28"/>
      <c r="M17" s="28"/>
      <c r="N17" s="28"/>
      <c r="O17" s="28"/>
      <c r="P17" s="34"/>
    </row>
    <row r="18" spans="1:16" ht="28.5" customHeight="1" x14ac:dyDescent="0.25">
      <c r="A18" s="45"/>
      <c r="B18" s="33" t="s">
        <v>55</v>
      </c>
      <c r="C18" s="32">
        <v>2</v>
      </c>
      <c r="D18" s="25">
        <f t="shared" si="1"/>
        <v>2</v>
      </c>
      <c r="E18" s="28"/>
      <c r="F18" s="28">
        <v>1</v>
      </c>
      <c r="G18" s="28"/>
      <c r="H18" s="28"/>
      <c r="I18" s="28">
        <v>1</v>
      </c>
      <c r="J18" s="28"/>
      <c r="K18" s="28"/>
      <c r="L18" s="28"/>
      <c r="M18" s="28"/>
      <c r="N18" s="28"/>
      <c r="O18" s="28"/>
      <c r="P18" s="34"/>
    </row>
    <row r="19" spans="1:16" ht="28.5" customHeight="1" x14ac:dyDescent="0.25">
      <c r="A19" s="45"/>
      <c r="B19" s="33" t="s">
        <v>56</v>
      </c>
      <c r="C19" s="32">
        <v>0</v>
      </c>
      <c r="D19" s="25">
        <f t="shared" si="1"/>
        <v>0</v>
      </c>
      <c r="E19" s="28"/>
      <c r="F19" s="28"/>
      <c r="G19" s="28"/>
      <c r="H19" s="28"/>
      <c r="I19" s="28"/>
      <c r="J19" s="28"/>
      <c r="K19" s="28"/>
      <c r="L19" s="28"/>
      <c r="M19" s="28"/>
      <c r="N19" s="28"/>
      <c r="O19" s="28"/>
      <c r="P19" s="34"/>
    </row>
    <row r="20" spans="1:16" ht="28.5" customHeight="1" x14ac:dyDescent="0.25">
      <c r="A20" s="45"/>
      <c r="B20" s="33" t="s">
        <v>57</v>
      </c>
      <c r="C20" s="32">
        <v>0</v>
      </c>
      <c r="D20" s="25">
        <f t="shared" si="1"/>
        <v>0</v>
      </c>
      <c r="E20" s="28"/>
      <c r="F20" s="28"/>
      <c r="G20" s="28"/>
      <c r="H20" s="28"/>
      <c r="I20" s="28"/>
      <c r="J20" s="28"/>
      <c r="K20" s="28"/>
      <c r="L20" s="28"/>
      <c r="M20" s="28"/>
      <c r="N20" s="28"/>
      <c r="O20" s="28"/>
      <c r="P20" s="34"/>
    </row>
    <row r="21" spans="1:16" ht="28.5" customHeight="1" x14ac:dyDescent="0.25">
      <c r="A21" s="45"/>
      <c r="B21" s="33" t="s">
        <v>58</v>
      </c>
      <c r="C21" s="32">
        <v>0</v>
      </c>
      <c r="D21" s="25">
        <f t="shared" si="1"/>
        <v>0</v>
      </c>
      <c r="E21" s="28"/>
      <c r="F21" s="28"/>
      <c r="G21" s="28"/>
      <c r="H21" s="28"/>
      <c r="I21" s="28"/>
      <c r="J21" s="28"/>
      <c r="K21" s="28"/>
      <c r="L21" s="28"/>
      <c r="M21" s="28"/>
      <c r="N21" s="28"/>
      <c r="O21" s="28"/>
      <c r="P21" s="34"/>
    </row>
    <row r="22" spans="1:16" ht="28.5" customHeight="1" x14ac:dyDescent="0.25">
      <c r="A22" s="45"/>
      <c r="B22" s="33" t="s">
        <v>59</v>
      </c>
      <c r="C22" s="32">
        <v>0</v>
      </c>
      <c r="D22" s="25">
        <f t="shared" si="1"/>
        <v>0</v>
      </c>
      <c r="E22" s="28"/>
      <c r="F22" s="28"/>
      <c r="G22" s="28"/>
      <c r="H22" s="28"/>
      <c r="I22" s="28"/>
      <c r="J22" s="28"/>
      <c r="K22" s="28"/>
      <c r="L22" s="28"/>
      <c r="M22" s="28"/>
      <c r="N22" s="28"/>
      <c r="O22" s="28"/>
      <c r="P22" s="34"/>
    </row>
    <row r="23" spans="1:16" ht="28.5" customHeight="1" x14ac:dyDescent="0.25">
      <c r="A23" s="45"/>
      <c r="B23" s="33" t="s">
        <v>60</v>
      </c>
      <c r="C23" s="32">
        <v>120</v>
      </c>
      <c r="D23" s="25">
        <f t="shared" si="1"/>
        <v>38</v>
      </c>
      <c r="E23" s="28"/>
      <c r="F23" s="28"/>
      <c r="G23" s="28">
        <v>30</v>
      </c>
      <c r="H23" s="28"/>
      <c r="I23" s="28"/>
      <c r="J23" s="28">
        <v>8</v>
      </c>
      <c r="K23" s="28"/>
      <c r="L23" s="28"/>
      <c r="M23" s="28"/>
      <c r="N23" s="28"/>
      <c r="O23" s="28"/>
      <c r="P23" s="34"/>
    </row>
    <row r="24" spans="1:16" ht="28.5" customHeight="1" x14ac:dyDescent="0.25">
      <c r="A24" s="45"/>
      <c r="B24" s="33" t="s">
        <v>61</v>
      </c>
      <c r="C24" s="32">
        <v>4</v>
      </c>
      <c r="D24" s="25">
        <f t="shared" si="1"/>
        <v>4</v>
      </c>
      <c r="E24" s="28"/>
      <c r="F24" s="28"/>
      <c r="G24" s="28"/>
      <c r="H24" s="28">
        <v>1</v>
      </c>
      <c r="I24" s="28">
        <v>3</v>
      </c>
      <c r="J24" s="28"/>
      <c r="K24" s="28"/>
      <c r="L24" s="28"/>
      <c r="M24" s="28"/>
      <c r="N24" s="28"/>
      <c r="O24" s="28"/>
      <c r="P24" s="34"/>
    </row>
    <row r="25" spans="1:16" ht="24" customHeight="1" x14ac:dyDescent="0.25">
      <c r="A25" s="45"/>
      <c r="B25" s="35" t="s">
        <v>62</v>
      </c>
      <c r="C25" s="32">
        <v>5</v>
      </c>
      <c r="D25" s="25">
        <f t="shared" si="1"/>
        <v>5</v>
      </c>
      <c r="E25" s="28"/>
      <c r="F25" s="28"/>
      <c r="G25" s="28">
        <v>5</v>
      </c>
      <c r="H25" s="28"/>
      <c r="I25" s="28"/>
      <c r="J25" s="28"/>
      <c r="K25" s="28"/>
      <c r="L25" s="28"/>
      <c r="M25" s="28"/>
      <c r="N25" s="28"/>
      <c r="O25" s="28"/>
      <c r="P25" s="34"/>
    </row>
    <row r="26" spans="1:16" ht="24" customHeight="1" x14ac:dyDescent="0.25">
      <c r="A26" s="45"/>
      <c r="B26" s="35" t="s">
        <v>63</v>
      </c>
      <c r="C26" s="32">
        <v>5</v>
      </c>
      <c r="D26" s="25">
        <f t="shared" si="1"/>
        <v>5</v>
      </c>
      <c r="E26" s="28"/>
      <c r="F26" s="28"/>
      <c r="G26" s="28"/>
      <c r="H26" s="28">
        <v>5</v>
      </c>
      <c r="I26" s="28"/>
      <c r="J26" s="28"/>
      <c r="K26" s="28"/>
      <c r="L26" s="28"/>
      <c r="M26" s="28"/>
      <c r="N26" s="28"/>
      <c r="O26" s="28"/>
      <c r="P26" s="34"/>
    </row>
    <row r="27" spans="1:16" ht="24" customHeight="1" x14ac:dyDescent="0.25">
      <c r="A27" s="45"/>
      <c r="B27" s="35" t="s">
        <v>64</v>
      </c>
      <c r="C27" s="32">
        <v>5</v>
      </c>
      <c r="D27" s="25">
        <f t="shared" si="1"/>
        <v>5</v>
      </c>
      <c r="E27" s="28"/>
      <c r="F27" s="28"/>
      <c r="G27" s="28"/>
      <c r="H27" s="28"/>
      <c r="I27" s="28">
        <v>5</v>
      </c>
      <c r="J27" s="28"/>
      <c r="K27" s="28"/>
      <c r="L27" s="28"/>
      <c r="M27" s="28"/>
      <c r="N27" s="28"/>
      <c r="O27" s="28"/>
      <c r="P27" s="34"/>
    </row>
    <row r="28" spans="1:16" ht="24" customHeight="1" x14ac:dyDescent="0.25">
      <c r="A28" s="45"/>
      <c r="B28" s="35" t="s">
        <v>65</v>
      </c>
      <c r="C28" s="32">
        <v>5</v>
      </c>
      <c r="D28" s="25">
        <f t="shared" si="1"/>
        <v>0</v>
      </c>
      <c r="E28" s="28"/>
      <c r="F28" s="28"/>
      <c r="G28" s="28"/>
      <c r="H28" s="28"/>
      <c r="I28" s="28"/>
      <c r="J28" s="28"/>
      <c r="K28" s="28"/>
      <c r="L28" s="28"/>
      <c r="M28" s="28"/>
      <c r="N28" s="28"/>
      <c r="O28" s="28"/>
      <c r="P28" s="34"/>
    </row>
    <row r="29" spans="1:16" ht="24" customHeight="1" x14ac:dyDescent="0.25">
      <c r="A29" s="45"/>
      <c r="B29" s="35" t="s">
        <v>66</v>
      </c>
      <c r="C29" s="32">
        <v>5</v>
      </c>
      <c r="D29" s="25">
        <f t="shared" si="1"/>
        <v>0</v>
      </c>
      <c r="E29" s="28"/>
      <c r="F29" s="28"/>
      <c r="G29" s="28"/>
      <c r="H29" s="28"/>
      <c r="I29" s="28"/>
      <c r="J29" s="28"/>
      <c r="K29" s="28"/>
      <c r="L29" s="28"/>
      <c r="M29" s="28"/>
      <c r="N29" s="28"/>
      <c r="O29" s="28"/>
      <c r="P29" s="34"/>
    </row>
    <row r="30" spans="1:16" ht="24" customHeight="1" x14ac:dyDescent="0.25">
      <c r="A30" s="45"/>
      <c r="B30" s="35" t="s">
        <v>67</v>
      </c>
      <c r="C30" s="32">
        <v>1</v>
      </c>
      <c r="D30" s="25">
        <f t="shared" si="1"/>
        <v>0</v>
      </c>
      <c r="E30" s="28"/>
      <c r="F30" s="28"/>
      <c r="G30" s="28"/>
      <c r="H30" s="28"/>
      <c r="I30" s="28"/>
      <c r="J30" s="28"/>
      <c r="K30" s="28"/>
      <c r="L30" s="28"/>
      <c r="M30" s="28"/>
      <c r="N30" s="28"/>
      <c r="O30" s="28"/>
      <c r="P30" s="34"/>
    </row>
    <row r="31" spans="1:16" ht="24" customHeight="1" x14ac:dyDescent="0.25">
      <c r="A31" s="45"/>
      <c r="B31" s="35" t="s">
        <v>68</v>
      </c>
      <c r="C31" s="32">
        <v>1</v>
      </c>
      <c r="D31" s="25">
        <f t="shared" si="1"/>
        <v>0</v>
      </c>
      <c r="E31" s="28"/>
      <c r="F31" s="28"/>
      <c r="G31" s="28"/>
      <c r="H31" s="28"/>
      <c r="I31" s="28"/>
      <c r="J31" s="28"/>
      <c r="K31" s="28"/>
      <c r="L31" s="28"/>
      <c r="M31" s="28"/>
      <c r="N31" s="28"/>
      <c r="O31" s="28"/>
      <c r="P31" s="34"/>
    </row>
    <row r="32" spans="1:16" ht="24" customHeight="1" x14ac:dyDescent="0.25">
      <c r="A32" s="45"/>
      <c r="B32" s="35" t="s">
        <v>69</v>
      </c>
      <c r="C32" s="32">
        <v>1</v>
      </c>
      <c r="D32" s="25">
        <f t="shared" si="1"/>
        <v>0</v>
      </c>
      <c r="E32" s="28"/>
      <c r="F32" s="28"/>
      <c r="G32" s="28"/>
      <c r="H32" s="28"/>
      <c r="I32" s="28"/>
      <c r="J32" s="28"/>
      <c r="K32" s="28"/>
      <c r="L32" s="28"/>
      <c r="M32" s="28"/>
      <c r="N32" s="28"/>
      <c r="O32" s="28"/>
      <c r="P32" s="34"/>
    </row>
    <row r="33" spans="1:16" ht="24" customHeight="1" x14ac:dyDescent="0.25">
      <c r="A33" s="45"/>
      <c r="B33" s="35" t="s">
        <v>70</v>
      </c>
      <c r="C33" s="32">
        <v>1</v>
      </c>
      <c r="D33" s="25">
        <f t="shared" si="1"/>
        <v>0</v>
      </c>
      <c r="E33" s="28"/>
      <c r="F33" s="28"/>
      <c r="G33" s="28"/>
      <c r="H33" s="28"/>
      <c r="I33" s="28"/>
      <c r="J33" s="28"/>
      <c r="K33" s="28"/>
      <c r="L33" s="28"/>
      <c r="M33" s="28"/>
      <c r="N33" s="28"/>
      <c r="O33" s="28"/>
      <c r="P33" s="34"/>
    </row>
    <row r="34" spans="1:16" ht="24" customHeight="1" x14ac:dyDescent="0.25">
      <c r="A34" s="45"/>
      <c r="B34" s="35" t="s">
        <v>71</v>
      </c>
      <c r="C34" s="32">
        <v>1</v>
      </c>
      <c r="D34" s="25">
        <f t="shared" si="1"/>
        <v>0</v>
      </c>
      <c r="E34" s="28"/>
      <c r="F34" s="28"/>
      <c r="G34" s="28"/>
      <c r="H34" s="28"/>
      <c r="I34" s="28"/>
      <c r="J34" s="28"/>
      <c r="K34" s="28"/>
      <c r="L34" s="28"/>
      <c r="M34" s="28"/>
      <c r="N34" s="28"/>
      <c r="O34" s="28"/>
      <c r="P34" s="34"/>
    </row>
    <row r="35" spans="1:16" ht="24" customHeight="1" x14ac:dyDescent="0.25">
      <c r="A35" s="45"/>
      <c r="B35" s="35" t="s">
        <v>72</v>
      </c>
      <c r="C35" s="32">
        <v>1</v>
      </c>
      <c r="D35" s="25">
        <f t="shared" si="1"/>
        <v>0</v>
      </c>
      <c r="E35" s="28"/>
      <c r="F35" s="28"/>
      <c r="G35" s="28"/>
      <c r="H35" s="28"/>
      <c r="I35" s="28"/>
      <c r="J35" s="28"/>
      <c r="K35" s="28"/>
      <c r="L35" s="28"/>
      <c r="M35" s="28"/>
      <c r="N35" s="28"/>
      <c r="O35" s="28"/>
      <c r="P35" s="34"/>
    </row>
    <row r="36" spans="1:16" ht="24" customHeight="1" thickBot="1" x14ac:dyDescent="0.3">
      <c r="A36" s="46"/>
      <c r="B36" s="36" t="s">
        <v>73</v>
      </c>
      <c r="C36" s="32">
        <v>1</v>
      </c>
      <c r="D36" s="25">
        <f t="shared" si="1"/>
        <v>0</v>
      </c>
      <c r="E36" s="28"/>
      <c r="F36" s="28"/>
      <c r="G36" s="28"/>
      <c r="H36" s="28"/>
      <c r="I36" s="28"/>
      <c r="J36" s="28"/>
      <c r="K36" s="28"/>
      <c r="L36" s="28"/>
      <c r="M36" s="28"/>
      <c r="N36" s="28"/>
      <c r="O36" s="28"/>
      <c r="P36" s="34"/>
    </row>
    <row r="37" spans="1:16" x14ac:dyDescent="0.25">
      <c r="C37" s="37">
        <f>SUM(C3:C36)</f>
        <v>240</v>
      </c>
      <c r="D37" s="38">
        <f>SUM(D3:D36)</f>
        <v>94</v>
      </c>
    </row>
    <row r="38" spans="1:16" x14ac:dyDescent="0.25">
      <c r="C38" s="10"/>
      <c r="D38" s="39">
        <f>D37/C37</f>
        <v>0.39166666666666666</v>
      </c>
    </row>
  </sheetData>
  <sheetProtection algorithmName="SHA-512" hashValue="xJg2vdEnvQPcGR28V9UnEL/Vut9pZrLDKC7amOPqMaycrPKjW40SslkjRV8gfTJW9braXDutyHutR3SPnDhMeQ==" saltValue="54LtiVc61tKh0olK88slPw==" spinCount="100000" sheet="1" objects="1" scenarios="1" autoFilter="0"/>
  <mergeCells count="2">
    <mergeCell ref="A1:A2"/>
    <mergeCell ref="A9:A36"/>
  </mergeCells>
  <conditionalFormatting sqref="C3:D3 D4:D8">
    <cfRule type="dataBar" priority="49">
      <dataBar>
        <cfvo type="min"/>
        <cfvo type="max"/>
        <color rgb="FF008AEF"/>
      </dataBar>
      <extLst>
        <ext xmlns:x14="http://schemas.microsoft.com/office/spreadsheetml/2009/9/main" uri="{B025F937-C7B1-47D3-B67F-A62EFF666E3E}">
          <x14:id>{49B55A88-DF9E-45E2-953A-5D4D75C71277}</x14:id>
        </ext>
      </extLst>
    </cfRule>
  </conditionalFormatting>
  <conditionalFormatting sqref="C4:D4">
    <cfRule type="dataBar" priority="6">
      <dataBar>
        <cfvo type="min"/>
        <cfvo type="max"/>
        <color rgb="FF008AEF"/>
      </dataBar>
      <extLst>
        <ext xmlns:x14="http://schemas.microsoft.com/office/spreadsheetml/2009/9/main" uri="{B025F937-C7B1-47D3-B67F-A62EFF666E3E}">
          <x14:id>{E32413B7-4728-4632-A77A-177FB26F8DA5}</x14:id>
        </ext>
      </extLst>
    </cfRule>
  </conditionalFormatting>
  <conditionalFormatting sqref="C5:D5">
    <cfRule type="dataBar" priority="8">
      <dataBar>
        <cfvo type="min"/>
        <cfvo type="max"/>
        <color rgb="FF008AEF"/>
      </dataBar>
      <extLst>
        <ext xmlns:x14="http://schemas.microsoft.com/office/spreadsheetml/2009/9/main" uri="{B025F937-C7B1-47D3-B67F-A62EFF666E3E}">
          <x14:id>{8F1E20A9-DF11-4388-8AD1-2B3F9F18B5A1}</x14:id>
        </ext>
      </extLst>
    </cfRule>
  </conditionalFormatting>
  <conditionalFormatting sqref="C6:D6">
    <cfRule type="dataBar" priority="9">
      <dataBar>
        <cfvo type="min"/>
        <cfvo type="max"/>
        <color rgb="FF008AEF"/>
      </dataBar>
      <extLst>
        <ext xmlns:x14="http://schemas.microsoft.com/office/spreadsheetml/2009/9/main" uri="{B025F937-C7B1-47D3-B67F-A62EFF666E3E}">
          <x14:id>{69020F29-14E9-4C0A-A7A0-99713EFEA32D}</x14:id>
        </ext>
      </extLst>
    </cfRule>
  </conditionalFormatting>
  <conditionalFormatting sqref="C7:D7">
    <cfRule type="dataBar" priority="10">
      <dataBar>
        <cfvo type="min"/>
        <cfvo type="max"/>
        <color rgb="FF008AEF"/>
      </dataBar>
      <extLst>
        <ext xmlns:x14="http://schemas.microsoft.com/office/spreadsheetml/2009/9/main" uri="{B025F937-C7B1-47D3-B67F-A62EFF666E3E}">
          <x14:id>{1B288B45-26F6-42C2-A624-A33097823428}</x14:id>
        </ext>
      </extLst>
    </cfRule>
  </conditionalFormatting>
  <conditionalFormatting sqref="C8:D8">
    <cfRule type="dataBar" priority="11">
      <dataBar>
        <cfvo type="min"/>
        <cfvo type="max"/>
        <color rgb="FF008AEF"/>
      </dataBar>
      <extLst>
        <ext xmlns:x14="http://schemas.microsoft.com/office/spreadsheetml/2009/9/main" uri="{B025F937-C7B1-47D3-B67F-A62EFF666E3E}">
          <x14:id>{67AC8283-32BB-49AB-ACD0-EAB3E885D3EA}</x14:id>
        </ext>
      </extLst>
    </cfRule>
  </conditionalFormatting>
  <conditionalFormatting sqref="C9:D9">
    <cfRule type="dataBar" priority="13">
      <dataBar>
        <cfvo type="min"/>
        <cfvo type="max"/>
        <color rgb="FF008AEF"/>
      </dataBar>
      <extLst>
        <ext xmlns:x14="http://schemas.microsoft.com/office/spreadsheetml/2009/9/main" uri="{B025F937-C7B1-47D3-B67F-A62EFF666E3E}">
          <x14:id>{6FEC258F-FD0F-4415-8369-6CE6B61C5B94}</x14:id>
        </ext>
      </extLst>
    </cfRule>
  </conditionalFormatting>
  <conditionalFormatting sqref="C10:D10">
    <cfRule type="dataBar" priority="40">
      <dataBar>
        <cfvo type="min"/>
        <cfvo type="max"/>
        <color rgb="FF008AEF"/>
      </dataBar>
      <extLst>
        <ext xmlns:x14="http://schemas.microsoft.com/office/spreadsheetml/2009/9/main" uri="{B025F937-C7B1-47D3-B67F-A62EFF666E3E}">
          <x14:id>{1E265369-0FA8-4D05-A9C0-8BF140A85462}</x14:id>
        </ext>
      </extLst>
    </cfRule>
  </conditionalFormatting>
  <conditionalFormatting sqref="C11:D11">
    <cfRule type="dataBar" priority="39">
      <dataBar>
        <cfvo type="min"/>
        <cfvo type="max"/>
        <color rgb="FF008AEF"/>
      </dataBar>
      <extLst>
        <ext xmlns:x14="http://schemas.microsoft.com/office/spreadsheetml/2009/9/main" uri="{B025F937-C7B1-47D3-B67F-A62EFF666E3E}">
          <x14:id>{3748AF41-4C53-446E-8D4D-816B0C463C3B}</x14:id>
        </ext>
      </extLst>
    </cfRule>
  </conditionalFormatting>
  <conditionalFormatting sqref="C12:D12">
    <cfRule type="dataBar" priority="38">
      <dataBar>
        <cfvo type="min"/>
        <cfvo type="max"/>
        <color rgb="FF008AEF"/>
      </dataBar>
      <extLst>
        <ext xmlns:x14="http://schemas.microsoft.com/office/spreadsheetml/2009/9/main" uri="{B025F937-C7B1-47D3-B67F-A62EFF666E3E}">
          <x14:id>{EE79A1C7-F6C7-4A14-A7F1-ACCAF957AE25}</x14:id>
        </ext>
      </extLst>
    </cfRule>
  </conditionalFormatting>
  <conditionalFormatting sqref="C13:D13">
    <cfRule type="dataBar" priority="37">
      <dataBar>
        <cfvo type="min"/>
        <cfvo type="max"/>
        <color rgb="FF008AEF"/>
      </dataBar>
      <extLst>
        <ext xmlns:x14="http://schemas.microsoft.com/office/spreadsheetml/2009/9/main" uri="{B025F937-C7B1-47D3-B67F-A62EFF666E3E}">
          <x14:id>{2EE5B597-4ABA-4519-B0CC-154A70660A79}</x14:id>
        </ext>
      </extLst>
    </cfRule>
  </conditionalFormatting>
  <conditionalFormatting sqref="C14:D14">
    <cfRule type="dataBar" priority="36">
      <dataBar>
        <cfvo type="min"/>
        <cfvo type="max"/>
        <color rgb="FF008AEF"/>
      </dataBar>
      <extLst>
        <ext xmlns:x14="http://schemas.microsoft.com/office/spreadsheetml/2009/9/main" uri="{B025F937-C7B1-47D3-B67F-A62EFF666E3E}">
          <x14:id>{E25F4D42-BB5A-4650-8145-97AAF5FD7CD1}</x14:id>
        </ext>
      </extLst>
    </cfRule>
  </conditionalFormatting>
  <conditionalFormatting sqref="C15:D15">
    <cfRule type="dataBar" priority="35">
      <dataBar>
        <cfvo type="min"/>
        <cfvo type="max"/>
        <color rgb="FF008AEF"/>
      </dataBar>
      <extLst>
        <ext xmlns:x14="http://schemas.microsoft.com/office/spreadsheetml/2009/9/main" uri="{B025F937-C7B1-47D3-B67F-A62EFF666E3E}">
          <x14:id>{DCEA3131-45C0-478A-8E7F-21A873F68F71}</x14:id>
        </ext>
      </extLst>
    </cfRule>
  </conditionalFormatting>
  <conditionalFormatting sqref="C16:D16">
    <cfRule type="dataBar" priority="34">
      <dataBar>
        <cfvo type="min"/>
        <cfvo type="max"/>
        <color rgb="FF008AEF"/>
      </dataBar>
      <extLst>
        <ext xmlns:x14="http://schemas.microsoft.com/office/spreadsheetml/2009/9/main" uri="{B025F937-C7B1-47D3-B67F-A62EFF666E3E}">
          <x14:id>{168DEE1E-E7B1-450D-8933-19D9C9E4E034}</x14:id>
        </ext>
      </extLst>
    </cfRule>
  </conditionalFormatting>
  <conditionalFormatting sqref="C17:D17">
    <cfRule type="dataBar" priority="33">
      <dataBar>
        <cfvo type="min"/>
        <cfvo type="max"/>
        <color rgb="FF008AEF"/>
      </dataBar>
      <extLst>
        <ext xmlns:x14="http://schemas.microsoft.com/office/spreadsheetml/2009/9/main" uri="{B025F937-C7B1-47D3-B67F-A62EFF666E3E}">
          <x14:id>{5418D9CE-2981-4697-9CB4-C8A6288BA768}</x14:id>
        </ext>
      </extLst>
    </cfRule>
  </conditionalFormatting>
  <conditionalFormatting sqref="C18:D18">
    <cfRule type="dataBar" priority="32">
      <dataBar>
        <cfvo type="min"/>
        <cfvo type="max"/>
        <color rgb="FF008AEF"/>
      </dataBar>
      <extLst>
        <ext xmlns:x14="http://schemas.microsoft.com/office/spreadsheetml/2009/9/main" uri="{B025F937-C7B1-47D3-B67F-A62EFF666E3E}">
          <x14:id>{3A8CAA14-760F-44F7-B1A5-63DB7F0ABDAD}</x14:id>
        </ext>
      </extLst>
    </cfRule>
  </conditionalFormatting>
  <conditionalFormatting sqref="C19:D19">
    <cfRule type="dataBar" priority="31">
      <dataBar>
        <cfvo type="min"/>
        <cfvo type="max"/>
        <color rgb="FF008AEF"/>
      </dataBar>
      <extLst>
        <ext xmlns:x14="http://schemas.microsoft.com/office/spreadsheetml/2009/9/main" uri="{B025F937-C7B1-47D3-B67F-A62EFF666E3E}">
          <x14:id>{49AF41E4-5CA7-4081-9025-523D52BBA345}</x14:id>
        </ext>
      </extLst>
    </cfRule>
  </conditionalFormatting>
  <conditionalFormatting sqref="C20:D20">
    <cfRule type="dataBar" priority="30">
      <dataBar>
        <cfvo type="min"/>
        <cfvo type="max"/>
        <color rgb="FF008AEF"/>
      </dataBar>
      <extLst>
        <ext xmlns:x14="http://schemas.microsoft.com/office/spreadsheetml/2009/9/main" uri="{B025F937-C7B1-47D3-B67F-A62EFF666E3E}">
          <x14:id>{09C764BB-24F1-4C40-B486-6838B9EBFFA7}</x14:id>
        </ext>
      </extLst>
    </cfRule>
  </conditionalFormatting>
  <conditionalFormatting sqref="C21:D21">
    <cfRule type="dataBar" priority="29">
      <dataBar>
        <cfvo type="min"/>
        <cfvo type="max"/>
        <color rgb="FF008AEF"/>
      </dataBar>
      <extLst>
        <ext xmlns:x14="http://schemas.microsoft.com/office/spreadsheetml/2009/9/main" uri="{B025F937-C7B1-47D3-B67F-A62EFF666E3E}">
          <x14:id>{E5191929-4FDB-4EE3-9E12-52FF80A96C0E}</x14:id>
        </ext>
      </extLst>
    </cfRule>
  </conditionalFormatting>
  <conditionalFormatting sqref="C22:D22">
    <cfRule type="dataBar" priority="28">
      <dataBar>
        <cfvo type="min"/>
        <cfvo type="max"/>
        <color rgb="FF008AEF"/>
      </dataBar>
      <extLst>
        <ext xmlns:x14="http://schemas.microsoft.com/office/spreadsheetml/2009/9/main" uri="{B025F937-C7B1-47D3-B67F-A62EFF666E3E}">
          <x14:id>{1340A8C2-45DF-4F48-BA74-2B3DAAB7849D}</x14:id>
        </ext>
      </extLst>
    </cfRule>
  </conditionalFormatting>
  <conditionalFormatting sqref="C23:D23">
    <cfRule type="dataBar" priority="27">
      <dataBar>
        <cfvo type="min"/>
        <cfvo type="max"/>
        <color rgb="FF008AEF"/>
      </dataBar>
      <extLst>
        <ext xmlns:x14="http://schemas.microsoft.com/office/spreadsheetml/2009/9/main" uri="{B025F937-C7B1-47D3-B67F-A62EFF666E3E}">
          <x14:id>{D32F5E40-3592-4EE4-92EE-AA7F6F3A15C1}</x14:id>
        </ext>
      </extLst>
    </cfRule>
  </conditionalFormatting>
  <conditionalFormatting sqref="C24:D24">
    <cfRule type="dataBar" priority="26">
      <dataBar>
        <cfvo type="min"/>
        <cfvo type="max"/>
        <color rgb="FF008AEF"/>
      </dataBar>
      <extLst>
        <ext xmlns:x14="http://schemas.microsoft.com/office/spreadsheetml/2009/9/main" uri="{B025F937-C7B1-47D3-B67F-A62EFF666E3E}">
          <x14:id>{7CA31332-ED56-4B1A-A6C5-11E879CDD2D5}</x14:id>
        </ext>
      </extLst>
    </cfRule>
  </conditionalFormatting>
  <conditionalFormatting sqref="C25:D25">
    <cfRule type="dataBar" priority="25">
      <dataBar>
        <cfvo type="min"/>
        <cfvo type="max"/>
        <color rgb="FF008AEF"/>
      </dataBar>
      <extLst>
        <ext xmlns:x14="http://schemas.microsoft.com/office/spreadsheetml/2009/9/main" uri="{B025F937-C7B1-47D3-B67F-A62EFF666E3E}">
          <x14:id>{22F04C97-3DFF-4DE0-A3B2-619E12E139C2}</x14:id>
        </ext>
      </extLst>
    </cfRule>
  </conditionalFormatting>
  <conditionalFormatting sqref="C26:D26">
    <cfRule type="dataBar" priority="24">
      <dataBar>
        <cfvo type="min"/>
        <cfvo type="max"/>
        <color rgb="FF008AEF"/>
      </dataBar>
      <extLst>
        <ext xmlns:x14="http://schemas.microsoft.com/office/spreadsheetml/2009/9/main" uri="{B025F937-C7B1-47D3-B67F-A62EFF666E3E}">
          <x14:id>{2982DB75-4A2C-46EC-8A34-8E441D345D0F}</x14:id>
        </ext>
      </extLst>
    </cfRule>
  </conditionalFormatting>
  <conditionalFormatting sqref="C27:D27">
    <cfRule type="dataBar" priority="23">
      <dataBar>
        <cfvo type="min"/>
        <cfvo type="max"/>
        <color rgb="FF008AEF"/>
      </dataBar>
      <extLst>
        <ext xmlns:x14="http://schemas.microsoft.com/office/spreadsheetml/2009/9/main" uri="{B025F937-C7B1-47D3-B67F-A62EFF666E3E}">
          <x14:id>{9EC68129-1773-4E2C-975D-D9DDC9D4A04D}</x14:id>
        </ext>
      </extLst>
    </cfRule>
  </conditionalFormatting>
  <conditionalFormatting sqref="C28:D28">
    <cfRule type="dataBar" priority="22">
      <dataBar>
        <cfvo type="min"/>
        <cfvo type="max"/>
        <color rgb="FF008AEF"/>
      </dataBar>
      <extLst>
        <ext xmlns:x14="http://schemas.microsoft.com/office/spreadsheetml/2009/9/main" uri="{B025F937-C7B1-47D3-B67F-A62EFF666E3E}">
          <x14:id>{2D5721DC-EC38-47E7-9EE6-06E1616BDB4C}</x14:id>
        </ext>
      </extLst>
    </cfRule>
  </conditionalFormatting>
  <conditionalFormatting sqref="C29:D29">
    <cfRule type="dataBar" priority="21">
      <dataBar>
        <cfvo type="min"/>
        <cfvo type="max"/>
        <color rgb="FF008AEF"/>
      </dataBar>
      <extLst>
        <ext xmlns:x14="http://schemas.microsoft.com/office/spreadsheetml/2009/9/main" uri="{B025F937-C7B1-47D3-B67F-A62EFF666E3E}">
          <x14:id>{5E0CF821-D2E4-4F47-A2F5-352FEDE5632E}</x14:id>
        </ext>
      </extLst>
    </cfRule>
  </conditionalFormatting>
  <conditionalFormatting sqref="C30:D30">
    <cfRule type="dataBar" priority="20">
      <dataBar>
        <cfvo type="min"/>
        <cfvo type="max"/>
        <color rgb="FF008AEF"/>
      </dataBar>
      <extLst>
        <ext xmlns:x14="http://schemas.microsoft.com/office/spreadsheetml/2009/9/main" uri="{B025F937-C7B1-47D3-B67F-A62EFF666E3E}">
          <x14:id>{55F3F0E0-9165-4A50-A09F-C6ADBF34D28D}</x14:id>
        </ext>
      </extLst>
    </cfRule>
  </conditionalFormatting>
  <conditionalFormatting sqref="C31:D31">
    <cfRule type="dataBar" priority="19">
      <dataBar>
        <cfvo type="min"/>
        <cfvo type="max"/>
        <color rgb="FF008AEF"/>
      </dataBar>
      <extLst>
        <ext xmlns:x14="http://schemas.microsoft.com/office/spreadsheetml/2009/9/main" uri="{B025F937-C7B1-47D3-B67F-A62EFF666E3E}">
          <x14:id>{D16A8BE7-E906-43A1-8B18-18D87ECFB5BE}</x14:id>
        </ext>
      </extLst>
    </cfRule>
  </conditionalFormatting>
  <conditionalFormatting sqref="C32:D32">
    <cfRule type="dataBar" priority="18">
      <dataBar>
        <cfvo type="min"/>
        <cfvo type="max"/>
        <color rgb="FF008AEF"/>
      </dataBar>
      <extLst>
        <ext xmlns:x14="http://schemas.microsoft.com/office/spreadsheetml/2009/9/main" uri="{B025F937-C7B1-47D3-B67F-A62EFF666E3E}">
          <x14:id>{7B11782B-2B6B-4BD7-B42E-9DCE3759ABCE}</x14:id>
        </ext>
      </extLst>
    </cfRule>
  </conditionalFormatting>
  <conditionalFormatting sqref="C33:D33">
    <cfRule type="dataBar" priority="17">
      <dataBar>
        <cfvo type="min"/>
        <cfvo type="max"/>
        <color rgb="FF008AEF"/>
      </dataBar>
      <extLst>
        <ext xmlns:x14="http://schemas.microsoft.com/office/spreadsheetml/2009/9/main" uri="{B025F937-C7B1-47D3-B67F-A62EFF666E3E}">
          <x14:id>{B91660BA-1682-489C-962C-1E37A14FDDF9}</x14:id>
        </ext>
      </extLst>
    </cfRule>
  </conditionalFormatting>
  <conditionalFormatting sqref="C34:D34">
    <cfRule type="dataBar" priority="16">
      <dataBar>
        <cfvo type="min"/>
        <cfvo type="max"/>
        <color rgb="FF008AEF"/>
      </dataBar>
      <extLst>
        <ext xmlns:x14="http://schemas.microsoft.com/office/spreadsheetml/2009/9/main" uri="{B025F937-C7B1-47D3-B67F-A62EFF666E3E}">
          <x14:id>{6CC0763F-CE3D-4C43-9EC2-EF42ECDC3216}</x14:id>
        </ext>
      </extLst>
    </cfRule>
  </conditionalFormatting>
  <conditionalFormatting sqref="C35:D35">
    <cfRule type="dataBar" priority="15">
      <dataBar>
        <cfvo type="min"/>
        <cfvo type="max"/>
        <color rgb="FF008AEF"/>
      </dataBar>
      <extLst>
        <ext xmlns:x14="http://schemas.microsoft.com/office/spreadsheetml/2009/9/main" uri="{B025F937-C7B1-47D3-B67F-A62EFF666E3E}">
          <x14:id>{D293E463-A0B6-4C1C-B427-8C5E68ACD56E}</x14:id>
        </ext>
      </extLst>
    </cfRule>
  </conditionalFormatting>
  <conditionalFormatting sqref="C36:D36">
    <cfRule type="dataBar" priority="14">
      <dataBar>
        <cfvo type="min"/>
        <cfvo type="max"/>
        <color rgb="FF008AEF"/>
      </dataBar>
      <extLst>
        <ext xmlns:x14="http://schemas.microsoft.com/office/spreadsheetml/2009/9/main" uri="{B025F937-C7B1-47D3-B67F-A62EFF666E3E}">
          <x14:id>{A41BC999-94F1-49F0-8108-D5D20AB20DB1}</x14:id>
        </ext>
      </extLst>
    </cfRule>
  </conditionalFormatting>
  <conditionalFormatting sqref="G9:O32">
    <cfRule type="cellIs" dxfId="3" priority="12" operator="greaterThan">
      <formula>0</formula>
    </cfRule>
  </conditionalFormatting>
  <conditionalFormatting sqref="G3:P8 E3:F32 E33:O36">
    <cfRule type="cellIs" dxfId="2" priority="3"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9B55A88-DF9E-45E2-953A-5D4D75C71277}">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E32413B7-4728-4632-A77A-177FB26F8DA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8F1E20A9-DF11-4388-8AD1-2B3F9F18B5A1}">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9020F29-14E9-4C0A-A7A0-99713EFEA32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1B288B45-26F6-42C2-A624-A33097823428}">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67AC8283-32BB-49AB-ACD0-EAB3E885D3EA}">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6FEC258F-FD0F-4415-8369-6CE6B61C5B9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E265369-0FA8-4D05-A9C0-8BF140A85462}">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3748AF41-4C53-446E-8D4D-816B0C463C3B}">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EE79A1C7-F6C7-4A14-A7F1-ACCAF957AE25}">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2EE5B597-4ABA-4519-B0CC-154A70660A7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E25F4D42-BB5A-4650-8145-97AAF5FD7CD1}">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CEA3131-45C0-478A-8E7F-21A873F68F7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68DEE1E-E7B1-450D-8933-19D9C9E4E03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5418D9CE-2981-4697-9CB4-C8A6288BA76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A8CAA14-760F-44F7-B1A5-63DB7F0ABDAD}">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9AF41E4-5CA7-4081-9025-523D52BBA34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09C764BB-24F1-4C40-B486-6838B9EBFFA7}">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E5191929-4FDB-4EE3-9E12-52FF80A96C0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1340A8C2-45DF-4F48-BA74-2B3DAAB7849D}">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D32F5E40-3592-4EE4-92EE-AA7F6F3A15C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CA31332-ED56-4B1A-A6C5-11E879CDD2D5}">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22F04C97-3DFF-4DE0-A3B2-619E12E139C2}">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2982DB75-4A2C-46EC-8A34-8E441D345D0F}">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EC68129-1773-4E2C-975D-D9DDC9D4A04D}">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2D5721DC-EC38-47E7-9EE6-06E1616BDB4C}">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5E0CF821-D2E4-4F47-A2F5-352FEDE5632E}">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55F3F0E0-9165-4A50-A09F-C6ADBF34D28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D16A8BE7-E906-43A1-8B18-18D87ECFB5B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7B11782B-2B6B-4BD7-B42E-9DCE3759ABCE}">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91660BA-1682-489C-962C-1E37A14FDDF9}">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6CC0763F-CE3D-4C43-9EC2-EF42ECDC3216}">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293E463-A0B6-4C1C-B427-8C5E68ACD56E}">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A41BC999-94F1-49F0-8108-D5D20AB20DB1}">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5"/>
  <sheetViews>
    <sheetView tabSelected="1" workbookViewId="0">
      <selection activeCell="H11" sqref="H11"/>
    </sheetView>
  </sheetViews>
  <sheetFormatPr baseColWidth="10" defaultRowHeight="15" x14ac:dyDescent="0.25"/>
  <cols>
    <col min="1" max="1" width="11.28515625" customWidth="1"/>
    <col min="2" max="2" width="24" customWidth="1"/>
    <col min="3" max="3" width="11.85546875" bestFit="1" customWidth="1"/>
  </cols>
  <sheetData>
    <row r="1" spans="1:5" x14ac:dyDescent="0.25">
      <c r="A1" s="47" t="s">
        <v>36</v>
      </c>
      <c r="B1" s="47"/>
      <c r="C1" s="20" t="s">
        <v>2</v>
      </c>
      <c r="D1" s="20" t="s">
        <v>43</v>
      </c>
      <c r="E1" s="20" t="s">
        <v>75</v>
      </c>
    </row>
    <row r="2" spans="1:5" x14ac:dyDescent="0.25">
      <c r="A2" s="18" t="s">
        <v>40</v>
      </c>
      <c r="B2" s="41" t="s">
        <v>37</v>
      </c>
      <c r="C2" s="21">
        <f>'D79 Perez Zeledón'!C37</f>
        <v>531</v>
      </c>
      <c r="D2" s="21">
        <f>'D79 Perez Zeledón'!D37</f>
        <v>213</v>
      </c>
      <c r="E2" s="40">
        <f>D2/C2</f>
        <v>0.40112994350282488</v>
      </c>
    </row>
    <row r="3" spans="1:5" x14ac:dyDescent="0.25">
      <c r="A3" s="18" t="s">
        <v>41</v>
      </c>
      <c r="B3" s="41" t="s">
        <v>38</v>
      </c>
      <c r="C3" s="22">
        <f>'D80 Buenos Aires'!C37</f>
        <v>488</v>
      </c>
      <c r="D3" s="22">
        <f>'D80 Buenos Aires'!D37</f>
        <v>221</v>
      </c>
      <c r="E3" s="40">
        <f t="shared" ref="E3:E4" si="0">D3/C3</f>
        <v>0.45286885245901637</v>
      </c>
    </row>
    <row r="4" spans="1:5" x14ac:dyDescent="0.25">
      <c r="A4" s="18" t="s">
        <v>42</v>
      </c>
      <c r="B4" s="41" t="s">
        <v>39</v>
      </c>
      <c r="C4" s="21">
        <f>'D81 Osa'!C37</f>
        <v>240</v>
      </c>
      <c r="D4" s="21">
        <f>'D81 Osa'!D37</f>
        <v>94</v>
      </c>
      <c r="E4" s="40">
        <f t="shared" si="0"/>
        <v>0.39166666666666666</v>
      </c>
    </row>
    <row r="5" spans="1:5" x14ac:dyDescent="0.25">
      <c r="B5" s="19" t="s">
        <v>44</v>
      </c>
      <c r="C5" s="23">
        <f>SUM(C2:C4)</f>
        <v>1259</v>
      </c>
      <c r="D5" s="23">
        <f>SUM(D2:D4)</f>
        <v>528</v>
      </c>
      <c r="E5" s="40">
        <f>D5/C5</f>
        <v>0.41938046068308182</v>
      </c>
    </row>
  </sheetData>
  <sheetProtection autoFilter="0"/>
  <mergeCells count="1">
    <mergeCell ref="A1:B1"/>
  </mergeCells>
  <conditionalFormatting sqref="C2:D2">
    <cfRule type="dataBar" priority="13">
      <dataBar>
        <cfvo type="min"/>
        <cfvo type="max"/>
        <color rgb="FF008AEF"/>
      </dataBar>
      <extLst>
        <ext xmlns:x14="http://schemas.microsoft.com/office/spreadsheetml/2009/9/main" uri="{B025F937-C7B1-47D3-B67F-A62EFF666E3E}">
          <x14:id>{FF372FF4-AFDA-4475-BA6B-5BE548B952BC}</x14:id>
        </ext>
      </extLst>
    </cfRule>
  </conditionalFormatting>
  <conditionalFormatting sqref="C3:D3">
    <cfRule type="dataBar" priority="12">
      <dataBar>
        <cfvo type="min"/>
        <cfvo type="max"/>
        <color rgb="FF008AEF"/>
      </dataBar>
      <extLst>
        <ext xmlns:x14="http://schemas.microsoft.com/office/spreadsheetml/2009/9/main" uri="{B025F937-C7B1-47D3-B67F-A62EFF666E3E}">
          <x14:id>{67279702-9314-4741-98D6-1DFFC591A9D4}</x14:id>
        </ext>
      </extLst>
    </cfRule>
  </conditionalFormatting>
  <conditionalFormatting sqref="C4:D4">
    <cfRule type="dataBar" priority="11">
      <dataBar>
        <cfvo type="min"/>
        <cfvo type="max"/>
        <color rgb="FF008AEF"/>
      </dataBar>
      <extLst>
        <ext xmlns:x14="http://schemas.microsoft.com/office/spreadsheetml/2009/9/main" uri="{B025F937-C7B1-47D3-B67F-A62EFF666E3E}">
          <x14:id>{7A9DEC94-0B4B-46A4-A9FD-7F545004E4A6}</x14:id>
        </ext>
      </extLst>
    </cfRule>
  </conditionalFormatting>
  <conditionalFormatting sqref="E2:E5">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FF372FF4-AFDA-4475-BA6B-5BE548B952BC}">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67279702-9314-4741-98D6-1DFFC591A9D4}">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7A9DEC94-0B4B-46A4-A9FD-7F545004E4A6}">
            <x14:dataBar minLength="0" maxLength="100" gradient="0">
              <x14:cfvo type="autoMin"/>
              <x14:cfvo type="autoMax"/>
              <x14:negativeFillColor rgb="FFFF0000"/>
              <x14:axisColor rgb="FF000000"/>
            </x14:dataBar>
          </x14:cfRule>
          <xm:sqref>C4:D4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D79 Perez Zeledón</vt:lpstr>
      <vt:lpstr>D80 Buenos Aires</vt:lpstr>
      <vt:lpstr>D81 Osa</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2025-07-06T17:54:11Z</dcterms:created>
  <dcterms:modified xsi:type="dcterms:W3CDTF">2026-06-20T00:46:57Z</dcterms:modified>
</cp:coreProperties>
</file>