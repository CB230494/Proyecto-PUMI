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ThisWorkbook"/>
  <mc:AlternateContent xmlns:mc="http://schemas.openxmlformats.org/markup-compatibility/2006">
    <mc:Choice Requires="x15">
      <x15ac:absPath xmlns:x15ac="http://schemas.microsoft.com/office/spreadsheetml/2010/11/ac" url="C:\Users\108720436\Desktop\CONTEO NACIONAL PAO 2026\AVANCE IER SEMESTRE JUNIO\"/>
    </mc:Choice>
  </mc:AlternateContent>
  <xr:revisionPtr revIDLastSave="0" documentId="8_{0AEA598A-B590-4FF2-BC50-EFA8983272CA}" xr6:coauthVersionLast="47" xr6:coauthVersionMax="47" xr10:uidLastSave="{00000000-0000-0000-0000-000000000000}"/>
  <bookViews>
    <workbookView xWindow="-120" yWindow="-120" windowWidth="29040" windowHeight="15720" tabRatio="689" xr2:uid="{00000000-000D-0000-FFFF-FFFF00000000}"/>
  </bookViews>
  <sheets>
    <sheet name="D49 Heredia" sheetId="1" r:id="rId1"/>
    <sheet name="D50 Barva" sheetId="2" r:id="rId2"/>
    <sheet name="D51 Santo Domingo" sheetId="3" r:id="rId3"/>
    <sheet name="D52 Santa Bárbara" sheetId="4" r:id="rId4"/>
    <sheet name="D53 San Rafael" sheetId="5" r:id="rId5"/>
    <sheet name="D54 San Isidro" sheetId="6" r:id="rId6"/>
    <sheet name="D55 Belen" sheetId="7" r:id="rId7"/>
    <sheet name="D56 Flores" sheetId="8" r:id="rId8"/>
    <sheet name="D57 San Pablo" sheetId="10" r:id="rId9"/>
    <sheet name="Total Región" sheetId="11"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s>
  <definedNames>
    <definedName name="ABANG" localSheetId="1">[1]DAT2!#REF!</definedName>
    <definedName name="ABANG" localSheetId="2">[2]DAT2!#REF!</definedName>
    <definedName name="ABANG" localSheetId="3">[3]DAT2!#REF!</definedName>
    <definedName name="ABANG" localSheetId="4">[4]DAT2!#REF!</definedName>
    <definedName name="ABANG" localSheetId="5">[5]DAT2!#REF!</definedName>
    <definedName name="ABANG" localSheetId="6">[6]DAT2!#REF!</definedName>
    <definedName name="ABANG" localSheetId="7">[7]DAT2!#REF!</definedName>
    <definedName name="ABANG" localSheetId="8">[8]DAT2!#REF!</definedName>
    <definedName name="ABANG" localSheetId="9">[9]DAT2!#REF!</definedName>
    <definedName name="ABANG">[10]DAT2!#REF!</definedName>
    <definedName name="ACOS" localSheetId="1">[1]DAT2!#REF!</definedName>
    <definedName name="ACOS" localSheetId="2">[2]DAT2!#REF!</definedName>
    <definedName name="ACOS" localSheetId="3">[3]DAT2!#REF!</definedName>
    <definedName name="ACOS" localSheetId="4">[4]DAT2!#REF!</definedName>
    <definedName name="ACOS" localSheetId="5">[5]DAT2!#REF!</definedName>
    <definedName name="ACOS" localSheetId="6">[6]DAT2!#REF!</definedName>
    <definedName name="ACOS" localSheetId="7">[7]DAT2!#REF!</definedName>
    <definedName name="ACOS" localSheetId="8">[8]DAT2!#REF!</definedName>
    <definedName name="ACOS" localSheetId="9">[9]DAT2!#REF!</definedName>
    <definedName name="ACOS">[10]DAT2!#REF!</definedName>
    <definedName name="ALAJU" localSheetId="1">[1]DAT2!#REF!</definedName>
    <definedName name="ALAJU" localSheetId="2">[2]DAT2!#REF!</definedName>
    <definedName name="ALAJU" localSheetId="3">[3]DAT2!#REF!</definedName>
    <definedName name="ALAJU" localSheetId="4">[4]DAT2!#REF!</definedName>
    <definedName name="ALAJU" localSheetId="5">[5]DAT2!#REF!</definedName>
    <definedName name="ALAJU" localSheetId="6">[6]DAT2!#REF!</definedName>
    <definedName name="ALAJU" localSheetId="7">[7]DAT2!#REF!</definedName>
    <definedName name="ALAJU" localSheetId="8">[8]DAT2!#REF!</definedName>
    <definedName name="ALAJU" localSheetId="9">[9]DAT2!#REF!</definedName>
    <definedName name="ALAJU">[10]DAT2!#REF!</definedName>
    <definedName name="ALAJUE" localSheetId="1">[1]DAT2!#REF!</definedName>
    <definedName name="ALAJUE" localSheetId="2">[2]DAT2!#REF!</definedName>
    <definedName name="ALAJUE" localSheetId="3">[3]DAT2!#REF!</definedName>
    <definedName name="ALAJUE" localSheetId="4">[4]DAT2!#REF!</definedName>
    <definedName name="ALAJUE" localSheetId="5">[5]DAT2!#REF!</definedName>
    <definedName name="ALAJUE" localSheetId="6">[6]DAT2!#REF!</definedName>
    <definedName name="ALAJUE" localSheetId="7">[7]DAT2!#REF!</definedName>
    <definedName name="ALAJUE" localSheetId="8">[8]DAT2!#REF!</definedName>
    <definedName name="ALAJUE" localSheetId="9">[9]DAT2!#REF!</definedName>
    <definedName name="ALAJUE">[10]DAT2!#REF!</definedName>
    <definedName name="ALVA" localSheetId="1">[1]DAT2!#REF!</definedName>
    <definedName name="ALVA" localSheetId="2">[2]DAT2!#REF!</definedName>
    <definedName name="ALVA" localSheetId="3">[3]DAT2!#REF!</definedName>
    <definedName name="ALVA" localSheetId="4">[4]DAT2!#REF!</definedName>
    <definedName name="ALVA" localSheetId="5">[5]DAT2!#REF!</definedName>
    <definedName name="ALVA" localSheetId="6">[6]DAT2!#REF!</definedName>
    <definedName name="ALVA" localSheetId="7">[7]DAT2!#REF!</definedName>
    <definedName name="ALVA" localSheetId="8">[8]DAT2!#REF!</definedName>
    <definedName name="ALVA" localSheetId="9">[9]DAT2!#REF!</definedName>
    <definedName name="ALVA">[10]DAT2!#REF!</definedName>
    <definedName name="ASERR" localSheetId="1">[1]DAT2!#REF!</definedName>
    <definedName name="ASERR" localSheetId="2">[2]DAT2!#REF!</definedName>
    <definedName name="ASERR" localSheetId="3">[3]DAT2!#REF!</definedName>
    <definedName name="ASERR" localSheetId="4">[4]DAT2!#REF!</definedName>
    <definedName name="ASERR" localSheetId="5">[5]DAT2!#REF!</definedName>
    <definedName name="ASERR" localSheetId="6">[6]DAT2!#REF!</definedName>
    <definedName name="ASERR" localSheetId="7">[7]DAT2!#REF!</definedName>
    <definedName name="ASERR" localSheetId="8">[8]DAT2!#REF!</definedName>
    <definedName name="ASERR" localSheetId="9">[9]DAT2!#REF!</definedName>
    <definedName name="ASERR">[10]DAT2!#REF!</definedName>
    <definedName name="ATE" localSheetId="1">[1]DAT2!#REF!</definedName>
    <definedName name="ATE" localSheetId="2">[2]DAT2!#REF!</definedName>
    <definedName name="ATE" localSheetId="3">[3]DAT2!#REF!</definedName>
    <definedName name="ATE" localSheetId="4">[4]DAT2!#REF!</definedName>
    <definedName name="ATE" localSheetId="5">[5]DAT2!#REF!</definedName>
    <definedName name="ATE" localSheetId="6">[6]DAT2!#REF!</definedName>
    <definedName name="ATE" localSheetId="7">[7]DAT2!#REF!</definedName>
    <definedName name="ATE" localSheetId="8">[8]DAT2!#REF!</definedName>
    <definedName name="ATE" localSheetId="9">[9]DAT2!#REF!</definedName>
    <definedName name="ATE">[10]DAT2!#REF!</definedName>
    <definedName name="BAGAC" localSheetId="1">[1]DAT2!#REF!</definedName>
    <definedName name="BAGAC" localSheetId="2">[2]DAT2!#REF!</definedName>
    <definedName name="BAGAC" localSheetId="3">[3]DAT2!#REF!</definedName>
    <definedName name="BAGAC" localSheetId="4">[4]DAT2!#REF!</definedName>
    <definedName name="BAGAC" localSheetId="5">[5]DAT2!#REF!</definedName>
    <definedName name="BAGAC" localSheetId="6">[6]DAT2!#REF!</definedName>
    <definedName name="BAGAC" localSheetId="7">[7]DAT2!#REF!</definedName>
    <definedName name="BAGAC" localSheetId="8">[8]DAT2!#REF!</definedName>
    <definedName name="BAGAC" localSheetId="9">[9]DAT2!#REF!</definedName>
    <definedName name="BAGAC">[10]DAT2!#REF!</definedName>
    <definedName name="BARV" localSheetId="1">[1]DAT2!#REF!</definedName>
    <definedName name="BARV" localSheetId="2">[2]DAT2!#REF!</definedName>
    <definedName name="BARV" localSheetId="3">[3]DAT2!#REF!</definedName>
    <definedName name="BARV" localSheetId="4">[4]DAT2!#REF!</definedName>
    <definedName name="BARV" localSheetId="5">[5]DAT2!#REF!</definedName>
    <definedName name="BARV" localSheetId="6">[6]DAT2!#REF!</definedName>
    <definedName name="BARV" localSheetId="7">[7]DAT2!#REF!</definedName>
    <definedName name="BARV" localSheetId="8">[8]DAT2!#REF!</definedName>
    <definedName name="BARV" localSheetId="9">[9]DAT2!#REF!</definedName>
    <definedName name="BARV">[10]DAT2!#REF!</definedName>
    <definedName name="BEL" localSheetId="1">[1]DAT2!#REF!</definedName>
    <definedName name="BEL" localSheetId="2">[2]DAT2!#REF!</definedName>
    <definedName name="BEL" localSheetId="3">[3]DAT2!#REF!</definedName>
    <definedName name="BEL" localSheetId="4">[4]DAT2!#REF!</definedName>
    <definedName name="BEL" localSheetId="5">[5]DAT2!#REF!</definedName>
    <definedName name="BEL" localSheetId="6">[6]DAT2!#REF!</definedName>
    <definedName name="BEL" localSheetId="7">[7]DAT2!#REF!</definedName>
    <definedName name="BEL" localSheetId="8">[8]DAT2!#REF!</definedName>
    <definedName name="BEL" localSheetId="9">[9]DAT2!#REF!</definedName>
    <definedName name="BEL">[10]DAT2!#REF!</definedName>
    <definedName name="BUEN" localSheetId="1">[1]DAT2!#REF!</definedName>
    <definedName name="BUEN" localSheetId="2">[2]DAT2!#REF!</definedName>
    <definedName name="BUEN" localSheetId="3">[3]DAT2!#REF!</definedName>
    <definedName name="BUEN" localSheetId="4">[4]DAT2!#REF!</definedName>
    <definedName name="BUEN" localSheetId="5">[5]DAT2!#REF!</definedName>
    <definedName name="BUEN" localSheetId="6">[6]DAT2!#REF!</definedName>
    <definedName name="BUEN" localSheetId="7">[7]DAT2!#REF!</definedName>
    <definedName name="BUEN" localSheetId="8">[8]DAT2!#REF!</definedName>
    <definedName name="BUEN" localSheetId="9">[9]DAT2!#REF!</definedName>
    <definedName name="BUEN">[10]DAT2!#REF!</definedName>
    <definedName name="CANTÓNN">[10]!Tabla103[#All]</definedName>
    <definedName name="CAÑ" localSheetId="1">[1]DAT2!#REF!</definedName>
    <definedName name="CAÑ" localSheetId="2">[2]DAT2!#REF!</definedName>
    <definedName name="CAÑ" localSheetId="3">[3]DAT2!#REF!</definedName>
    <definedName name="CAÑ" localSheetId="4">[4]DAT2!#REF!</definedName>
    <definedName name="CAÑ" localSheetId="5">[5]DAT2!#REF!</definedName>
    <definedName name="CAÑ" localSheetId="6">[6]DAT2!#REF!</definedName>
    <definedName name="CAÑ" localSheetId="7">[7]DAT2!#REF!</definedName>
    <definedName name="CAÑ" localSheetId="8">[8]DAT2!#REF!</definedName>
    <definedName name="CAÑ" localSheetId="9">[9]DAT2!#REF!</definedName>
    <definedName name="CAÑ">[10]DAT2!#REF!</definedName>
    <definedName name="CARR" localSheetId="1">[1]DAT2!#REF!</definedName>
    <definedName name="CARR" localSheetId="2">[2]DAT2!#REF!</definedName>
    <definedName name="CARR" localSheetId="3">[3]DAT2!#REF!</definedName>
    <definedName name="CARR" localSheetId="4">[4]DAT2!#REF!</definedName>
    <definedName name="CARR" localSheetId="5">[5]DAT2!#REF!</definedName>
    <definedName name="CARR" localSheetId="6">[6]DAT2!#REF!</definedName>
    <definedName name="CARR" localSheetId="7">[7]DAT2!#REF!</definedName>
    <definedName name="CARR" localSheetId="8">[8]DAT2!#REF!</definedName>
    <definedName name="CARR" localSheetId="9">[9]DAT2!#REF!</definedName>
    <definedName name="CARR">[10]DAT2!#REF!</definedName>
    <definedName name="CARTAG" localSheetId="1">[1]DAT2!#REF!</definedName>
    <definedName name="CARTAG" localSheetId="2">[2]DAT2!#REF!</definedName>
    <definedName name="CARTAG" localSheetId="3">[3]DAT2!#REF!</definedName>
    <definedName name="CARTAG" localSheetId="4">[4]DAT2!#REF!</definedName>
    <definedName name="CARTAG" localSheetId="5">[5]DAT2!#REF!</definedName>
    <definedName name="CARTAG" localSheetId="6">[6]DAT2!#REF!</definedName>
    <definedName name="CARTAG" localSheetId="7">[7]DAT2!#REF!</definedName>
    <definedName name="CARTAG" localSheetId="8">[8]DAT2!#REF!</definedName>
    <definedName name="CARTAG" localSheetId="9">[9]DAT2!#REF!</definedName>
    <definedName name="CARTAG">[10]DAT2!#REF!</definedName>
    <definedName name="CORR" localSheetId="1">[1]DAT2!#REF!</definedName>
    <definedName name="CORR" localSheetId="2">[2]DAT2!#REF!</definedName>
    <definedName name="CORR" localSheetId="3">[3]DAT2!#REF!</definedName>
    <definedName name="CORR" localSheetId="4">[4]DAT2!#REF!</definedName>
    <definedName name="CORR" localSheetId="5">[5]DAT2!#REF!</definedName>
    <definedName name="CORR" localSheetId="6">[6]DAT2!#REF!</definedName>
    <definedName name="CORR" localSheetId="7">[7]DAT2!#REF!</definedName>
    <definedName name="CORR" localSheetId="8">[8]DAT2!#REF!</definedName>
    <definedName name="CORR" localSheetId="9">[9]DAT2!#REF!</definedName>
    <definedName name="CORR">[10]DAT2!#REF!</definedName>
    <definedName name="COTB" localSheetId="1">[1]DAT2!#REF!</definedName>
    <definedName name="COTB" localSheetId="2">[2]DAT2!#REF!</definedName>
    <definedName name="COTB" localSheetId="3">[3]DAT2!#REF!</definedName>
    <definedName name="COTB" localSheetId="4">[4]DAT2!#REF!</definedName>
    <definedName name="COTB" localSheetId="5">[5]DAT2!#REF!</definedName>
    <definedName name="COTB" localSheetId="6">[6]DAT2!#REF!</definedName>
    <definedName name="COTB" localSheetId="7">[7]DAT2!#REF!</definedName>
    <definedName name="COTB" localSheetId="8">[8]DAT2!#REF!</definedName>
    <definedName name="COTB" localSheetId="9">[9]DAT2!#REF!</definedName>
    <definedName name="COTB">[10]DAT2!#REF!</definedName>
    <definedName name="CURRI" localSheetId="1">[1]DAT2!#REF!</definedName>
    <definedName name="CURRI" localSheetId="2">[2]DAT2!#REF!</definedName>
    <definedName name="CURRI" localSheetId="3">[3]DAT2!#REF!</definedName>
    <definedName name="CURRI" localSheetId="4">[4]DAT2!#REF!</definedName>
    <definedName name="CURRI" localSheetId="5">[5]DAT2!#REF!</definedName>
    <definedName name="CURRI" localSheetId="6">[6]DAT2!#REF!</definedName>
    <definedName name="CURRI" localSheetId="7">[7]DAT2!#REF!</definedName>
    <definedName name="CURRI" localSheetId="8">[8]DAT2!#REF!</definedName>
    <definedName name="CURRI" localSheetId="9">[9]DAT2!#REF!</definedName>
    <definedName name="CURRI">[10]DAT2!#REF!</definedName>
    <definedName name="DESAMP" localSheetId="1">[1]DAT2!#REF!</definedName>
    <definedName name="DESAMP" localSheetId="2">[2]DAT2!#REF!</definedName>
    <definedName name="DESAMP" localSheetId="3">[3]DAT2!#REF!</definedName>
    <definedName name="DESAMP" localSheetId="4">[4]DAT2!#REF!</definedName>
    <definedName name="DESAMP" localSheetId="5">[5]DAT2!#REF!</definedName>
    <definedName name="DESAMP" localSheetId="6">[6]DAT2!#REF!</definedName>
    <definedName name="DESAMP" localSheetId="7">[7]DAT2!#REF!</definedName>
    <definedName name="DESAMP" localSheetId="8">[8]DAT2!#REF!</definedName>
    <definedName name="DESAMP" localSheetId="9">[9]DAT2!#REF!</definedName>
    <definedName name="DESAMP">[10]DAT2!#REF!</definedName>
    <definedName name="DISTRI" localSheetId="1">#REF!</definedName>
    <definedName name="DISTRI" localSheetId="2">#REF!</definedName>
    <definedName name="DISTRI" localSheetId="3">#REF!</definedName>
    <definedName name="DISTRI" localSheetId="4">#REF!</definedName>
    <definedName name="DISTRI" localSheetId="5">#REF!</definedName>
    <definedName name="DISTRI" localSheetId="6">#REF!</definedName>
    <definedName name="DISTRI" localSheetId="7">#REF!</definedName>
    <definedName name="DISTRI" localSheetId="8">#REF!</definedName>
    <definedName name="DISTRI" localSheetId="9">#REF!</definedName>
    <definedName name="DISTRI">#REF!</definedName>
    <definedName name="DOTA" localSheetId="1">[1]DAT2!#REF!</definedName>
    <definedName name="DOTA" localSheetId="2">[2]DAT2!#REF!</definedName>
    <definedName name="DOTA" localSheetId="3">[3]DAT2!#REF!</definedName>
    <definedName name="DOTA" localSheetId="4">[4]DAT2!#REF!</definedName>
    <definedName name="DOTA" localSheetId="5">[5]DAT2!#REF!</definedName>
    <definedName name="DOTA" localSheetId="6">[6]DAT2!#REF!</definedName>
    <definedName name="DOTA" localSheetId="7">[7]DAT2!#REF!</definedName>
    <definedName name="DOTA" localSheetId="8">[8]DAT2!#REF!</definedName>
    <definedName name="DOTA" localSheetId="9">[9]DAT2!#REF!</definedName>
    <definedName name="DOTA">[10]DAT2!#REF!</definedName>
    <definedName name="ELGUA" localSheetId="1">[1]DAT2!#REF!</definedName>
    <definedName name="ELGUA" localSheetId="2">[2]DAT2!#REF!</definedName>
    <definedName name="ELGUA" localSheetId="3">[3]DAT2!#REF!</definedName>
    <definedName name="ELGUA" localSheetId="4">[4]DAT2!#REF!</definedName>
    <definedName name="ELGUA" localSheetId="5">[5]DAT2!#REF!</definedName>
    <definedName name="ELGUA" localSheetId="6">[6]DAT2!#REF!</definedName>
    <definedName name="ELGUA" localSheetId="7">[7]DAT2!#REF!</definedName>
    <definedName name="ELGUA" localSheetId="8">[8]DAT2!#REF!</definedName>
    <definedName name="ELGUA" localSheetId="9">[9]DAT2!#REF!</definedName>
    <definedName name="ELGUA">[10]DAT2!#REF!</definedName>
    <definedName name="ESCAZ" localSheetId="1">[1]DAT2!#REF!</definedName>
    <definedName name="ESCAZ" localSheetId="2">[2]DAT2!#REF!</definedName>
    <definedName name="ESCAZ" localSheetId="3">[3]DAT2!#REF!</definedName>
    <definedName name="ESCAZ" localSheetId="4">[4]DAT2!#REF!</definedName>
    <definedName name="ESCAZ" localSheetId="5">[5]DAT2!#REF!</definedName>
    <definedName name="ESCAZ" localSheetId="6">[6]DAT2!#REF!</definedName>
    <definedName name="ESCAZ" localSheetId="7">[7]DAT2!#REF!</definedName>
    <definedName name="ESCAZ" localSheetId="8">[8]DAT2!#REF!</definedName>
    <definedName name="ESCAZ" localSheetId="9">[9]DAT2!#REF!</definedName>
    <definedName name="ESCAZ">[10]DAT2!#REF!</definedName>
    <definedName name="ESPA" localSheetId="1">[1]DAT2!#REF!</definedName>
    <definedName name="ESPA" localSheetId="2">[2]DAT2!#REF!</definedName>
    <definedName name="ESPA" localSheetId="3">[3]DAT2!#REF!</definedName>
    <definedName name="ESPA" localSheetId="4">[4]DAT2!#REF!</definedName>
    <definedName name="ESPA" localSheetId="5">[5]DAT2!#REF!</definedName>
    <definedName name="ESPA" localSheetId="6">[6]DAT2!#REF!</definedName>
    <definedName name="ESPA" localSheetId="7">[7]DAT2!#REF!</definedName>
    <definedName name="ESPA" localSheetId="8">[8]DAT2!#REF!</definedName>
    <definedName name="ESPA" localSheetId="9">[9]DAT2!#REF!</definedName>
    <definedName name="ESPA">[10]DAT2!#REF!</definedName>
    <definedName name="FLOR" localSheetId="1">[1]DAT2!#REF!</definedName>
    <definedName name="FLOR" localSheetId="2">[2]DAT2!#REF!</definedName>
    <definedName name="FLOR" localSheetId="3">[3]DAT2!#REF!</definedName>
    <definedName name="FLOR" localSheetId="4">[4]DAT2!#REF!</definedName>
    <definedName name="FLOR" localSheetId="5">[5]DAT2!#REF!</definedName>
    <definedName name="FLOR" localSheetId="6">[6]DAT2!#REF!</definedName>
    <definedName name="FLOR" localSheetId="7">[7]DAT2!#REF!</definedName>
    <definedName name="FLOR" localSheetId="8">[8]DAT2!#REF!</definedName>
    <definedName name="FLOR" localSheetId="9">[9]DAT2!#REF!</definedName>
    <definedName name="FLOR">[10]DAT2!#REF!</definedName>
    <definedName name="GARAB" localSheetId="1">[1]DAT2!#REF!</definedName>
    <definedName name="GARAB" localSheetId="2">[2]DAT2!#REF!</definedName>
    <definedName name="GARAB" localSheetId="3">[3]DAT2!#REF!</definedName>
    <definedName name="GARAB" localSheetId="4">[4]DAT2!#REF!</definedName>
    <definedName name="GARAB" localSheetId="5">[5]DAT2!#REF!</definedName>
    <definedName name="GARAB" localSheetId="6">[6]DAT2!#REF!</definedName>
    <definedName name="GARAB" localSheetId="7">[7]DAT2!#REF!</definedName>
    <definedName name="GARAB" localSheetId="8">[8]DAT2!#REF!</definedName>
    <definedName name="GARAB" localSheetId="9">[9]DAT2!#REF!</definedName>
    <definedName name="GARAB">[10]DAT2!#REF!</definedName>
    <definedName name="GOIC" localSheetId="1">[1]DAT2!#REF!</definedName>
    <definedName name="GOIC" localSheetId="2">[2]DAT2!#REF!</definedName>
    <definedName name="GOIC" localSheetId="3">[3]DAT2!#REF!</definedName>
    <definedName name="GOIC" localSheetId="4">[4]DAT2!#REF!</definedName>
    <definedName name="GOIC" localSheetId="5">[5]DAT2!#REF!</definedName>
    <definedName name="GOIC" localSheetId="6">[6]DAT2!#REF!</definedName>
    <definedName name="GOIC" localSheetId="7">[7]DAT2!#REF!</definedName>
    <definedName name="GOIC" localSheetId="8">[8]DAT2!#REF!</definedName>
    <definedName name="GOIC" localSheetId="9">[9]DAT2!#REF!</definedName>
    <definedName name="GOIC">[10]DAT2!#REF!</definedName>
    <definedName name="GOLF" localSheetId="1">[1]DAT2!#REF!</definedName>
    <definedName name="GOLF" localSheetId="2">[2]DAT2!#REF!</definedName>
    <definedName name="GOLF" localSheetId="3">[3]DAT2!#REF!</definedName>
    <definedName name="GOLF" localSheetId="4">[4]DAT2!#REF!</definedName>
    <definedName name="GOLF" localSheetId="5">[5]DAT2!#REF!</definedName>
    <definedName name="GOLF" localSheetId="6">[6]DAT2!#REF!</definedName>
    <definedName name="GOLF" localSheetId="7">[7]DAT2!#REF!</definedName>
    <definedName name="GOLF" localSheetId="8">[8]DAT2!#REF!</definedName>
    <definedName name="GOLF" localSheetId="9">[9]DAT2!#REF!</definedName>
    <definedName name="GOLF">[10]DAT2!#REF!</definedName>
    <definedName name="GREC" localSheetId="1">[1]DAT2!#REF!</definedName>
    <definedName name="GREC" localSheetId="2">[2]DAT2!#REF!</definedName>
    <definedName name="GREC" localSheetId="3">[3]DAT2!#REF!</definedName>
    <definedName name="GREC" localSheetId="4">[4]DAT2!#REF!</definedName>
    <definedName name="GREC" localSheetId="5">[5]DAT2!#REF!</definedName>
    <definedName name="GREC" localSheetId="6">[6]DAT2!#REF!</definedName>
    <definedName name="GREC" localSheetId="7">[7]DAT2!#REF!</definedName>
    <definedName name="GREC" localSheetId="8">[8]DAT2!#REF!</definedName>
    <definedName name="GREC" localSheetId="9">[9]DAT2!#REF!</definedName>
    <definedName name="GREC">[10]DAT2!#REF!</definedName>
    <definedName name="GUAC" localSheetId="1">[1]DAT2!#REF!</definedName>
    <definedName name="GUAC" localSheetId="2">[2]DAT2!#REF!</definedName>
    <definedName name="GUAC" localSheetId="3">[3]DAT2!#REF!</definedName>
    <definedName name="GUAC" localSheetId="4">[4]DAT2!#REF!</definedName>
    <definedName name="GUAC" localSheetId="5">[5]DAT2!#REF!</definedName>
    <definedName name="GUAC" localSheetId="6">[6]DAT2!#REF!</definedName>
    <definedName name="GUAC" localSheetId="7">[7]DAT2!#REF!</definedName>
    <definedName name="GUAC" localSheetId="8">[8]DAT2!#REF!</definedName>
    <definedName name="GUAC" localSheetId="9">[9]DAT2!#REF!</definedName>
    <definedName name="GUAC">[10]DAT2!#REF!</definedName>
    <definedName name="GUATU" localSheetId="1">[1]DAT2!#REF!</definedName>
    <definedName name="GUATU" localSheetId="2">[2]DAT2!#REF!</definedName>
    <definedName name="GUATU" localSheetId="3">[3]DAT2!#REF!</definedName>
    <definedName name="GUATU" localSheetId="4">[4]DAT2!#REF!</definedName>
    <definedName name="GUATU" localSheetId="5">[5]DAT2!#REF!</definedName>
    <definedName name="GUATU" localSheetId="6">[6]DAT2!#REF!</definedName>
    <definedName name="GUATU" localSheetId="7">[7]DAT2!#REF!</definedName>
    <definedName name="GUATU" localSheetId="8">[8]DAT2!#REF!</definedName>
    <definedName name="GUATU" localSheetId="9">[9]DAT2!#REF!</definedName>
    <definedName name="GUATU">[10]DAT2!#REF!</definedName>
    <definedName name="HERED" localSheetId="1">[1]DAT2!#REF!</definedName>
    <definedName name="HERED" localSheetId="2">[2]DAT2!#REF!</definedName>
    <definedName name="HERED" localSheetId="3">[3]DAT2!#REF!</definedName>
    <definedName name="HERED" localSheetId="4">[4]DAT2!#REF!</definedName>
    <definedName name="HERED" localSheetId="5">[5]DAT2!#REF!</definedName>
    <definedName name="HERED" localSheetId="6">[6]DAT2!#REF!</definedName>
    <definedName name="HERED" localSheetId="7">[7]DAT2!#REF!</definedName>
    <definedName name="HERED" localSheetId="8">[8]DAT2!#REF!</definedName>
    <definedName name="HERED" localSheetId="9">[9]DAT2!#REF!</definedName>
    <definedName name="HERED">[10]DAT2!#REF!</definedName>
    <definedName name="HOJA" localSheetId="1">[1]DAT2!#REF!</definedName>
    <definedName name="HOJA" localSheetId="2">[2]DAT2!#REF!</definedName>
    <definedName name="HOJA" localSheetId="3">[3]DAT2!#REF!</definedName>
    <definedName name="HOJA" localSheetId="4">[4]DAT2!#REF!</definedName>
    <definedName name="HOJA" localSheetId="5">[5]DAT2!#REF!</definedName>
    <definedName name="HOJA" localSheetId="6">[6]DAT2!#REF!</definedName>
    <definedName name="HOJA" localSheetId="7">[7]DAT2!#REF!</definedName>
    <definedName name="HOJA" localSheetId="8">[8]DAT2!#REF!</definedName>
    <definedName name="HOJA" localSheetId="9">[9]DAT2!#REF!</definedName>
    <definedName name="HOJA">[10]DAT2!#REF!</definedName>
    <definedName name="JE">[10]!Tabla103[#All]</definedName>
    <definedName name="jes">[10]!Tabla103[#All]</definedName>
    <definedName name="JIME" localSheetId="1">[1]DAT2!#REF!</definedName>
    <definedName name="JIME" localSheetId="2">[2]DAT2!#REF!</definedName>
    <definedName name="JIME" localSheetId="3">[3]DAT2!#REF!</definedName>
    <definedName name="JIME" localSheetId="4">[4]DAT2!#REF!</definedName>
    <definedName name="JIME" localSheetId="5">[5]DAT2!#REF!</definedName>
    <definedName name="JIME" localSheetId="6">[6]DAT2!#REF!</definedName>
    <definedName name="JIME" localSheetId="7">[7]DAT2!#REF!</definedName>
    <definedName name="JIME" localSheetId="8">[8]DAT2!#REF!</definedName>
    <definedName name="JIME" localSheetId="9">[9]DAT2!#REF!</definedName>
    <definedName name="JIME">[10]DAT2!#REF!</definedName>
    <definedName name="LACRU" localSheetId="1">[1]DAT2!#REF!</definedName>
    <definedName name="LACRU" localSheetId="2">[2]DAT2!#REF!</definedName>
    <definedName name="LACRU" localSheetId="3">[3]DAT2!#REF!</definedName>
    <definedName name="LACRU" localSheetId="4">[4]DAT2!#REF!</definedName>
    <definedName name="LACRU" localSheetId="5">[5]DAT2!#REF!</definedName>
    <definedName name="LACRU" localSheetId="6">[6]DAT2!#REF!</definedName>
    <definedName name="LACRU" localSheetId="7">[7]DAT2!#REF!</definedName>
    <definedName name="LACRU" localSheetId="8">[8]DAT2!#REF!</definedName>
    <definedName name="LACRU" localSheetId="9">[9]DAT2!#REF!</definedName>
    <definedName name="LACRU">[10]DAT2!#REF!</definedName>
    <definedName name="LAUN" localSheetId="1">[1]DAT2!#REF!</definedName>
    <definedName name="LAUN" localSheetId="2">[2]DAT2!#REF!</definedName>
    <definedName name="LAUN" localSheetId="3">[3]DAT2!#REF!</definedName>
    <definedName name="LAUN" localSheetId="4">[4]DAT2!#REF!</definedName>
    <definedName name="LAUN" localSheetId="5">[5]DAT2!#REF!</definedName>
    <definedName name="LAUN" localSheetId="6">[6]DAT2!#REF!</definedName>
    <definedName name="LAUN" localSheetId="7">[7]DAT2!#REF!</definedName>
    <definedName name="LAUN" localSheetId="8">[8]DAT2!#REF!</definedName>
    <definedName name="LAUN" localSheetId="9">[9]DAT2!#REF!</definedName>
    <definedName name="LAUN">[10]DAT2!#REF!</definedName>
    <definedName name="LEO" localSheetId="1">[1]DAT1!#REF!</definedName>
    <definedName name="LEO" localSheetId="2">[2]DAT1!#REF!</definedName>
    <definedName name="LEO" localSheetId="3">[3]DAT1!#REF!</definedName>
    <definedName name="LEO" localSheetId="4">[4]DAT1!#REF!</definedName>
    <definedName name="LEO" localSheetId="5">[5]DAT1!#REF!</definedName>
    <definedName name="LEO" localSheetId="6">[6]DAT1!#REF!</definedName>
    <definedName name="LEO" localSheetId="7">[7]DAT1!#REF!</definedName>
    <definedName name="LEO" localSheetId="8">[8]DAT1!#REF!</definedName>
    <definedName name="LEO" localSheetId="9">[9]DAT1!#REF!</definedName>
    <definedName name="LEO">[10]DAT1!#REF!</definedName>
    <definedName name="LIB" localSheetId="1">[1]DAT2!#REF!</definedName>
    <definedName name="LIB" localSheetId="2">[2]DAT2!#REF!</definedName>
    <definedName name="LIB" localSheetId="3">[3]DAT2!#REF!</definedName>
    <definedName name="LIB" localSheetId="4">[4]DAT2!#REF!</definedName>
    <definedName name="LIB" localSheetId="5">[5]DAT2!#REF!</definedName>
    <definedName name="LIB" localSheetId="6">[6]DAT2!#REF!</definedName>
    <definedName name="LIB" localSheetId="7">[7]DAT2!#REF!</definedName>
    <definedName name="LIB" localSheetId="8">[8]DAT2!#REF!</definedName>
    <definedName name="LIB" localSheetId="9">[9]DAT2!#REF!</definedName>
    <definedName name="LIB">[10]DAT2!#REF!</definedName>
    <definedName name="LIM" localSheetId="1">[1]DAT2!#REF!</definedName>
    <definedName name="LIM" localSheetId="2">[2]DAT2!#REF!</definedName>
    <definedName name="LIM" localSheetId="3">[3]DAT2!#REF!</definedName>
    <definedName name="LIM" localSheetId="4">[4]DAT2!#REF!</definedName>
    <definedName name="LIM" localSheetId="5">[5]DAT2!#REF!</definedName>
    <definedName name="LIM" localSheetId="6">[6]DAT2!#REF!</definedName>
    <definedName name="LIM" localSheetId="7">[7]DAT2!#REF!</definedName>
    <definedName name="LIM" localSheetId="8">[8]DAT2!#REF!</definedName>
    <definedName name="LIM" localSheetId="9">[9]DAT2!#REF!</definedName>
    <definedName name="LIM">[10]DAT2!#REF!</definedName>
    <definedName name="LOSCHI" localSheetId="1">[1]DAT2!#REF!</definedName>
    <definedName name="LOSCHI" localSheetId="2">[2]DAT2!#REF!</definedName>
    <definedName name="LOSCHI" localSheetId="3">[3]DAT2!#REF!</definedName>
    <definedName name="LOSCHI" localSheetId="4">[4]DAT2!#REF!</definedName>
    <definedName name="LOSCHI" localSheetId="5">[5]DAT2!#REF!</definedName>
    <definedName name="LOSCHI" localSheetId="6">[6]DAT2!#REF!</definedName>
    <definedName name="LOSCHI" localSheetId="7">[7]DAT2!#REF!</definedName>
    <definedName name="LOSCHI" localSheetId="8">[8]DAT2!#REF!</definedName>
    <definedName name="LOSCHI" localSheetId="9">[9]DAT2!#REF!</definedName>
    <definedName name="LOSCHI">[10]DAT2!#REF!</definedName>
    <definedName name="MAT" localSheetId="1">[1]DAT2!#REF!</definedName>
    <definedName name="MAT" localSheetId="2">[2]DAT2!#REF!</definedName>
    <definedName name="MAT" localSheetId="3">[3]DAT2!#REF!</definedName>
    <definedName name="MAT" localSheetId="4">[4]DAT2!#REF!</definedName>
    <definedName name="MAT" localSheetId="5">[5]DAT2!#REF!</definedName>
    <definedName name="MAT" localSheetId="6">[6]DAT2!#REF!</definedName>
    <definedName name="MAT" localSheetId="7">[7]DAT2!#REF!</definedName>
    <definedName name="MAT" localSheetId="8">[8]DAT2!#REF!</definedName>
    <definedName name="MAT" localSheetId="9">[9]DAT2!#REF!</definedName>
    <definedName name="MAT">[10]DAT2!#REF!</definedName>
    <definedName name="MONTEV" localSheetId="1">[1]DAT2!#REF!</definedName>
    <definedName name="MONTEV" localSheetId="2">[2]DAT2!#REF!</definedName>
    <definedName name="MONTEV" localSheetId="3">[3]DAT2!#REF!</definedName>
    <definedName name="MONTEV" localSheetId="4">[4]DAT2!#REF!</definedName>
    <definedName name="MONTEV" localSheetId="5">[5]DAT2!#REF!</definedName>
    <definedName name="MONTEV" localSheetId="6">[6]DAT2!#REF!</definedName>
    <definedName name="MONTEV" localSheetId="7">[7]DAT2!#REF!</definedName>
    <definedName name="MONTEV" localSheetId="8">[8]DAT2!#REF!</definedName>
    <definedName name="MONTEV" localSheetId="9">[9]DAT2!#REF!</definedName>
    <definedName name="MONTEV">[10]DAT2!#REF!</definedName>
    <definedName name="MONTOC" localSheetId="1">[1]DAT2!#REF!</definedName>
    <definedName name="MONTOC" localSheetId="2">[2]DAT2!#REF!</definedName>
    <definedName name="MONTOC" localSheetId="3">[3]DAT2!#REF!</definedName>
    <definedName name="MONTOC" localSheetId="4">[4]DAT2!#REF!</definedName>
    <definedName name="MONTOC" localSheetId="5">[5]DAT2!#REF!</definedName>
    <definedName name="MONTOC" localSheetId="6">[6]DAT2!#REF!</definedName>
    <definedName name="MONTOC" localSheetId="7">[7]DAT2!#REF!</definedName>
    <definedName name="MONTOC" localSheetId="8">[8]DAT2!#REF!</definedName>
    <definedName name="MONTOC" localSheetId="9">[9]DAT2!#REF!</definedName>
    <definedName name="MONTOC">[10]DAT2!#REF!</definedName>
    <definedName name="MONTOR" localSheetId="1">[1]DAT2!#REF!</definedName>
    <definedName name="MONTOR" localSheetId="2">[2]DAT2!#REF!</definedName>
    <definedName name="MONTOR" localSheetId="3">[3]DAT2!#REF!</definedName>
    <definedName name="MONTOR" localSheetId="4">[4]DAT2!#REF!</definedName>
    <definedName name="MONTOR" localSheetId="5">[5]DAT2!#REF!</definedName>
    <definedName name="MONTOR" localSheetId="6">[6]DAT2!#REF!</definedName>
    <definedName name="MONTOR" localSheetId="7">[7]DAT2!#REF!</definedName>
    <definedName name="MONTOR" localSheetId="8">[8]DAT2!#REF!</definedName>
    <definedName name="MONTOR" localSheetId="9">[9]DAT2!#REF!</definedName>
    <definedName name="MONTOR">[10]DAT2!#REF!</definedName>
    <definedName name="MOR" localSheetId="1">[1]DAT2!#REF!</definedName>
    <definedName name="MOR" localSheetId="2">[2]DAT2!#REF!</definedName>
    <definedName name="MOR" localSheetId="3">[3]DAT2!#REF!</definedName>
    <definedName name="MOR" localSheetId="4">[4]DAT2!#REF!</definedName>
    <definedName name="MOR" localSheetId="5">[5]DAT2!#REF!</definedName>
    <definedName name="MOR" localSheetId="6">[6]DAT2!#REF!</definedName>
    <definedName name="MOR" localSheetId="7">[7]DAT2!#REF!</definedName>
    <definedName name="MOR" localSheetId="8">[8]DAT2!#REF!</definedName>
    <definedName name="MOR" localSheetId="9">[9]DAT2!#REF!</definedName>
    <definedName name="MOR">[10]DAT2!#REF!</definedName>
    <definedName name="MORAV" localSheetId="1">[1]DAT2!#REF!</definedName>
    <definedName name="MORAV" localSheetId="2">[2]DAT2!#REF!</definedName>
    <definedName name="MORAV" localSheetId="3">[3]DAT2!#REF!</definedName>
    <definedName name="MORAV" localSheetId="4">[4]DAT2!#REF!</definedName>
    <definedName name="MORAV" localSheetId="5">[5]DAT2!#REF!</definedName>
    <definedName name="MORAV" localSheetId="6">[6]DAT2!#REF!</definedName>
    <definedName name="MORAV" localSheetId="7">[7]DAT2!#REF!</definedName>
    <definedName name="MORAV" localSheetId="8">[8]DAT2!#REF!</definedName>
    <definedName name="MORAV" localSheetId="9">[9]DAT2!#REF!</definedName>
    <definedName name="MORAV">[10]DAT2!#REF!</definedName>
    <definedName name="NAND" localSheetId="1">[1]DAT2!#REF!</definedName>
    <definedName name="NAND" localSheetId="2">[2]DAT2!#REF!</definedName>
    <definedName name="NAND" localSheetId="3">[3]DAT2!#REF!</definedName>
    <definedName name="NAND" localSheetId="4">[4]DAT2!#REF!</definedName>
    <definedName name="NAND" localSheetId="5">[5]DAT2!#REF!</definedName>
    <definedName name="NAND" localSheetId="6">[6]DAT2!#REF!</definedName>
    <definedName name="NAND" localSheetId="7">[7]DAT2!#REF!</definedName>
    <definedName name="NAND" localSheetId="8">[8]DAT2!#REF!</definedName>
    <definedName name="NAND" localSheetId="9">[9]DAT2!#REF!</definedName>
    <definedName name="NAND">[10]DAT2!#REF!</definedName>
    <definedName name="NARA" localSheetId="1">[1]DAT2!#REF!</definedName>
    <definedName name="NARA" localSheetId="2">[2]DAT2!#REF!</definedName>
    <definedName name="NARA" localSheetId="3">[3]DAT2!#REF!</definedName>
    <definedName name="NARA" localSheetId="4">[4]DAT2!#REF!</definedName>
    <definedName name="NARA" localSheetId="5">[5]DAT2!#REF!</definedName>
    <definedName name="NARA" localSheetId="6">[6]DAT2!#REF!</definedName>
    <definedName name="NARA" localSheetId="7">[7]DAT2!#REF!</definedName>
    <definedName name="NARA" localSheetId="8">[8]DAT2!#REF!</definedName>
    <definedName name="NARA" localSheetId="9">[9]DAT2!#REF!</definedName>
    <definedName name="NARA">[10]DAT2!#REF!</definedName>
    <definedName name="NICO" localSheetId="1">[1]DAT2!#REF!</definedName>
    <definedName name="NICO" localSheetId="2">[2]DAT2!#REF!</definedName>
    <definedName name="NICO" localSheetId="3">[3]DAT2!#REF!</definedName>
    <definedName name="NICO" localSheetId="4">[4]DAT2!#REF!</definedName>
    <definedName name="NICO" localSheetId="5">[5]DAT2!#REF!</definedName>
    <definedName name="NICO" localSheetId="6">[6]DAT2!#REF!</definedName>
    <definedName name="NICO" localSheetId="7">[7]DAT2!#REF!</definedName>
    <definedName name="NICO" localSheetId="8">[8]DAT2!#REF!</definedName>
    <definedName name="NICO" localSheetId="9">[9]DAT2!#REF!</definedName>
    <definedName name="NICO">[10]DAT2!#REF!</definedName>
    <definedName name="OREAMU" localSheetId="1">[1]DAT2!#REF!</definedName>
    <definedName name="OREAMU" localSheetId="2">[2]DAT2!#REF!</definedName>
    <definedName name="OREAMU" localSheetId="3">[3]DAT2!#REF!</definedName>
    <definedName name="OREAMU" localSheetId="4">[4]DAT2!#REF!</definedName>
    <definedName name="OREAMU" localSheetId="5">[5]DAT2!#REF!</definedName>
    <definedName name="OREAMU" localSheetId="6">[6]DAT2!#REF!</definedName>
    <definedName name="OREAMU" localSheetId="7">[7]DAT2!#REF!</definedName>
    <definedName name="OREAMU" localSheetId="8">[8]DAT2!#REF!</definedName>
    <definedName name="OREAMU" localSheetId="9">[9]DAT2!#REF!</definedName>
    <definedName name="OREAMU">[10]DAT2!#REF!</definedName>
    <definedName name="OROT" localSheetId="1">[1]DAT2!#REF!</definedName>
    <definedName name="OROT" localSheetId="2">[2]DAT2!#REF!</definedName>
    <definedName name="OROT" localSheetId="3">[3]DAT2!#REF!</definedName>
    <definedName name="OROT" localSheetId="4">[4]DAT2!#REF!</definedName>
    <definedName name="OROT" localSheetId="5">[5]DAT2!#REF!</definedName>
    <definedName name="OROT" localSheetId="6">[6]DAT2!#REF!</definedName>
    <definedName name="OROT" localSheetId="7">[7]DAT2!#REF!</definedName>
    <definedName name="OROT" localSheetId="8">[8]DAT2!#REF!</definedName>
    <definedName name="OROT" localSheetId="9">[9]DAT2!#REF!</definedName>
    <definedName name="OROT">[10]DAT2!#REF!</definedName>
    <definedName name="OSA" localSheetId="1">[1]DAT2!#REF!</definedName>
    <definedName name="OSA" localSheetId="2">[2]DAT2!#REF!</definedName>
    <definedName name="OSA" localSheetId="3">[3]DAT2!#REF!</definedName>
    <definedName name="OSA" localSheetId="4">[4]DAT2!#REF!</definedName>
    <definedName name="OSA" localSheetId="5">[5]DAT2!#REF!</definedName>
    <definedName name="OSA" localSheetId="6">[6]DAT2!#REF!</definedName>
    <definedName name="OSA" localSheetId="7">[7]DAT2!#REF!</definedName>
    <definedName name="OSA" localSheetId="8">[8]DAT2!#REF!</definedName>
    <definedName name="OSA" localSheetId="9">[9]DAT2!#REF!</definedName>
    <definedName name="OSA">[10]DAT2!#REF!</definedName>
    <definedName name="PALMA" localSheetId="1">[1]DAT2!#REF!</definedName>
    <definedName name="PALMA" localSheetId="2">[2]DAT2!#REF!</definedName>
    <definedName name="PALMA" localSheetId="3">[3]DAT2!#REF!</definedName>
    <definedName name="PALMA" localSheetId="4">[4]DAT2!#REF!</definedName>
    <definedName name="PALMA" localSheetId="5">[5]DAT2!#REF!</definedName>
    <definedName name="PALMA" localSheetId="6">[6]DAT2!#REF!</definedName>
    <definedName name="PALMA" localSheetId="7">[7]DAT2!#REF!</definedName>
    <definedName name="PALMA" localSheetId="8">[8]DAT2!#REF!</definedName>
    <definedName name="PALMA" localSheetId="9">[9]DAT2!#REF!</definedName>
    <definedName name="PALMA">[10]DAT2!#REF!</definedName>
    <definedName name="PARA" localSheetId="1">[1]DAT2!#REF!</definedName>
    <definedName name="PARA" localSheetId="2">[2]DAT2!#REF!</definedName>
    <definedName name="PARA" localSheetId="3">[3]DAT2!#REF!</definedName>
    <definedName name="PARA" localSheetId="4">[4]DAT2!#REF!</definedName>
    <definedName name="PARA" localSheetId="5">[5]DAT2!#REF!</definedName>
    <definedName name="PARA" localSheetId="6">[6]DAT2!#REF!</definedName>
    <definedName name="PARA" localSheetId="7">[7]DAT2!#REF!</definedName>
    <definedName name="PARA" localSheetId="8">[8]DAT2!#REF!</definedName>
    <definedName name="PARA" localSheetId="9">[9]DAT2!#REF!</definedName>
    <definedName name="PARA">[10]DAT2!#REF!</definedName>
    <definedName name="PARR" localSheetId="1">[1]DAT2!#REF!</definedName>
    <definedName name="PARR" localSheetId="2">[2]DAT2!#REF!</definedName>
    <definedName name="PARR" localSheetId="3">[3]DAT2!#REF!</definedName>
    <definedName name="PARR" localSheetId="4">[4]DAT2!#REF!</definedName>
    <definedName name="PARR" localSheetId="5">[5]DAT2!#REF!</definedName>
    <definedName name="PARR" localSheetId="6">[6]DAT2!#REF!</definedName>
    <definedName name="PARR" localSheetId="7">[7]DAT2!#REF!</definedName>
    <definedName name="PARR" localSheetId="8">[8]DAT2!#REF!</definedName>
    <definedName name="PARR" localSheetId="9">[9]DAT2!#REF!</definedName>
    <definedName name="PARR">[10]DAT2!#REF!</definedName>
    <definedName name="POA" localSheetId="1">[1]DAT2!#REF!</definedName>
    <definedName name="POA" localSheetId="2">[2]DAT2!#REF!</definedName>
    <definedName name="POA" localSheetId="3">[3]DAT2!#REF!</definedName>
    <definedName name="POA" localSheetId="4">[4]DAT2!#REF!</definedName>
    <definedName name="POA" localSheetId="5">[5]DAT2!#REF!</definedName>
    <definedName name="POA" localSheetId="6">[6]DAT2!#REF!</definedName>
    <definedName name="POA" localSheetId="7">[7]DAT2!#REF!</definedName>
    <definedName name="POA" localSheetId="8">[8]DAT2!#REF!</definedName>
    <definedName name="POA" localSheetId="9">[9]DAT2!#REF!</definedName>
    <definedName name="POA">[10]DAT2!#REF!</definedName>
    <definedName name="POCOC" localSheetId="1">[1]DAT2!#REF!</definedName>
    <definedName name="POCOC" localSheetId="2">[2]DAT2!#REF!</definedName>
    <definedName name="POCOC" localSheetId="3">[3]DAT2!#REF!</definedName>
    <definedName name="POCOC" localSheetId="4">[4]DAT2!#REF!</definedName>
    <definedName name="POCOC" localSheetId="5">[5]DAT2!#REF!</definedName>
    <definedName name="POCOC" localSheetId="6">[6]DAT2!#REF!</definedName>
    <definedName name="POCOC" localSheetId="7">[7]DAT2!#REF!</definedName>
    <definedName name="POCOC" localSheetId="8">[8]DAT2!#REF!</definedName>
    <definedName name="POCOC" localSheetId="9">[9]DAT2!#REF!</definedName>
    <definedName name="POCOC">[10]DAT2!#REF!</definedName>
    <definedName name="PUERTOJ" localSheetId="1">[1]DAT2!#REF!</definedName>
    <definedName name="PUERTOJ" localSheetId="2">[2]DAT2!#REF!</definedName>
    <definedName name="PUERTOJ" localSheetId="3">[3]DAT2!#REF!</definedName>
    <definedName name="PUERTOJ" localSheetId="4">[4]DAT2!#REF!</definedName>
    <definedName name="PUERTOJ" localSheetId="5">[5]DAT2!#REF!</definedName>
    <definedName name="PUERTOJ" localSheetId="6">[6]DAT2!#REF!</definedName>
    <definedName name="PUERTOJ" localSheetId="7">[7]DAT2!#REF!</definedName>
    <definedName name="PUERTOJ" localSheetId="8">[8]DAT2!#REF!</definedName>
    <definedName name="PUERTOJ" localSheetId="9">[9]DAT2!#REF!</definedName>
    <definedName name="PUERTOJ">[10]DAT2!#REF!</definedName>
    <definedName name="PUNTAR" localSheetId="1">[1]DAT2!#REF!</definedName>
    <definedName name="PUNTAR" localSheetId="2">[2]DAT2!#REF!</definedName>
    <definedName name="PUNTAR" localSheetId="3">[3]DAT2!#REF!</definedName>
    <definedName name="PUNTAR" localSheetId="4">[4]DAT2!#REF!</definedName>
    <definedName name="PUNTAR" localSheetId="5">[5]DAT2!#REF!</definedName>
    <definedName name="PUNTAR" localSheetId="6">[6]DAT2!#REF!</definedName>
    <definedName name="PUNTAR" localSheetId="7">[7]DAT2!#REF!</definedName>
    <definedName name="PUNTAR" localSheetId="8">[8]DAT2!#REF!</definedName>
    <definedName name="PUNTAR" localSheetId="9">[9]DAT2!#REF!</definedName>
    <definedName name="PUNTAR">[10]DAT2!#REF!</definedName>
    <definedName name="PURIS" localSheetId="1">[1]DAT2!#REF!</definedName>
    <definedName name="PURIS" localSheetId="2">[2]DAT2!#REF!</definedName>
    <definedName name="PURIS" localSheetId="3">[3]DAT2!#REF!</definedName>
    <definedName name="PURIS" localSheetId="4">[4]DAT2!#REF!</definedName>
    <definedName name="PURIS" localSheetId="5">[5]DAT2!#REF!</definedName>
    <definedName name="PURIS" localSheetId="6">[6]DAT2!#REF!</definedName>
    <definedName name="PURIS" localSheetId="7">[7]DAT2!#REF!</definedName>
    <definedName name="PURIS" localSheetId="8">[8]DAT2!#REF!</definedName>
    <definedName name="PURIS" localSheetId="9">[9]DAT2!#REF!</definedName>
    <definedName name="PURIS">[10]DAT2!#REF!</definedName>
    <definedName name="PZ" localSheetId="1">[1]DAT2!#REF!</definedName>
    <definedName name="PZ" localSheetId="2">[2]DAT2!#REF!</definedName>
    <definedName name="PZ" localSheetId="3">[3]DAT2!#REF!</definedName>
    <definedName name="PZ" localSheetId="4">[4]DAT2!#REF!</definedName>
    <definedName name="PZ" localSheetId="5">[5]DAT2!#REF!</definedName>
    <definedName name="PZ" localSheetId="6">[6]DAT2!#REF!</definedName>
    <definedName name="PZ" localSheetId="7">[7]DAT2!#REF!</definedName>
    <definedName name="PZ" localSheetId="8">[8]DAT2!#REF!</definedName>
    <definedName name="PZ" localSheetId="9">[9]DAT2!#REF!</definedName>
    <definedName name="PZ">[10]DAT2!#REF!</definedName>
    <definedName name="QUEP" localSheetId="1">[1]DAT2!#REF!</definedName>
    <definedName name="QUEP" localSheetId="2">[2]DAT2!#REF!</definedName>
    <definedName name="QUEP" localSheetId="3">[3]DAT2!#REF!</definedName>
    <definedName name="QUEP" localSheetId="4">[4]DAT2!#REF!</definedName>
    <definedName name="QUEP" localSheetId="5">[5]DAT2!#REF!</definedName>
    <definedName name="QUEP" localSheetId="6">[6]DAT2!#REF!</definedName>
    <definedName name="QUEP" localSheetId="7">[7]DAT2!#REF!</definedName>
    <definedName name="QUEP" localSheetId="8">[8]DAT2!#REF!</definedName>
    <definedName name="QUEP" localSheetId="9">[9]DAT2!#REF!</definedName>
    <definedName name="QUEP">[10]DAT2!#REF!</definedName>
    <definedName name="RIOCU" localSheetId="1">[1]DAT2!#REF!</definedName>
    <definedName name="RIOCU" localSheetId="2">[2]DAT2!#REF!</definedName>
    <definedName name="RIOCU" localSheetId="3">[3]DAT2!#REF!</definedName>
    <definedName name="RIOCU" localSheetId="4">[4]DAT2!#REF!</definedName>
    <definedName name="RIOCU" localSheetId="5">[5]DAT2!#REF!</definedName>
    <definedName name="RIOCU" localSheetId="6">[6]DAT2!#REF!</definedName>
    <definedName name="RIOCU" localSheetId="7">[7]DAT2!#REF!</definedName>
    <definedName name="RIOCU" localSheetId="8">[8]DAT2!#REF!</definedName>
    <definedName name="RIOCU" localSheetId="9">[9]DAT2!#REF!</definedName>
    <definedName name="RIOCU">[10]DAT2!#REF!</definedName>
    <definedName name="SANCAR" localSheetId="1">[1]DAT2!#REF!</definedName>
    <definedName name="SANCAR" localSheetId="2">[2]DAT2!#REF!</definedName>
    <definedName name="SANCAR" localSheetId="3">[3]DAT2!#REF!</definedName>
    <definedName name="SANCAR" localSheetId="4">[4]DAT2!#REF!</definedName>
    <definedName name="SANCAR" localSheetId="5">[5]DAT2!#REF!</definedName>
    <definedName name="SANCAR" localSheetId="6">[6]DAT2!#REF!</definedName>
    <definedName name="SANCAR" localSheetId="7">[7]DAT2!#REF!</definedName>
    <definedName name="SANCAR" localSheetId="8">[8]DAT2!#REF!</definedName>
    <definedName name="SANCAR" localSheetId="9">[9]DAT2!#REF!</definedName>
    <definedName name="SANCAR">[10]DAT2!#REF!</definedName>
    <definedName name="SANISI" localSheetId="1">[1]DAT2!#REF!</definedName>
    <definedName name="SANISI" localSheetId="2">[2]DAT2!#REF!</definedName>
    <definedName name="SANISI" localSheetId="3">[3]DAT2!#REF!</definedName>
    <definedName name="SANISI" localSheetId="4">[4]DAT2!#REF!</definedName>
    <definedName name="SANISI" localSheetId="5">[5]DAT2!#REF!</definedName>
    <definedName name="SANISI" localSheetId="6">[6]DAT2!#REF!</definedName>
    <definedName name="SANISI" localSheetId="7">[7]DAT2!#REF!</definedName>
    <definedName name="SANISI" localSheetId="8">[8]DAT2!#REF!</definedName>
    <definedName name="SANISI" localSheetId="9">[9]DAT2!#REF!</definedName>
    <definedName name="SANISI">[10]DAT2!#REF!</definedName>
    <definedName name="SANMAT" localSheetId="1">[1]DAT2!#REF!</definedName>
    <definedName name="SANMAT" localSheetId="2">[2]DAT2!#REF!</definedName>
    <definedName name="SANMAT" localSheetId="3">[3]DAT2!#REF!</definedName>
    <definedName name="SANMAT" localSheetId="4">[4]DAT2!#REF!</definedName>
    <definedName name="SANMAT" localSheetId="5">[5]DAT2!#REF!</definedName>
    <definedName name="SANMAT" localSheetId="6">[6]DAT2!#REF!</definedName>
    <definedName name="SANMAT" localSheetId="7">[7]DAT2!#REF!</definedName>
    <definedName name="SANMAT" localSheetId="8">[8]DAT2!#REF!</definedName>
    <definedName name="SANMAT" localSheetId="9">[9]DAT2!#REF!</definedName>
    <definedName name="SANMAT">[10]DAT2!#REF!</definedName>
    <definedName name="SANPA" localSheetId="1">[1]DAT2!#REF!</definedName>
    <definedName name="SANPA" localSheetId="2">[2]DAT2!#REF!</definedName>
    <definedName name="SANPA" localSheetId="3">[3]DAT2!#REF!</definedName>
    <definedName name="SANPA" localSheetId="4">[4]DAT2!#REF!</definedName>
    <definedName name="SANPA" localSheetId="5">[5]DAT2!#REF!</definedName>
    <definedName name="SANPA" localSheetId="6">[6]DAT2!#REF!</definedName>
    <definedName name="SANPA" localSheetId="7">[7]DAT2!#REF!</definedName>
    <definedName name="SANPA" localSheetId="8">[8]DAT2!#REF!</definedName>
    <definedName name="SANPA" localSheetId="9">[9]DAT2!#REF!</definedName>
    <definedName name="SANPA">[10]DAT2!#REF!</definedName>
    <definedName name="SANRA" localSheetId="1">[1]DAT2!#REF!</definedName>
    <definedName name="SANRA" localSheetId="2">[2]DAT2!#REF!</definedName>
    <definedName name="SANRA" localSheetId="3">[3]DAT2!#REF!</definedName>
    <definedName name="SANRA" localSheetId="4">[4]DAT2!#REF!</definedName>
    <definedName name="SANRA" localSheetId="5">[5]DAT2!#REF!</definedName>
    <definedName name="SANRA" localSheetId="6">[6]DAT2!#REF!</definedName>
    <definedName name="SANRA" localSheetId="7">[7]DAT2!#REF!</definedName>
    <definedName name="SANRA" localSheetId="8">[8]DAT2!#REF!</definedName>
    <definedName name="SANRA" localSheetId="9">[9]DAT2!#REF!</definedName>
    <definedName name="SANRA">[10]DAT2!#REF!</definedName>
    <definedName name="SANRAF" localSheetId="1">[1]DAT2!#REF!</definedName>
    <definedName name="SANRAF" localSheetId="2">[2]DAT2!#REF!</definedName>
    <definedName name="SANRAF" localSheetId="3">[3]DAT2!#REF!</definedName>
    <definedName name="SANRAF" localSheetId="4">[4]DAT2!#REF!</definedName>
    <definedName name="SANRAF" localSheetId="5">[5]DAT2!#REF!</definedName>
    <definedName name="SANRAF" localSheetId="6">[6]DAT2!#REF!</definedName>
    <definedName name="SANRAF" localSheetId="7">[7]DAT2!#REF!</definedName>
    <definedName name="SANRAF" localSheetId="8">[8]DAT2!#REF!</definedName>
    <definedName name="SANRAF" localSheetId="9">[9]DAT2!#REF!</definedName>
    <definedName name="SANRAF">[10]DAT2!#REF!</definedName>
    <definedName name="SANTA" localSheetId="1">[1]DAT2!#REF!</definedName>
    <definedName name="SANTA" localSheetId="2">[2]DAT2!#REF!</definedName>
    <definedName name="SANTA" localSheetId="3">[3]DAT2!#REF!</definedName>
    <definedName name="SANTA" localSheetId="4">[4]DAT2!#REF!</definedName>
    <definedName name="SANTA" localSheetId="5">[5]DAT2!#REF!</definedName>
    <definedName name="SANTA" localSheetId="6">[6]DAT2!#REF!</definedName>
    <definedName name="SANTA" localSheetId="7">[7]DAT2!#REF!</definedName>
    <definedName name="SANTA" localSheetId="8">[8]DAT2!#REF!</definedName>
    <definedName name="SANTA" localSheetId="9">[9]DAT2!#REF!</definedName>
    <definedName name="SANTA">[10]DAT2!#REF!</definedName>
    <definedName name="SANTABA" localSheetId="1">[1]DAT2!#REF!</definedName>
    <definedName name="SANTABA" localSheetId="2">[2]DAT2!#REF!</definedName>
    <definedName name="SANTABA" localSheetId="3">[3]DAT2!#REF!</definedName>
    <definedName name="SANTABA" localSheetId="4">[4]DAT2!#REF!</definedName>
    <definedName name="SANTABA" localSheetId="5">[5]DAT2!#REF!</definedName>
    <definedName name="SANTABA" localSheetId="6">[6]DAT2!#REF!</definedName>
    <definedName name="SANTABA" localSheetId="7">[7]DAT2!#REF!</definedName>
    <definedName name="SANTABA" localSheetId="8">[8]DAT2!#REF!</definedName>
    <definedName name="SANTABA" localSheetId="9">[9]DAT2!#REF!</definedName>
    <definedName name="SANTABA">[10]DAT2!#REF!</definedName>
    <definedName name="SANTACRU" localSheetId="1">[1]DAT2!#REF!</definedName>
    <definedName name="SANTACRU" localSheetId="2">[2]DAT2!#REF!</definedName>
    <definedName name="SANTACRU" localSheetId="3">[3]DAT2!#REF!</definedName>
    <definedName name="SANTACRU" localSheetId="4">[4]DAT2!#REF!</definedName>
    <definedName name="SANTACRU" localSheetId="5">[5]DAT2!#REF!</definedName>
    <definedName name="SANTACRU" localSheetId="6">[6]DAT2!#REF!</definedName>
    <definedName name="SANTACRU" localSheetId="7">[7]DAT2!#REF!</definedName>
    <definedName name="SANTACRU" localSheetId="8">[8]DAT2!#REF!</definedName>
    <definedName name="SANTACRU" localSheetId="9">[9]DAT2!#REF!</definedName>
    <definedName name="SANTACRU">[10]DAT2!#REF!</definedName>
    <definedName name="SANTODO" localSheetId="1">[1]DAT2!#REF!</definedName>
    <definedName name="SANTODO" localSheetId="2">[2]DAT2!#REF!</definedName>
    <definedName name="SANTODO" localSheetId="3">[3]DAT2!#REF!</definedName>
    <definedName name="SANTODO" localSheetId="4">[4]DAT2!#REF!</definedName>
    <definedName name="SANTODO" localSheetId="5">[5]DAT2!#REF!</definedName>
    <definedName name="SANTODO" localSheetId="6">[6]DAT2!#REF!</definedName>
    <definedName name="SANTODO" localSheetId="7">[7]DAT2!#REF!</definedName>
    <definedName name="SANTODO" localSheetId="8">[8]DAT2!#REF!</definedName>
    <definedName name="SANTODO" localSheetId="9">[9]DAT2!#REF!</definedName>
    <definedName name="SANTODO">[10]DAT2!#REF!</definedName>
    <definedName name="SAR" localSheetId="1">[1]DAT2!#REF!</definedName>
    <definedName name="SAR" localSheetId="2">[2]DAT2!#REF!</definedName>
    <definedName name="SAR" localSheetId="3">[3]DAT2!#REF!</definedName>
    <definedName name="SAR" localSheetId="4">[4]DAT2!#REF!</definedName>
    <definedName name="SAR" localSheetId="5">[5]DAT2!#REF!</definedName>
    <definedName name="SAR" localSheetId="6">[6]DAT2!#REF!</definedName>
    <definedName name="SAR" localSheetId="7">[7]DAT2!#REF!</definedName>
    <definedName name="SAR" localSheetId="8">[8]DAT2!#REF!</definedName>
    <definedName name="SAR" localSheetId="9">[9]DAT2!#REF!</definedName>
    <definedName name="SAR">[10]DAT2!#REF!</definedName>
    <definedName name="SARAP" localSheetId="1">[1]DAT2!#REF!</definedName>
    <definedName name="SARAP" localSheetId="2">[2]DAT2!#REF!</definedName>
    <definedName name="SARAP" localSheetId="3">[3]DAT2!#REF!</definedName>
    <definedName name="SARAP" localSheetId="4">[4]DAT2!#REF!</definedName>
    <definedName name="SARAP" localSheetId="5">[5]DAT2!#REF!</definedName>
    <definedName name="SARAP" localSheetId="6">[6]DAT2!#REF!</definedName>
    <definedName name="SARAP" localSheetId="7">[7]DAT2!#REF!</definedName>
    <definedName name="SARAP" localSheetId="8">[8]DAT2!#REF!</definedName>
    <definedName name="SARAP" localSheetId="9">[9]DAT2!#REF!</definedName>
    <definedName name="SARAP">[10]DAT2!#REF!</definedName>
    <definedName name="SIQUIRR" localSheetId="1">[1]DAT2!#REF!</definedName>
    <definedName name="SIQUIRR" localSheetId="2">[2]DAT2!#REF!</definedName>
    <definedName name="SIQUIRR" localSheetId="3">[3]DAT2!#REF!</definedName>
    <definedName name="SIQUIRR" localSheetId="4">[4]DAT2!#REF!</definedName>
    <definedName name="SIQUIRR" localSheetId="5">[5]DAT2!#REF!</definedName>
    <definedName name="SIQUIRR" localSheetId="6">[6]DAT2!#REF!</definedName>
    <definedName name="SIQUIRR" localSheetId="7">[7]DAT2!#REF!</definedName>
    <definedName name="SIQUIRR" localSheetId="8">[8]DAT2!#REF!</definedName>
    <definedName name="SIQUIRR" localSheetId="9">[9]DAT2!#REF!</definedName>
    <definedName name="SIQUIRR">[10]DAT2!#REF!</definedName>
    <definedName name="TALAMA" localSheetId="1">[1]DAT2!#REF!</definedName>
    <definedName name="TALAMA" localSheetId="2">[2]DAT2!#REF!</definedName>
    <definedName name="TALAMA" localSheetId="3">[3]DAT2!#REF!</definedName>
    <definedName name="TALAMA" localSheetId="4">[4]DAT2!#REF!</definedName>
    <definedName name="TALAMA" localSheetId="5">[5]DAT2!#REF!</definedName>
    <definedName name="TALAMA" localSheetId="6">[6]DAT2!#REF!</definedName>
    <definedName name="TALAMA" localSheetId="7">[7]DAT2!#REF!</definedName>
    <definedName name="TALAMA" localSheetId="8">[8]DAT2!#REF!</definedName>
    <definedName name="TALAMA" localSheetId="9">[9]DAT2!#REF!</definedName>
    <definedName name="TALAMA">[10]DAT2!#REF!</definedName>
    <definedName name="TARRAZ" localSheetId="1">[1]DAT2!#REF!</definedName>
    <definedName name="TARRAZ" localSheetId="2">[2]DAT2!#REF!</definedName>
    <definedName name="TARRAZ" localSheetId="3">[3]DAT2!#REF!</definedName>
    <definedName name="TARRAZ" localSheetId="4">[4]DAT2!#REF!</definedName>
    <definedName name="TARRAZ" localSheetId="5">[5]DAT2!#REF!</definedName>
    <definedName name="TARRAZ" localSheetId="6">[6]DAT2!#REF!</definedName>
    <definedName name="TARRAZ" localSheetId="7">[7]DAT2!#REF!</definedName>
    <definedName name="TARRAZ" localSheetId="8">[8]DAT2!#REF!</definedName>
    <definedName name="TARRAZ" localSheetId="9">[9]DAT2!#REF!</definedName>
    <definedName name="TARRAZ">[10]DAT2!#REF!</definedName>
    <definedName name="TIB" localSheetId="1">[1]DAT2!#REF!</definedName>
    <definedName name="TIB" localSheetId="2">[2]DAT2!#REF!</definedName>
    <definedName name="TIB" localSheetId="3">[3]DAT2!#REF!</definedName>
    <definedName name="TIB" localSheetId="4">[4]DAT2!#REF!</definedName>
    <definedName name="TIB" localSheetId="5">[5]DAT2!#REF!</definedName>
    <definedName name="TIB" localSheetId="6">[6]DAT2!#REF!</definedName>
    <definedName name="TIB" localSheetId="7">[7]DAT2!#REF!</definedName>
    <definedName name="TIB" localSheetId="8">[8]DAT2!#REF!</definedName>
    <definedName name="TIB" localSheetId="9">[9]DAT2!#REF!</definedName>
    <definedName name="TIB">[10]DAT2!#REF!</definedName>
    <definedName name="TILAR" localSheetId="1">[1]DAT2!#REF!</definedName>
    <definedName name="TILAR" localSheetId="2">[2]DAT2!#REF!</definedName>
    <definedName name="TILAR" localSheetId="3">[3]DAT2!#REF!</definedName>
    <definedName name="TILAR" localSheetId="4">[4]DAT2!#REF!</definedName>
    <definedName name="TILAR" localSheetId="5">[5]DAT2!#REF!</definedName>
    <definedName name="TILAR" localSheetId="6">[6]DAT2!#REF!</definedName>
    <definedName name="TILAR" localSheetId="7">[7]DAT2!#REF!</definedName>
    <definedName name="TILAR" localSheetId="8">[8]DAT2!#REF!</definedName>
    <definedName name="TILAR" localSheetId="9">[9]DAT2!#REF!</definedName>
    <definedName name="TILAR">[10]DAT2!#REF!</definedName>
    <definedName name="TURR" localSheetId="1">[1]DAT2!#REF!</definedName>
    <definedName name="TURR" localSheetId="2">[2]DAT2!#REF!</definedName>
    <definedName name="TURR" localSheetId="3">[3]DAT2!#REF!</definedName>
    <definedName name="TURR" localSheetId="4">[4]DAT2!#REF!</definedName>
    <definedName name="TURR" localSheetId="5">[5]DAT2!#REF!</definedName>
    <definedName name="TURR" localSheetId="6">[6]DAT2!#REF!</definedName>
    <definedName name="TURR" localSheetId="7">[7]DAT2!#REF!</definedName>
    <definedName name="TURR" localSheetId="8">[8]DAT2!#REF!</definedName>
    <definedName name="TURR" localSheetId="9">[9]DAT2!#REF!</definedName>
    <definedName name="TURR">[10]DAT2!#REF!</definedName>
    <definedName name="TURRI" localSheetId="1">[1]DAT2!#REF!</definedName>
    <definedName name="TURRI" localSheetId="2">[2]DAT2!#REF!</definedName>
    <definedName name="TURRI" localSheetId="3">[3]DAT2!#REF!</definedName>
    <definedName name="TURRI" localSheetId="4">[4]DAT2!#REF!</definedName>
    <definedName name="TURRI" localSheetId="5">[5]DAT2!#REF!</definedName>
    <definedName name="TURRI" localSheetId="6">[6]DAT2!#REF!</definedName>
    <definedName name="TURRI" localSheetId="7">[7]DAT2!#REF!</definedName>
    <definedName name="TURRI" localSheetId="8">[8]DAT2!#REF!</definedName>
    <definedName name="TURRI" localSheetId="9">[9]DAT2!#REF!</definedName>
    <definedName name="TURRI">[10]DAT2!#REF!</definedName>
    <definedName name="U">[10]!Tabla103[#All]</definedName>
    <definedName name="UPA" localSheetId="1">[1]DAT2!#REF!</definedName>
    <definedName name="UPA" localSheetId="2">[2]DAT2!#REF!</definedName>
    <definedName name="UPA" localSheetId="3">[3]DAT2!#REF!</definedName>
    <definedName name="UPA" localSheetId="4">[4]DAT2!#REF!</definedName>
    <definedName name="UPA" localSheetId="5">[5]DAT2!#REF!</definedName>
    <definedName name="UPA" localSheetId="6">[6]DAT2!#REF!</definedName>
    <definedName name="UPA" localSheetId="7">[7]DAT2!#REF!</definedName>
    <definedName name="UPA" localSheetId="8">[8]DAT2!#REF!</definedName>
    <definedName name="UPA" localSheetId="9">[9]DAT2!#REF!</definedName>
    <definedName name="UPA">[10]DAT2!#REF!</definedName>
    <definedName name="uu">[10]!Tabla103[#All]</definedName>
    <definedName name="uum">[10]!Tabla103[#All]</definedName>
    <definedName name="uuu">[10]!Tabla103[#All]</definedName>
    <definedName name="VASQUE" localSheetId="1">[1]DAT2!#REF!</definedName>
    <definedName name="VASQUE" localSheetId="2">[2]DAT2!#REF!</definedName>
    <definedName name="VASQUE" localSheetId="3">[3]DAT2!#REF!</definedName>
    <definedName name="VASQUE" localSheetId="4">[4]DAT2!#REF!</definedName>
    <definedName name="VASQUE" localSheetId="5">[5]DAT2!#REF!</definedName>
    <definedName name="VASQUE" localSheetId="6">[6]DAT2!#REF!</definedName>
    <definedName name="VASQUE" localSheetId="7">[7]DAT2!#REF!</definedName>
    <definedName name="VASQUE" localSheetId="8">[8]DAT2!#REF!</definedName>
    <definedName name="VASQUE" localSheetId="9">[9]DAT2!#REF!</definedName>
    <definedName name="VASQUE">[10]DAT2!#REF!</definedName>
    <definedName name="ZAR" localSheetId="1">[1]DAT2!#REF!</definedName>
    <definedName name="ZAR" localSheetId="2">[2]DAT2!#REF!</definedName>
    <definedName name="ZAR" localSheetId="3">[3]DAT2!#REF!</definedName>
    <definedName name="ZAR" localSheetId="4">[4]DAT2!#REF!</definedName>
    <definedName name="ZAR" localSheetId="5">[5]DAT2!#REF!</definedName>
    <definedName name="ZAR" localSheetId="6">[6]DAT2!#REF!</definedName>
    <definedName name="ZAR" localSheetId="7">[7]DAT2!#REF!</definedName>
    <definedName name="ZAR" localSheetId="8">[8]DAT2!#REF!</definedName>
    <definedName name="ZAR" localSheetId="9">[9]DAT2!#REF!</definedName>
    <definedName name="ZAR">[10]DAT2!#REF!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5" i="10" l="1"/>
  <c r="C10" i="11" s="1"/>
  <c r="D34" i="10"/>
  <c r="D33" i="10"/>
  <c r="D32" i="10"/>
  <c r="D31" i="10"/>
  <c r="D30" i="10"/>
  <c r="D29" i="10"/>
  <c r="D28" i="10"/>
  <c r="D27" i="10"/>
  <c r="D26" i="10"/>
  <c r="D25" i="10"/>
  <c r="D24" i="10"/>
  <c r="D23" i="10"/>
  <c r="D22" i="10"/>
  <c r="D21" i="10"/>
  <c r="D20" i="10"/>
  <c r="D19" i="10"/>
  <c r="D18" i="10"/>
  <c r="D17" i="10"/>
  <c r="D16" i="10"/>
  <c r="D15" i="10"/>
  <c r="D14" i="10"/>
  <c r="D13" i="10"/>
  <c r="D12" i="10"/>
  <c r="D11" i="10"/>
  <c r="D10" i="10"/>
  <c r="D9" i="10"/>
  <c r="D8" i="10"/>
  <c r="D7" i="10"/>
  <c r="D6" i="10"/>
  <c r="D5" i="10"/>
  <c r="D4" i="10"/>
  <c r="D3" i="10"/>
  <c r="C33" i="8"/>
  <c r="C9" i="11" s="1"/>
  <c r="D32" i="8"/>
  <c r="D31" i="8"/>
  <c r="D30" i="8"/>
  <c r="D29" i="8"/>
  <c r="D28" i="8"/>
  <c r="D27" i="8"/>
  <c r="D26" i="8"/>
  <c r="D25" i="8"/>
  <c r="D24" i="8"/>
  <c r="D23" i="8"/>
  <c r="D22" i="8"/>
  <c r="D21" i="8"/>
  <c r="D20" i="8"/>
  <c r="D19" i="8"/>
  <c r="D18" i="8"/>
  <c r="D17" i="8"/>
  <c r="D16" i="8"/>
  <c r="D15" i="8"/>
  <c r="D14" i="8"/>
  <c r="D13" i="8"/>
  <c r="D12" i="8"/>
  <c r="D11" i="8"/>
  <c r="D10" i="8"/>
  <c r="D9" i="8"/>
  <c r="D8" i="8"/>
  <c r="D7" i="8"/>
  <c r="D6" i="8"/>
  <c r="D5" i="8"/>
  <c r="D4" i="8"/>
  <c r="D3" i="8"/>
  <c r="C34" i="7"/>
  <c r="C8" i="11" s="1"/>
  <c r="D33" i="7"/>
  <c r="D32" i="7"/>
  <c r="D31" i="7"/>
  <c r="D30" i="7"/>
  <c r="D29" i="7"/>
  <c r="D28" i="7"/>
  <c r="D27" i="7"/>
  <c r="D26" i="7"/>
  <c r="D25" i="7"/>
  <c r="D24" i="7"/>
  <c r="D23" i="7"/>
  <c r="D22" i="7"/>
  <c r="D21" i="7"/>
  <c r="D20" i="7"/>
  <c r="D19" i="7"/>
  <c r="D18" i="7"/>
  <c r="D17" i="7"/>
  <c r="D16" i="7"/>
  <c r="D15" i="7"/>
  <c r="D14" i="7"/>
  <c r="D13" i="7"/>
  <c r="D12" i="7"/>
  <c r="D11" i="7"/>
  <c r="D10" i="7"/>
  <c r="D9" i="7"/>
  <c r="D8" i="7"/>
  <c r="D7" i="7"/>
  <c r="D6" i="7"/>
  <c r="D5" i="7"/>
  <c r="D4" i="7"/>
  <c r="D3" i="7"/>
  <c r="C36" i="6"/>
  <c r="C7" i="11" s="1"/>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D7" i="6"/>
  <c r="D6" i="6"/>
  <c r="D5" i="6"/>
  <c r="D4" i="6"/>
  <c r="D3" i="6"/>
  <c r="C36" i="5"/>
  <c r="C6" i="11" s="1"/>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3" i="5"/>
  <c r="C34" i="4"/>
  <c r="C5" i="11" s="1"/>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4" i="4"/>
  <c r="D3" i="4"/>
  <c r="C34" i="3"/>
  <c r="C4" i="11" s="1"/>
  <c r="D33" i="3"/>
  <c r="D32" i="3"/>
  <c r="D31" i="3"/>
  <c r="D30" i="3"/>
  <c r="D29" i="3"/>
  <c r="D28" i="3"/>
  <c r="D27" i="3"/>
  <c r="D26" i="3"/>
  <c r="D25" i="3"/>
  <c r="D24" i="3"/>
  <c r="D23" i="3"/>
  <c r="D22" i="3"/>
  <c r="D21" i="3"/>
  <c r="D20" i="3"/>
  <c r="D19" i="3"/>
  <c r="D18" i="3"/>
  <c r="D17" i="3"/>
  <c r="D16" i="3"/>
  <c r="D15" i="3"/>
  <c r="D14" i="3"/>
  <c r="D13" i="3"/>
  <c r="D12" i="3"/>
  <c r="D11" i="3"/>
  <c r="D10" i="3"/>
  <c r="D9" i="3"/>
  <c r="D8" i="3"/>
  <c r="D7" i="3"/>
  <c r="D6" i="3"/>
  <c r="D5" i="3"/>
  <c r="D4" i="3"/>
  <c r="D3" i="3"/>
  <c r="C36" i="2"/>
  <c r="C3" i="11" s="1"/>
  <c r="D35" i="2"/>
  <c r="D34" i="2"/>
  <c r="D33" i="2"/>
  <c r="D32" i="2"/>
  <c r="D31" i="2"/>
  <c r="D30" i="2"/>
  <c r="D29" i="2"/>
  <c r="D28" i="2"/>
  <c r="D27" i="2"/>
  <c r="D26" i="2"/>
  <c r="D25" i="2"/>
  <c r="D24" i="2"/>
  <c r="D23" i="2"/>
  <c r="D22" i="2"/>
  <c r="D21" i="2"/>
  <c r="D20" i="2"/>
  <c r="D19" i="2"/>
  <c r="D18" i="2"/>
  <c r="D17" i="2"/>
  <c r="D16" i="2"/>
  <c r="D15" i="2"/>
  <c r="D14" i="2"/>
  <c r="D13" i="2"/>
  <c r="D12" i="2"/>
  <c r="D11" i="2"/>
  <c r="D10" i="2"/>
  <c r="D9" i="2"/>
  <c r="D8" i="2"/>
  <c r="D7" i="2"/>
  <c r="D6" i="2"/>
  <c r="D5" i="2"/>
  <c r="D4" i="2"/>
  <c r="D3" i="2"/>
  <c r="C34" i="1"/>
  <c r="C2" i="11" s="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D35" i="10" l="1"/>
  <c r="D33" i="8"/>
  <c r="D34" i="7"/>
  <c r="D36" i="6"/>
  <c r="D36" i="5"/>
  <c r="D34" i="4"/>
  <c r="D34" i="3"/>
  <c r="D36" i="2"/>
  <c r="D34" i="1"/>
  <c r="D36" i="10" l="1"/>
  <c r="D10" i="11"/>
  <c r="E10" i="11" s="1"/>
  <c r="D34" i="8"/>
  <c r="D9" i="11"/>
  <c r="E9" i="11" s="1"/>
  <c r="D35" i="7"/>
  <c r="D8" i="11"/>
  <c r="E8" i="11" s="1"/>
  <c r="D37" i="6"/>
  <c r="D7" i="11"/>
  <c r="E7" i="11" s="1"/>
  <c r="D37" i="5"/>
  <c r="D6" i="11"/>
  <c r="E6" i="11" s="1"/>
  <c r="D35" i="4"/>
  <c r="D5" i="11"/>
  <c r="E5" i="11" s="1"/>
  <c r="D35" i="3"/>
  <c r="D4" i="11"/>
  <c r="E4" i="11" s="1"/>
  <c r="D37" i="2"/>
  <c r="D3" i="11"/>
  <c r="E3" i="11" s="1"/>
  <c r="D35" i="1"/>
  <c r="D2" i="11"/>
  <c r="E2" i="11" s="1"/>
  <c r="C11" i="11"/>
  <c r="D11" i="11" l="1"/>
  <c r="E11"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Manuel Alberto Cartin Sequeira</author>
  </authors>
  <commentList>
    <comment ref="F6" authorId="0" shapeId="0" xr:uid="{00000000-0006-0000-0200-000001000000}">
      <text>
        <r>
          <rPr>
            <b/>
            <sz val="9"/>
            <color indexed="81"/>
            <rFont val="Tahoma"/>
            <charset val="1"/>
          </rPr>
          <t>DID: Capacita 9 mas la meta es de 3</t>
        </r>
      </text>
    </comment>
  </commentList>
</comments>
</file>

<file path=xl/sharedStrings.xml><?xml version="1.0" encoding="utf-8"?>
<sst xmlns="http://schemas.openxmlformats.org/spreadsheetml/2006/main" count="503" uniqueCount="85">
  <si>
    <t>D49 HEREDIA</t>
  </si>
  <si>
    <t>PROGRAMA</t>
  </si>
  <si>
    <t>META</t>
  </si>
  <si>
    <t xml:space="preserve">AVANCE </t>
  </si>
  <si>
    <t>ENERO</t>
  </si>
  <si>
    <t>FEBRERO</t>
  </si>
  <si>
    <t>MARZO</t>
  </si>
  <si>
    <t>ABRIL</t>
  </si>
  <si>
    <t>MAYO</t>
  </si>
  <si>
    <t>JUNIO</t>
  </si>
  <si>
    <t>JULIO</t>
  </si>
  <si>
    <t>AGOSTO</t>
  </si>
  <si>
    <t>SEPTIEMBRE</t>
  </si>
  <si>
    <t>OCTUBRE</t>
  </si>
  <si>
    <t>NOVIEMBRE</t>
  </si>
  <si>
    <t>DICIEMBRE</t>
  </si>
  <si>
    <t>Porcentual</t>
  </si>
  <si>
    <t>Cuatro actividades de recuperación de espacios públicos, con las comunidades integradas al Programa de Seguridad Comunitaria, que se localicen, en los distritos que contemplan las área georreferenciadas del informe territorial de la Estrategia Sembremos Seguridad 2024, dos por año, una por semestre.</t>
  </si>
  <si>
    <t>PSCC</t>
  </si>
  <si>
    <t>Realizar 4 procesos formativos (Cursos de la oferta de los programas DARE - GREAT - MPAS) en Centros Educativos, 2 por año, dentro de los distritos que contemplan las áreas georreferenciadas del informe territorial de la Estrategia Sembremos Seguridad 2024. Un curso diferente por semestre, un nivel completo. En caso de no contar con instructor acreditado DARE, se puede cumplir la meta con las charlas de Habilidades para la vida DARE, con el aval del Coordinador Nacional.</t>
  </si>
  <si>
    <t>GREAT/MPAS/DARE</t>
  </si>
  <si>
    <t>Cubrir 4 procesos formativos en Centros Educativos (dos por año) ubicados dentro de los distritos que contemplan las áreas georreferenciadas del informe territorial de la Estrategia Sembremos Seguridad 2024, con los cursos del Programa DARE: , Curso primaria. Curso Secundaria; un nivel completo por centro educativo, por semestre. En caso de no contar con instructor acreditado, se puede cumplir la meta con las charlas de Habilidades para la vida DARE, con el aval del Coordinador Nacional.</t>
  </si>
  <si>
    <t>DARE</t>
  </si>
  <si>
    <t>D50 BARVA</t>
  </si>
  <si>
    <t>Cuatro comercios capacitados e integrados al Programa  de Seguridad Comercial que se localicen, en los distritos que contemplan las área georreferenciadas del informe territorial de la Estrategia Sembremos Seguridad 2024, dos por año, una por semestre.</t>
  </si>
  <si>
    <t>Cuatro estrategias de divulgación (Por medio de brochures, post o imágenes en redes sociales) diseñadas por la Estrategia de divulgación de la Dirección de Programas Policiales Preventivos, en el tema de "Prevención del Consumo de alcohol en vía pública" dirigidas a las comunidades integradas al Programa de Seguridad Comunitaria y a los comercios integrados al Programa de Seguridad Comercial que se localicen, en los distritos que contemplan las área georreferenciadas del informe territorial de la Estrategia Sembremos Seguridad 2024, dos por año.</t>
  </si>
  <si>
    <t>D51 SANTO DOMINGO</t>
  </si>
  <si>
    <t>D52 SANTA BARBARA</t>
  </si>
  <si>
    <t>D53 SAN RAFAEL</t>
  </si>
  <si>
    <t>D54 SAN ISIDRO</t>
  </si>
  <si>
    <t>D56 FLORES</t>
  </si>
  <si>
    <t>D57 SAN PABLO</t>
  </si>
  <si>
    <t>Dos estrategias de divulgación (Por medio de brochures, post o imágenes en redes sociales) en el tema del procedimiento para realizar una "Denuncia de ventas de drogas"  dirigidas a las comunidades integradas al Programa de Seguridad Comunitaria que se localicen, en los distritos que contemplan las área georreferenciadas del informe territorial de la Estrategia Sembremos Seguridad 2024, una por año.</t>
  </si>
  <si>
    <t>Delegación</t>
  </si>
  <si>
    <t>D49</t>
  </si>
  <si>
    <t>D50</t>
  </si>
  <si>
    <t>D51</t>
  </si>
  <si>
    <t>D52</t>
  </si>
  <si>
    <t>D53</t>
  </si>
  <si>
    <t>D54</t>
  </si>
  <si>
    <t>D55</t>
  </si>
  <si>
    <t>D56</t>
  </si>
  <si>
    <t>D57</t>
  </si>
  <si>
    <t>HEREDIA</t>
  </si>
  <si>
    <t>BARVA</t>
  </si>
  <si>
    <t>SANTO DOMINGO</t>
  </si>
  <si>
    <t>SANTA BÁRBARA</t>
  </si>
  <si>
    <t>SAN RAFAEL</t>
  </si>
  <si>
    <t>SAN ISIDRO</t>
  </si>
  <si>
    <t>BELÉN</t>
  </si>
  <si>
    <t>FLORES</t>
  </si>
  <si>
    <t>SAN PABLO</t>
  </si>
  <si>
    <t>AVANCE</t>
  </si>
  <si>
    <t>TOTALES</t>
  </si>
  <si>
    <t>D26 ALAJUELA SUR</t>
  </si>
  <si>
    <t>PLAN DE POLITICA LOCAL E IMPLEMENTACIÓN DE LA POLITICA LOCAL DE SEGURIDAD</t>
  </si>
  <si>
    <t>Conformación Comité</t>
  </si>
  <si>
    <t>Conformación de Comercio</t>
  </si>
  <si>
    <t>Reuniones-Jefaturas</t>
  </si>
  <si>
    <t>Campañas de divulgación</t>
  </si>
  <si>
    <t>Capacitaciones</t>
  </si>
  <si>
    <t>Charlas</t>
  </si>
  <si>
    <t>Talleres</t>
  </si>
  <si>
    <t>Sensibilización</t>
  </si>
  <si>
    <t>Actividades deportivas</t>
  </si>
  <si>
    <t>Cine en mi Barrio</t>
  </si>
  <si>
    <t>Cívico-policial</t>
  </si>
  <si>
    <t>Actividades culturales</t>
  </si>
  <si>
    <t>Ferias</t>
  </si>
  <si>
    <t>Stand informativo</t>
  </si>
  <si>
    <t>Visitas</t>
  </si>
  <si>
    <t>Recuperación del espacio público</t>
  </si>
  <si>
    <t>Convocatoria de Mesas Locales</t>
  </si>
  <si>
    <t>Exposición Informe Territorial ESS</t>
  </si>
  <si>
    <t>Primera Sesión de Trabajo</t>
  </si>
  <si>
    <t>Segunda Sesión - Conformación Secretaria Técnica</t>
  </si>
  <si>
    <t>Tercera Sesión</t>
  </si>
  <si>
    <t>Elaboracióin del Texto de la Política Local</t>
  </si>
  <si>
    <t>Revisión Técnica DPPP</t>
  </si>
  <si>
    <t>Revisión Area Legal Gobierno Local</t>
  </si>
  <si>
    <t>Incorporación de Observaciones</t>
  </si>
  <si>
    <t>Aval del Director Regional</t>
  </si>
  <si>
    <t>Presentación al Consejo Municipal</t>
  </si>
  <si>
    <t>Presentación ante la Comunidad por parte del Director Regional y Alcalde</t>
  </si>
  <si>
    <t>% AVANCE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</si>
</sst>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9"/>
      <color rgb="FF000000"/>
      <name val="Calibri"/>
      <family val="2"/>
    </font>
    <font>
      <b/>
      <sz val="9"/>
      <name val="Aptos Narrow"/>
      <family val="2"/>
      <scheme val="minor"/>
    </font>
    <font>
      <sz val="11"/>
      <color rgb="FFFFC000"/>
      <name val="Aptos Narrow"/>
      <family val="2"/>
      <scheme val="minor"/>
    </font>
    <font>
      <sz val="11"/>
      <name val="Aptos Narrow"/>
      <family val="2"/>
      <scheme val="minor"/>
    </font>
    <font>
      <b/>
      <sz val="11"/>
      <color rgb="FFFFC000"/>
      <name val="Aptos Narrow"/>
      <family val="2"/>
      <scheme val="minor"/>
    </font>
    <font>
      <sz val="8"/>
      <name val="Aptos Narrow"/>
      <family val="2"/>
      <scheme val="minor"/>
    </font>
    <font>
      <b/>
      <sz val="11"/>
      <name val="Aptos Narrow"/>
      <family val="2"/>
      <scheme val="minor"/>
    </font>
    <font>
      <sz val="10"/>
      <color rgb="FF000000"/>
      <name val="Times New Roman"/>
      <family val="1"/>
    </font>
    <font>
      <b/>
      <sz val="9"/>
      <name val="Arial"/>
      <family val="2"/>
    </font>
    <font>
      <b/>
      <sz val="9"/>
      <color indexed="81"/>
      <name val="Tahoma"/>
      <charset val="1"/>
    </font>
  </fonts>
  <fills count="17">
    <fill>
      <patternFill patternType="none"/>
    </fill>
    <fill>
      <patternFill patternType="gray125"/>
    </fill>
    <fill>
      <patternFill patternType="solid">
        <fgColor theme="3"/>
        <bgColor indexed="64"/>
      </patternFill>
    </fill>
    <fill>
      <patternFill patternType="solid">
        <fgColor rgb="FFDDEBF7"/>
        <bgColor indexed="64"/>
      </patternFill>
    </fill>
    <fill>
      <patternFill patternType="solid">
        <fgColor theme="4" tint="0.79998168889431442"/>
        <bgColor indexed="64"/>
      </patternFill>
    </fill>
    <fill>
      <patternFill patternType="solid">
        <fgColor rgb="FFE2EFDA"/>
        <bgColor indexed="64"/>
      </patternFill>
    </fill>
    <fill>
      <patternFill patternType="solid">
        <fgColor theme="9" tint="0.79998168889431442"/>
        <bgColor indexed="64"/>
      </patternFill>
    </fill>
    <fill>
      <patternFill patternType="solid">
        <fgColor rgb="FFFBE4D5"/>
        <bgColor indexed="64"/>
      </patternFill>
    </fill>
    <fill>
      <patternFill patternType="solid">
        <fgColor theme="5" tint="0.79998168889431442"/>
        <bgColor indexed="64"/>
      </patternFill>
    </fill>
    <fill>
      <patternFill patternType="solid">
        <fgColor theme="4" tint="0.79995117038483843"/>
        <bgColor indexed="64"/>
      </patternFill>
    </fill>
    <fill>
      <patternFill patternType="solid">
        <fgColor theme="9" tint="0.79995117038483843"/>
        <bgColor indexed="64"/>
      </patternFill>
    </fill>
    <fill>
      <patternFill patternType="solid">
        <fgColor theme="5" tint="0.79995117038483843"/>
        <bgColor indexed="64"/>
      </patternFill>
    </fill>
    <fill>
      <patternFill patternType="solid">
        <fgColor theme="1"/>
        <bgColor indexed="64"/>
      </patternFill>
    </fill>
    <fill>
      <patternFill patternType="solid">
        <fgColor rgb="FFFFC000"/>
        <bgColor indexed="64"/>
      </patternFill>
    </fill>
    <fill>
      <patternFill patternType="solid">
        <fgColor theme="3" tint="-0.249977111117893"/>
        <bgColor indexed="64"/>
      </patternFill>
    </fill>
    <fill>
      <patternFill patternType="solid">
        <fgColor theme="4" tint="-0.499984740745262"/>
        <bgColor indexed="64"/>
      </patternFill>
    </fill>
    <fill>
      <patternFill patternType="solid">
        <fgColor theme="0" tint="-0.14999847407452621"/>
        <bgColor indexed="64"/>
      </patternFill>
    </fill>
  </fills>
  <borders count="18">
    <border>
      <left/>
      <right/>
      <top/>
      <bottom/>
      <diagonal/>
    </border>
    <border>
      <left style="medium">
        <color theme="0"/>
      </left>
      <right/>
      <top style="medium">
        <color theme="0"/>
      </top>
      <bottom/>
      <diagonal/>
    </border>
    <border>
      <left style="medium">
        <color theme="0"/>
      </left>
      <right style="medium">
        <color theme="0"/>
      </right>
      <top style="medium">
        <color theme="0"/>
      </top>
      <bottom style="thin">
        <color theme="0"/>
      </bottom>
      <diagonal/>
    </border>
    <border>
      <left style="medium">
        <color theme="0"/>
      </left>
      <right style="medium">
        <color theme="0"/>
      </right>
      <top style="thin">
        <color theme="0"/>
      </top>
      <bottom style="medium">
        <color theme="0"/>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theme="0"/>
      </left>
      <right/>
      <top/>
      <bottom style="medium">
        <color indexed="64"/>
      </bottom>
      <diagonal/>
    </border>
    <border>
      <left style="medium">
        <color indexed="64"/>
      </left>
      <right/>
      <top style="thin">
        <color indexed="64"/>
      </top>
      <bottom/>
      <diagonal/>
    </border>
    <border>
      <left style="thin">
        <color theme="0"/>
      </left>
      <right style="medium">
        <color indexed="64"/>
      </right>
      <top style="thin">
        <color theme="0"/>
      </top>
      <bottom/>
      <diagonal/>
    </border>
    <border>
      <left style="medium">
        <color indexed="64"/>
      </left>
      <right/>
      <top/>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1" fillId="0" borderId="0"/>
  </cellStyleXfs>
  <cellXfs count="58">
    <xf numFmtId="0" fontId="0" fillId="0" borderId="0" xfId="0"/>
    <xf numFmtId="0" fontId="0" fillId="0" borderId="0" xfId="0" applyProtection="1">
      <protection locked="0"/>
    </xf>
    <xf numFmtId="0" fontId="1" fillId="2" borderId="3" xfId="0" applyFont="1" applyFill="1" applyBorder="1" applyAlignment="1">
      <alignment horizontal="center" vertical="center"/>
    </xf>
    <xf numFmtId="0" fontId="3" fillId="0" borderId="0" xfId="0" applyFont="1" applyProtection="1">
      <protection locked="0"/>
    </xf>
    <xf numFmtId="0" fontId="4" fillId="3" borderId="4" xfId="0" applyFont="1" applyFill="1" applyBorder="1" applyAlignment="1">
      <alignment horizontal="left" vertical="center" wrapText="1"/>
    </xf>
    <xf numFmtId="0" fontId="5" fillId="4" borderId="5" xfId="0" applyFont="1" applyFill="1" applyBorder="1" applyAlignment="1">
      <alignment horizontal="center" vertical="center" wrapText="1"/>
    </xf>
    <xf numFmtId="0" fontId="5" fillId="4" borderId="6" xfId="0" applyFont="1" applyFill="1" applyBorder="1" applyAlignment="1">
      <alignment horizontal="center" vertical="center" wrapText="1"/>
    </xf>
    <xf numFmtId="0" fontId="4" fillId="5" borderId="4" xfId="0" applyFont="1" applyFill="1" applyBorder="1" applyAlignment="1">
      <alignment horizontal="left" vertical="center" wrapText="1"/>
    </xf>
    <xf numFmtId="0" fontId="5" fillId="6" borderId="7" xfId="0" applyFont="1" applyFill="1" applyBorder="1" applyAlignment="1">
      <alignment horizontal="center" vertical="center" wrapText="1"/>
    </xf>
    <xf numFmtId="0" fontId="4" fillId="7" borderId="4" xfId="0" applyFont="1" applyFill="1" applyBorder="1" applyAlignment="1">
      <alignment horizontal="left" vertical="center" wrapText="1"/>
    </xf>
    <xf numFmtId="0" fontId="5" fillId="8" borderId="9" xfId="0" applyFont="1" applyFill="1" applyBorder="1" applyAlignment="1">
      <alignment horizontal="center" vertical="center" wrapText="1"/>
    </xf>
    <xf numFmtId="0" fontId="2" fillId="0" borderId="0" xfId="0" applyFont="1" applyProtection="1">
      <protection locked="0"/>
    </xf>
    <xf numFmtId="0" fontId="1" fillId="2" borderId="2" xfId="0" applyFont="1" applyFill="1" applyBorder="1" applyAlignment="1">
      <alignment horizontal="center"/>
    </xf>
    <xf numFmtId="0" fontId="5" fillId="4" borderId="9" xfId="0" applyFont="1" applyFill="1" applyBorder="1" applyAlignment="1">
      <alignment horizontal="left" vertical="center" wrapText="1"/>
    </xf>
    <xf numFmtId="0" fontId="5" fillId="6" borderId="9" xfId="0" applyFont="1" applyFill="1" applyBorder="1" applyAlignment="1">
      <alignment horizontal="left" vertical="center" wrapText="1"/>
    </xf>
    <xf numFmtId="0" fontId="4" fillId="7" borderId="9" xfId="0" applyFont="1" applyFill="1" applyBorder="1" applyAlignment="1">
      <alignment horizontal="left" vertical="center" wrapText="1"/>
    </xf>
    <xf numFmtId="0" fontId="5" fillId="9" borderId="9" xfId="0" applyFont="1" applyFill="1" applyBorder="1" applyAlignment="1">
      <alignment horizontal="left" vertical="center" wrapText="1"/>
    </xf>
    <xf numFmtId="0" fontId="5" fillId="10" borderId="9" xfId="0" applyFont="1" applyFill="1" applyBorder="1" applyAlignment="1">
      <alignment horizontal="left" vertical="center" wrapText="1"/>
    </xf>
    <xf numFmtId="0" fontId="4" fillId="3" borderId="9" xfId="0" applyFont="1" applyFill="1" applyBorder="1" applyAlignment="1">
      <alignment horizontal="left" vertical="center" wrapText="1"/>
    </xf>
    <xf numFmtId="0" fontId="4" fillId="5" borderId="9" xfId="0" applyFont="1" applyFill="1" applyBorder="1" applyAlignment="1">
      <alignment horizontal="left" vertical="center" wrapText="1"/>
    </xf>
    <xf numFmtId="0" fontId="8" fillId="2" borderId="10" xfId="0" applyFont="1" applyFill="1" applyBorder="1"/>
    <xf numFmtId="0" fontId="6" fillId="12" borderId="0" xfId="0" applyFont="1" applyFill="1" applyAlignment="1">
      <alignment horizontal="center"/>
    </xf>
    <xf numFmtId="0" fontId="0" fillId="0" borderId="9" xfId="0" applyBorder="1" applyAlignment="1">
      <alignment horizontal="center"/>
    </xf>
    <xf numFmtId="1" fontId="0" fillId="0" borderId="9" xfId="0" applyNumberFormat="1" applyBorder="1" applyAlignment="1">
      <alignment horizontal="center"/>
    </xf>
    <xf numFmtId="0" fontId="10" fillId="0" borderId="9" xfId="0" applyFont="1" applyFill="1" applyBorder="1" applyAlignment="1">
      <alignment horizontal="center"/>
    </xf>
    <xf numFmtId="0" fontId="7" fillId="0" borderId="9" xfId="0" applyFont="1" applyFill="1" applyBorder="1"/>
    <xf numFmtId="0" fontId="2" fillId="13" borderId="0" xfId="0" applyFont="1" applyFill="1" applyAlignment="1">
      <alignment horizontal="center"/>
    </xf>
    <xf numFmtId="0" fontId="1" fillId="2" borderId="0" xfId="0" applyFont="1" applyFill="1" applyAlignment="1">
      <alignment horizontal="center"/>
    </xf>
    <xf numFmtId="1" fontId="5" fillId="0" borderId="6" xfId="0" applyNumberFormat="1" applyFont="1" applyBorder="1" applyAlignment="1">
      <alignment horizontal="center" vertical="center" wrapText="1"/>
    </xf>
    <xf numFmtId="0" fontId="0" fillId="0" borderId="9" xfId="0" applyBorder="1" applyAlignment="1">
      <alignment horizontal="center"/>
    </xf>
    <xf numFmtId="0" fontId="3" fillId="14" borderId="0" xfId="0" applyFont="1" applyFill="1" applyProtection="1">
      <protection locked="0"/>
    </xf>
    <xf numFmtId="0" fontId="5" fillId="4" borderId="9" xfId="0" applyFont="1" applyFill="1" applyBorder="1" applyAlignment="1">
      <alignment horizontal="center" vertical="center" textRotation="90" wrapText="1"/>
    </xf>
    <xf numFmtId="0" fontId="2" fillId="0" borderId="9" xfId="0" applyFont="1" applyBorder="1" applyAlignment="1" applyProtection="1">
      <alignment horizontal="center" vertical="center"/>
      <protection locked="0"/>
    </xf>
    <xf numFmtId="0" fontId="5" fillId="6" borderId="9" xfId="0" applyFont="1" applyFill="1" applyBorder="1" applyAlignment="1">
      <alignment horizontal="center" vertical="center" textRotation="90" wrapText="1"/>
    </xf>
    <xf numFmtId="0" fontId="5" fillId="6" borderId="8" xfId="0" applyFont="1" applyFill="1" applyBorder="1" applyAlignment="1">
      <alignment horizontal="center" vertical="center" wrapText="1"/>
    </xf>
    <xf numFmtId="0" fontId="5" fillId="8" borderId="8" xfId="0" applyFont="1" applyFill="1" applyBorder="1" applyAlignment="1">
      <alignment horizontal="center" vertical="center" wrapText="1"/>
    </xf>
    <xf numFmtId="0" fontId="5" fillId="8" borderId="9" xfId="0" applyFont="1" applyFill="1" applyBorder="1" applyAlignment="1">
      <alignment horizontal="center" vertical="center" textRotation="90" wrapText="1"/>
    </xf>
    <xf numFmtId="0" fontId="5" fillId="4" borderId="8" xfId="0" applyFont="1" applyFill="1" applyBorder="1" applyAlignment="1">
      <alignment horizontal="center" vertical="center" wrapText="1"/>
    </xf>
    <xf numFmtId="0" fontId="1" fillId="15" borderId="13" xfId="0" applyFont="1" applyFill="1" applyBorder="1" applyAlignment="1">
      <alignment horizontal="left" vertical="center" wrapText="1"/>
    </xf>
    <xf numFmtId="0" fontId="0" fillId="0" borderId="9" xfId="0" applyBorder="1" applyProtection="1">
      <protection locked="0"/>
    </xf>
    <xf numFmtId="0" fontId="12" fillId="16" borderId="15" xfId="0" applyFont="1" applyFill="1" applyBorder="1" applyAlignment="1">
      <alignment horizontal="left" vertical="center" wrapText="1"/>
    </xf>
    <xf numFmtId="0" fontId="12" fillId="16" borderId="17" xfId="0" applyFont="1" applyFill="1" applyBorder="1" applyAlignment="1">
      <alignment horizontal="left" vertical="center" wrapText="1"/>
    </xf>
    <xf numFmtId="0" fontId="2" fillId="0" borderId="9" xfId="0" applyFont="1" applyBorder="1" applyAlignment="1" applyProtection="1">
      <alignment horizontal="center"/>
      <protection locked="0"/>
    </xf>
    <xf numFmtId="1" fontId="2" fillId="0" borderId="9" xfId="0" applyNumberFormat="1" applyFont="1" applyBorder="1" applyAlignment="1" applyProtection="1">
      <alignment horizontal="center" vertical="center"/>
      <protection locked="0"/>
    </xf>
    <xf numFmtId="10" fontId="1" fillId="15" borderId="0" xfId="0" applyNumberFormat="1" applyFont="1" applyFill="1" applyAlignment="1" applyProtection="1">
      <alignment horizontal="center"/>
      <protection locked="0"/>
    </xf>
    <xf numFmtId="0" fontId="5" fillId="4" borderId="5" xfId="0" applyFont="1" applyFill="1" applyBorder="1" applyAlignment="1">
      <alignment horizontal="center" vertical="center" textRotation="90" wrapText="1"/>
    </xf>
    <xf numFmtId="0" fontId="5" fillId="6" borderId="7" xfId="0" applyFont="1" applyFill="1" applyBorder="1" applyAlignment="1">
      <alignment horizontal="center" vertical="center" textRotation="90" wrapText="1"/>
    </xf>
    <xf numFmtId="0" fontId="5" fillId="9" borderId="9" xfId="0" applyFont="1" applyFill="1" applyBorder="1" applyAlignment="1">
      <alignment horizontal="center" vertical="center" textRotation="90" wrapText="1"/>
    </xf>
    <xf numFmtId="0" fontId="5" fillId="10" borderId="9" xfId="0" applyFont="1" applyFill="1" applyBorder="1" applyAlignment="1">
      <alignment horizontal="center" vertical="center" textRotation="90" wrapText="1"/>
    </xf>
    <xf numFmtId="0" fontId="5" fillId="11" borderId="9" xfId="0" applyFont="1" applyFill="1" applyBorder="1" applyAlignment="1">
      <alignment horizontal="center" vertical="center" textRotation="90" wrapText="1"/>
    </xf>
    <xf numFmtId="10" fontId="0" fillId="0" borderId="9" xfId="0" applyNumberFormat="1" applyBorder="1" applyAlignment="1">
      <alignment horizontal="center" vertical="center"/>
    </xf>
    <xf numFmtId="10" fontId="0" fillId="0" borderId="9" xfId="0" applyNumberFormat="1" applyBorder="1" applyAlignment="1">
      <alignment horizontal="center"/>
    </xf>
    <xf numFmtId="0" fontId="1" fillId="2" borderId="1" xfId="0" applyFont="1" applyFill="1" applyBorder="1" applyAlignment="1">
      <alignment horizontal="center" vertical="center" textRotation="90"/>
    </xf>
    <xf numFmtId="0" fontId="1" fillId="2" borderId="11" xfId="0" applyFont="1" applyFill="1" applyBorder="1" applyAlignment="1">
      <alignment horizontal="center" vertical="center" textRotation="90"/>
    </xf>
    <xf numFmtId="0" fontId="5" fillId="4" borderId="12" xfId="0" applyFont="1" applyFill="1" applyBorder="1" applyAlignment="1">
      <alignment horizontal="center" vertical="center" textRotation="90" wrapText="1"/>
    </xf>
    <xf numFmtId="0" fontId="5" fillId="4" borderId="14" xfId="0" applyFont="1" applyFill="1" applyBorder="1" applyAlignment="1">
      <alignment horizontal="center" vertical="center" textRotation="90" wrapText="1"/>
    </xf>
    <xf numFmtId="0" fontId="5" fillId="4" borderId="16" xfId="0" applyFont="1" applyFill="1" applyBorder="1" applyAlignment="1">
      <alignment horizontal="center" vertical="center" textRotation="90" wrapText="1"/>
    </xf>
    <xf numFmtId="0" fontId="6" fillId="12" borderId="9" xfId="0" applyFont="1" applyFill="1" applyBorder="1" applyAlignment="1">
      <alignment horizontal="center"/>
    </xf>
  </cellXfs>
  <cellStyles count="2">
    <cellStyle name="Normal" xfId="0" builtinId="0"/>
    <cellStyle name="Normal 2" xfId="1" xr:uid="{00000000-0005-0000-0000-000001000000}"/>
  </cellStyles>
  <dxfs count="29">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externalLink" Target="externalLinks/externalLink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4/PUMI%20D50%20junio.xlsx?9ED82D67" TargetMode="External"/><Relationship Id="rId1" Type="http://schemas.openxmlformats.org/officeDocument/2006/relationships/externalLinkPath" Target="file:///\\9ED82D67\PUMI%20D50%20junio.xlsx"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4/PUMI%20D51%20junio.xlsx?9ED82D67" TargetMode="External"/><Relationship Id="rId1" Type="http://schemas.openxmlformats.org/officeDocument/2006/relationships/externalLinkPath" Target="file:///\\9ED82D67\PUMI%20D51%20junio.xlsx" TargetMode="External"/></Relationships>
</file>

<file path=xl/externalLinks/_rels/externalLink3.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4/PUMI%20D52%20junio%201%5e.xlsx?9ED82D67" TargetMode="External"/><Relationship Id="rId1" Type="http://schemas.openxmlformats.org/officeDocument/2006/relationships/externalLinkPath" Target="file:///\\9ED82D67\PUMI%20D52%20junio%201%5e.xlsx"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4/JUNIO%20D53%20San%20RafaelPUMI%20(1).xlsx?9ED82D67" TargetMode="External"/><Relationship Id="rId1" Type="http://schemas.openxmlformats.org/officeDocument/2006/relationships/externalLinkPath" Target="file:///\\9ED82D67\JUNIO%20D53%20San%20RafaelPUMI%20(1).xlsx"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4/PUMI%20D54%20junio.xlsx?9ED82D67" TargetMode="External"/><Relationship Id="rId1" Type="http://schemas.openxmlformats.org/officeDocument/2006/relationships/externalLinkPath" Target="file:///\\9ED82D67\PUMI%20D54%20junio.xlsx" TargetMode="External"/></Relationships>
</file>

<file path=xl/externalLinks/_rels/externalLink6.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4/PUMI%20junio%20D55%20(1).xlsx?9ED82D67" TargetMode="External"/><Relationship Id="rId1" Type="http://schemas.openxmlformats.org/officeDocument/2006/relationships/externalLinkPath" Target="file:///\\9ED82D67\PUMI%20junio%20D55%20(1).xlsx" TargetMode="External"/></Relationships>
</file>

<file path=xl/externalLinks/_rels/externalLink7.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4/PUMI%20D56%20junio.xlsx?9ED82D67" TargetMode="External"/><Relationship Id="rId1" Type="http://schemas.openxmlformats.org/officeDocument/2006/relationships/externalLinkPath" Target="file:///\\9ED82D67\PUMI%20D56%20junio.xlsx" TargetMode="External"/></Relationships>
</file>

<file path=xl/externalLinks/_rels/externalLink8.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4/PUMI%20D57%20junio.xlsx?9ED82D67" TargetMode="External"/><Relationship Id="rId1" Type="http://schemas.openxmlformats.org/officeDocument/2006/relationships/externalLinkPath" Target="file:///\\9ED82D67\PUMI%20D57%20junio.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d.docs.live.net/3ad020c316d05c7c/Escritorio/Avance%20Planificaci&#243;n%20Diferenciada%20Nacional%202025/Actividad%204%20Planificaci&#243;n%20Diferenciada/16.%20PUMI%202025/II%20TRIMESTRE/JUNIO/DR1%20CENTRAL/D1%20Carmen%20PUMI%202025%20Junio.xlsx" TargetMode="External"/></Relationships>
</file>

<file path=xl/externalLinks/_rels/externalLink10.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4/PUMI%20D49%20Junio.xlsx?9ED82D67" TargetMode="External"/><Relationship Id="rId1" Type="http://schemas.openxmlformats.org/officeDocument/2006/relationships/externalLinkPath" Target="file:///\\9ED82D67\PUMI%20D49%20Juni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50 BARVA PSCC "/>
      <sheetName val="D50 BARVA VIF"/>
      <sheetName val="D50 BARVA DARE"/>
      <sheetName val="D50 BARVA GREAT"/>
      <sheetName val="D50 BARVA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51 STO DOMINGO PSCC "/>
      <sheetName val="D51 STO DOMINGO VIF"/>
      <sheetName val="D51 STO DOMINGO DARE"/>
      <sheetName val="D51 STO DOMINGO GREAT"/>
      <sheetName val="D51 STO DOMINGO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52 STA BARBARA PSCC "/>
      <sheetName val="D52 STA BARBARA VIF"/>
      <sheetName val="D52 STA BARBARA DARE"/>
      <sheetName val="D52 STA BARBARA GREAT"/>
      <sheetName val="D52 STA BARBARA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53 SAN RAFAEL PSCC "/>
      <sheetName val="D53 SAN RAFAEL VIF"/>
      <sheetName val="D53 SAN RAFAEL DARE"/>
      <sheetName val="D53 SAN RAFAEL GREAT"/>
      <sheetName val="D53 SAN RAFAEL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54 SAN ISIDRO PSCC "/>
      <sheetName val="D54 SAN ISIDRO VIF"/>
      <sheetName val="D54 SAN ISIDRO DARE"/>
      <sheetName val="D54 SAN ISIDRO GREAT"/>
      <sheetName val="D54 SAN ISIDRO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55 BELEN PSCC "/>
      <sheetName val="D55 BELEN VIF"/>
      <sheetName val="D55 BELEN DARE"/>
      <sheetName val="D55 BELEN GREAT"/>
      <sheetName val="D55 BELEN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56 FLORES PSCC "/>
      <sheetName val="D56 FLORES VIF"/>
      <sheetName val="D56 FLORES DARE"/>
      <sheetName val="D56 FLORES GREAT"/>
      <sheetName val="D56 FLORES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57 SAN PABLO PSCC "/>
      <sheetName val="D-57 SAN PABLO VIF"/>
      <sheetName val="D-57 SAN PABLO DARE"/>
      <sheetName val="D-57 SAN PABLO GREAT"/>
      <sheetName val="D-57 SAN PABLO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01 Carmen PSCC "/>
      <sheetName val="D01 VIF"/>
      <sheetName val="D01 Carmen DARE"/>
      <sheetName val="D01 Carmen GREAT"/>
      <sheetName val="D01 Carmen MPAS"/>
      <sheetName val="Totales PDIF"/>
      <sheetName val="Totales Política Pública"/>
      <sheetName val="DAT1"/>
      <sheetName val="DAT2"/>
      <sheetName val="D1 Carmen PUMI 2025 Junio"/>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49 HEREDIA PSCC "/>
      <sheetName val="D49 HEREDIA VIF"/>
      <sheetName val="D49 HEREDIA DARE"/>
      <sheetName val="D49 HEREDIA GREAT"/>
      <sheetName val="D49 HEREDIA MPAS"/>
      <sheetName val="Totales PDIF"/>
      <sheetName val="Totales Política Pública"/>
      <sheetName val="DAT1"/>
      <sheetName val="DAT2"/>
      <sheetName val="PUMI D49 Junio"/>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35"/>
  <sheetViews>
    <sheetView tabSelected="1" zoomScale="80" zoomScaleNormal="80" workbookViewId="0">
      <selection activeCell="M6" sqref="M6:M8"/>
    </sheetView>
  </sheetViews>
  <sheetFormatPr baseColWidth="10" defaultColWidth="11.42578125" defaultRowHeight="15" x14ac:dyDescent="0.25"/>
  <cols>
    <col min="1" max="1" width="6.5703125" style="1" customWidth="1"/>
    <col min="2" max="2" width="89.42578125" style="1" customWidth="1"/>
    <col min="3" max="3" width="11.42578125" style="1"/>
    <col min="4" max="4" width="22.42578125" style="1" customWidth="1"/>
    <col min="5" max="9" width="17.28515625" style="1" customWidth="1"/>
    <col min="10" max="16384" width="11.42578125" style="1"/>
  </cols>
  <sheetData>
    <row r="1" spans="1:16" ht="61.5" customHeight="1" x14ac:dyDescent="0.25">
      <c r="A1" s="52" t="s">
        <v>1</v>
      </c>
      <c r="B1" s="27" t="s">
        <v>0</v>
      </c>
      <c r="C1" s="12" t="s">
        <v>2</v>
      </c>
      <c r="D1" s="12" t="s">
        <v>3</v>
      </c>
      <c r="E1" s="12" t="s">
        <v>4</v>
      </c>
      <c r="F1" s="12" t="s">
        <v>5</v>
      </c>
      <c r="G1" s="12" t="s">
        <v>6</v>
      </c>
      <c r="H1" s="12" t="s">
        <v>7</v>
      </c>
      <c r="I1" s="12" t="s">
        <v>8</v>
      </c>
      <c r="J1" s="12" t="s">
        <v>9</v>
      </c>
      <c r="K1" s="12" t="s">
        <v>10</v>
      </c>
      <c r="L1" s="12" t="s">
        <v>11</v>
      </c>
      <c r="M1" s="12" t="s">
        <v>12</v>
      </c>
      <c r="N1" s="12" t="s">
        <v>13</v>
      </c>
      <c r="O1" s="12" t="s">
        <v>14</v>
      </c>
      <c r="P1" s="12" t="s">
        <v>15</v>
      </c>
    </row>
    <row r="2" spans="1:16" s="3" customFormat="1" ht="15.75" thickBot="1" x14ac:dyDescent="0.3">
      <c r="A2" s="53"/>
      <c r="B2" s="27"/>
      <c r="C2" s="2">
        <v>2026</v>
      </c>
      <c r="D2" s="2" t="s">
        <v>16</v>
      </c>
      <c r="E2" s="30"/>
      <c r="F2" s="30"/>
      <c r="G2" s="30"/>
      <c r="H2" s="30"/>
      <c r="I2" s="30"/>
      <c r="J2" s="30"/>
      <c r="K2" s="30"/>
      <c r="L2" s="30"/>
      <c r="M2" s="30"/>
      <c r="N2" s="30"/>
      <c r="O2" s="30"/>
      <c r="P2" s="30"/>
    </row>
    <row r="3" spans="1:16" ht="81" customHeight="1" thickBot="1" x14ac:dyDescent="0.3">
      <c r="A3" s="45" t="s">
        <v>18</v>
      </c>
      <c r="B3" s="4" t="s">
        <v>17</v>
      </c>
      <c r="C3" s="6">
        <v>2</v>
      </c>
      <c r="D3" s="28">
        <f t="shared" ref="D3:D5" si="0">SUM(E3:P3)</f>
        <v>1</v>
      </c>
      <c r="E3" s="32"/>
      <c r="F3" s="32"/>
      <c r="G3" s="32">
        <v>1</v>
      </c>
      <c r="H3" s="32"/>
      <c r="I3" s="32"/>
      <c r="J3" s="32"/>
      <c r="K3" s="32"/>
      <c r="L3" s="32"/>
      <c r="M3" s="32"/>
      <c r="N3" s="32"/>
      <c r="O3" s="32"/>
      <c r="P3" s="32"/>
    </row>
    <row r="4" spans="1:16" ht="81" customHeight="1" thickBot="1" x14ac:dyDescent="0.3">
      <c r="A4" s="46" t="s">
        <v>20</v>
      </c>
      <c r="B4" s="7" t="s">
        <v>19</v>
      </c>
      <c r="C4" s="34">
        <v>2</v>
      </c>
      <c r="D4" s="28">
        <f t="shared" si="0"/>
        <v>1</v>
      </c>
      <c r="E4" s="32">
        <v>0</v>
      </c>
      <c r="F4" s="32">
        <v>0</v>
      </c>
      <c r="G4" s="32">
        <v>0</v>
      </c>
      <c r="H4" s="32">
        <v>0</v>
      </c>
      <c r="I4" s="32">
        <v>1</v>
      </c>
      <c r="J4" s="32"/>
      <c r="K4" s="32"/>
      <c r="L4" s="32"/>
      <c r="M4" s="32"/>
      <c r="N4" s="32"/>
      <c r="O4" s="32"/>
      <c r="P4" s="32"/>
    </row>
    <row r="5" spans="1:16" ht="81" customHeight="1" thickBot="1" x14ac:dyDescent="0.3">
      <c r="A5" s="36" t="s">
        <v>22</v>
      </c>
      <c r="B5" s="9" t="s">
        <v>21</v>
      </c>
      <c r="C5" s="35">
        <v>2</v>
      </c>
      <c r="D5" s="28">
        <f t="shared" si="0"/>
        <v>0</v>
      </c>
      <c r="E5" s="32">
        <v>0</v>
      </c>
      <c r="F5" s="32">
        <v>0</v>
      </c>
      <c r="G5" s="32">
        <v>0</v>
      </c>
      <c r="H5" s="32">
        <v>0</v>
      </c>
      <c r="I5" s="32"/>
      <c r="J5" s="32"/>
      <c r="K5" s="32"/>
      <c r="L5" s="32"/>
      <c r="M5" s="32"/>
      <c r="N5" s="32"/>
      <c r="O5" s="32"/>
      <c r="P5" s="32"/>
    </row>
    <row r="6" spans="1:16" ht="28.5" customHeight="1" x14ac:dyDescent="0.25">
      <c r="A6" s="54" t="s">
        <v>55</v>
      </c>
      <c r="B6" s="38" t="s">
        <v>56</v>
      </c>
      <c r="C6" s="37">
        <v>3</v>
      </c>
      <c r="D6" s="28">
        <f t="shared" ref="D6:D33" si="1">SUM(E6:O6)</f>
        <v>2</v>
      </c>
      <c r="E6" s="32"/>
      <c r="F6" s="32"/>
      <c r="G6" s="32"/>
      <c r="H6" s="32">
        <v>1</v>
      </c>
      <c r="I6" s="32">
        <v>1</v>
      </c>
      <c r="J6" s="32"/>
      <c r="K6" s="32"/>
      <c r="L6" s="32"/>
      <c r="M6" s="32"/>
      <c r="N6" s="32"/>
      <c r="O6" s="32"/>
      <c r="P6" s="39"/>
    </row>
    <row r="7" spans="1:16" ht="28.5" customHeight="1" x14ac:dyDescent="0.25">
      <c r="A7" s="55"/>
      <c r="B7" s="38" t="s">
        <v>57</v>
      </c>
      <c r="C7" s="37">
        <v>3</v>
      </c>
      <c r="D7" s="28">
        <f t="shared" si="1"/>
        <v>0</v>
      </c>
      <c r="E7" s="32"/>
      <c r="F7" s="32"/>
      <c r="G7" s="32"/>
      <c r="H7" s="32"/>
      <c r="I7" s="32"/>
      <c r="J7" s="32"/>
      <c r="K7" s="32"/>
      <c r="L7" s="32"/>
      <c r="M7" s="32"/>
      <c r="N7" s="32"/>
      <c r="O7" s="32"/>
      <c r="P7" s="39"/>
    </row>
    <row r="8" spans="1:16" ht="28.5" customHeight="1" x14ac:dyDescent="0.25">
      <c r="A8" s="55"/>
      <c r="B8" s="38" t="s">
        <v>58</v>
      </c>
      <c r="C8" s="37">
        <v>152</v>
      </c>
      <c r="D8" s="28">
        <f t="shared" si="1"/>
        <v>70</v>
      </c>
      <c r="E8" s="32">
        <v>18</v>
      </c>
      <c r="F8" s="32">
        <v>19</v>
      </c>
      <c r="G8" s="32">
        <v>1</v>
      </c>
      <c r="H8" s="32">
        <v>16</v>
      </c>
      <c r="I8" s="32">
        <v>16</v>
      </c>
      <c r="J8" s="32"/>
      <c r="K8" s="32"/>
      <c r="L8" s="32"/>
      <c r="M8" s="32"/>
      <c r="N8" s="32"/>
      <c r="O8" s="32"/>
      <c r="P8" s="39"/>
    </row>
    <row r="9" spans="1:16" ht="28.5" customHeight="1" x14ac:dyDescent="0.25">
      <c r="A9" s="55"/>
      <c r="B9" s="38" t="s">
        <v>59</v>
      </c>
      <c r="C9" s="37">
        <v>69</v>
      </c>
      <c r="D9" s="28">
        <f t="shared" si="1"/>
        <v>27</v>
      </c>
      <c r="E9" s="32"/>
      <c r="F9" s="32"/>
      <c r="G9" s="32">
        <v>24</v>
      </c>
      <c r="H9" s="32">
        <v>2</v>
      </c>
      <c r="I9" s="32">
        <v>1</v>
      </c>
      <c r="J9" s="32"/>
      <c r="K9" s="32"/>
      <c r="L9" s="32"/>
      <c r="M9" s="32"/>
      <c r="N9" s="32"/>
      <c r="O9" s="32"/>
      <c r="P9" s="39"/>
    </row>
    <row r="10" spans="1:16" ht="28.5" customHeight="1" x14ac:dyDescent="0.25">
      <c r="A10" s="55"/>
      <c r="B10" s="38" t="s">
        <v>60</v>
      </c>
      <c r="C10" s="37">
        <v>0</v>
      </c>
      <c r="D10" s="28">
        <f t="shared" si="1"/>
        <v>0</v>
      </c>
      <c r="E10" s="32"/>
      <c r="F10" s="32"/>
      <c r="G10" s="32"/>
      <c r="H10" s="32"/>
      <c r="I10" s="32"/>
      <c r="J10" s="32"/>
      <c r="K10" s="32"/>
      <c r="L10" s="32"/>
      <c r="M10" s="32"/>
      <c r="N10" s="32"/>
      <c r="O10" s="32"/>
      <c r="P10" s="39"/>
    </row>
    <row r="11" spans="1:16" ht="28.5" customHeight="1" x14ac:dyDescent="0.25">
      <c r="A11" s="55"/>
      <c r="B11" s="38" t="s">
        <v>61</v>
      </c>
      <c r="C11" s="37">
        <v>21</v>
      </c>
      <c r="D11" s="28">
        <f t="shared" si="1"/>
        <v>1</v>
      </c>
      <c r="E11" s="32">
        <v>1</v>
      </c>
      <c r="F11" s="32"/>
      <c r="G11" s="32"/>
      <c r="H11" s="32"/>
      <c r="I11" s="32"/>
      <c r="J11" s="32"/>
      <c r="K11" s="32"/>
      <c r="L11" s="32"/>
      <c r="M11" s="32"/>
      <c r="N11" s="32"/>
      <c r="O11" s="32"/>
      <c r="P11" s="39"/>
    </row>
    <row r="12" spans="1:16" ht="28.5" customHeight="1" x14ac:dyDescent="0.25">
      <c r="A12" s="55"/>
      <c r="B12" s="38" t="s">
        <v>62</v>
      </c>
      <c r="C12" s="37">
        <v>1</v>
      </c>
      <c r="D12" s="28">
        <f t="shared" si="1"/>
        <v>0</v>
      </c>
      <c r="E12" s="32"/>
      <c r="F12" s="32"/>
      <c r="G12" s="32"/>
      <c r="H12" s="32"/>
      <c r="I12" s="32"/>
      <c r="J12" s="32"/>
      <c r="K12" s="32"/>
      <c r="L12" s="32"/>
      <c r="M12" s="32"/>
      <c r="N12" s="32"/>
      <c r="O12" s="32"/>
      <c r="P12" s="39"/>
    </row>
    <row r="13" spans="1:16" ht="28.5" customHeight="1" x14ac:dyDescent="0.25">
      <c r="A13" s="55"/>
      <c r="B13" s="38" t="s">
        <v>63</v>
      </c>
      <c r="C13" s="37">
        <v>0</v>
      </c>
      <c r="D13" s="28">
        <f t="shared" si="1"/>
        <v>0</v>
      </c>
      <c r="E13" s="32"/>
      <c r="F13" s="32"/>
      <c r="G13" s="32"/>
      <c r="H13" s="32"/>
      <c r="I13" s="32"/>
      <c r="J13" s="32"/>
      <c r="K13" s="32"/>
      <c r="L13" s="32"/>
      <c r="M13" s="32"/>
      <c r="N13" s="32"/>
      <c r="O13" s="32"/>
      <c r="P13" s="39"/>
    </row>
    <row r="14" spans="1:16" ht="28.5" customHeight="1" x14ac:dyDescent="0.25">
      <c r="A14" s="55"/>
      <c r="B14" s="38" t="s">
        <v>64</v>
      </c>
      <c r="C14" s="37">
        <v>2</v>
      </c>
      <c r="D14" s="28">
        <f t="shared" si="1"/>
        <v>2</v>
      </c>
      <c r="E14" s="32"/>
      <c r="F14" s="32">
        <v>1</v>
      </c>
      <c r="G14" s="32"/>
      <c r="H14" s="32"/>
      <c r="I14" s="32">
        <v>1</v>
      </c>
      <c r="J14" s="32"/>
      <c r="K14" s="32"/>
      <c r="L14" s="32"/>
      <c r="M14" s="32"/>
      <c r="N14" s="32"/>
      <c r="O14" s="32"/>
      <c r="P14" s="39"/>
    </row>
    <row r="15" spans="1:16" ht="28.5" customHeight="1" x14ac:dyDescent="0.25">
      <c r="A15" s="55"/>
      <c r="B15" s="38" t="s">
        <v>65</v>
      </c>
      <c r="C15" s="37">
        <v>2</v>
      </c>
      <c r="D15" s="28">
        <f t="shared" si="1"/>
        <v>0</v>
      </c>
      <c r="E15" s="32"/>
      <c r="F15" s="32"/>
      <c r="G15" s="32"/>
      <c r="H15" s="32"/>
      <c r="I15" s="32"/>
      <c r="J15" s="32"/>
      <c r="K15" s="32"/>
      <c r="L15" s="32"/>
      <c r="M15" s="32"/>
      <c r="N15" s="32"/>
      <c r="O15" s="32"/>
      <c r="P15" s="39"/>
    </row>
    <row r="16" spans="1:16" ht="28.5" customHeight="1" x14ac:dyDescent="0.25">
      <c r="A16" s="55"/>
      <c r="B16" s="38" t="s">
        <v>66</v>
      </c>
      <c r="C16" s="37">
        <v>0</v>
      </c>
      <c r="D16" s="28">
        <f t="shared" si="1"/>
        <v>0</v>
      </c>
      <c r="E16" s="32"/>
      <c r="F16" s="32"/>
      <c r="G16" s="32"/>
      <c r="H16" s="32"/>
      <c r="I16" s="32"/>
      <c r="J16" s="32"/>
      <c r="K16" s="32"/>
      <c r="L16" s="32"/>
      <c r="M16" s="32"/>
      <c r="N16" s="32"/>
      <c r="O16" s="32"/>
      <c r="P16" s="39"/>
    </row>
    <row r="17" spans="1:16" ht="28.5" customHeight="1" x14ac:dyDescent="0.25">
      <c r="A17" s="55"/>
      <c r="B17" s="38" t="s">
        <v>67</v>
      </c>
      <c r="C17" s="37">
        <v>0</v>
      </c>
      <c r="D17" s="28">
        <f t="shared" si="1"/>
        <v>0</v>
      </c>
      <c r="E17" s="32"/>
      <c r="F17" s="32"/>
      <c r="G17" s="32"/>
      <c r="H17" s="32"/>
      <c r="I17" s="32"/>
      <c r="J17" s="32"/>
      <c r="K17" s="32"/>
      <c r="L17" s="32"/>
      <c r="M17" s="32"/>
      <c r="N17" s="32"/>
      <c r="O17" s="32"/>
      <c r="P17" s="39"/>
    </row>
    <row r="18" spans="1:16" ht="28.5" customHeight="1" x14ac:dyDescent="0.25">
      <c r="A18" s="55"/>
      <c r="B18" s="38" t="s">
        <v>68</v>
      </c>
      <c r="C18" s="37">
        <v>0</v>
      </c>
      <c r="D18" s="28">
        <f t="shared" si="1"/>
        <v>0</v>
      </c>
      <c r="E18" s="32"/>
      <c r="F18" s="32"/>
      <c r="G18" s="32"/>
      <c r="H18" s="32"/>
      <c r="I18" s="32"/>
      <c r="J18" s="32"/>
      <c r="K18" s="32"/>
      <c r="L18" s="32"/>
      <c r="M18" s="32"/>
      <c r="N18" s="32"/>
      <c r="O18" s="32"/>
      <c r="P18" s="39"/>
    </row>
    <row r="19" spans="1:16" ht="28.5" customHeight="1" x14ac:dyDescent="0.25">
      <c r="A19" s="55"/>
      <c r="B19" s="38" t="s">
        <v>69</v>
      </c>
      <c r="C19" s="37">
        <v>44</v>
      </c>
      <c r="D19" s="28">
        <f t="shared" si="1"/>
        <v>39</v>
      </c>
      <c r="E19" s="32"/>
      <c r="F19" s="32">
        <v>12</v>
      </c>
      <c r="G19" s="32"/>
      <c r="H19" s="32">
        <v>1</v>
      </c>
      <c r="I19" s="32">
        <v>26</v>
      </c>
      <c r="J19" s="32"/>
      <c r="K19" s="32"/>
      <c r="L19" s="32"/>
      <c r="M19" s="32"/>
      <c r="N19" s="32"/>
      <c r="O19" s="32"/>
      <c r="P19" s="39"/>
    </row>
    <row r="20" spans="1:16" ht="28.5" customHeight="1" x14ac:dyDescent="0.25">
      <c r="A20" s="55"/>
      <c r="B20" s="38" t="s">
        <v>70</v>
      </c>
      <c r="C20" s="37">
        <v>187</v>
      </c>
      <c r="D20" s="28">
        <f t="shared" si="1"/>
        <v>48</v>
      </c>
      <c r="E20" s="32"/>
      <c r="F20" s="32"/>
      <c r="G20" s="32">
        <v>44</v>
      </c>
      <c r="H20" s="32"/>
      <c r="I20" s="32"/>
      <c r="J20" s="32">
        <v>4</v>
      </c>
      <c r="K20" s="32"/>
      <c r="L20" s="32"/>
      <c r="M20" s="32"/>
      <c r="N20" s="32"/>
      <c r="O20" s="32"/>
      <c r="P20" s="39"/>
    </row>
    <row r="21" spans="1:16" ht="28.5" customHeight="1" x14ac:dyDescent="0.25">
      <c r="A21" s="55"/>
      <c r="B21" s="38" t="s">
        <v>71</v>
      </c>
      <c r="C21" s="37">
        <v>2</v>
      </c>
      <c r="D21" s="28">
        <f t="shared" si="1"/>
        <v>0</v>
      </c>
      <c r="E21" s="32"/>
      <c r="F21" s="32"/>
      <c r="G21" s="32"/>
      <c r="H21" s="32"/>
      <c r="I21" s="32"/>
      <c r="J21" s="32"/>
      <c r="K21" s="32"/>
      <c r="L21" s="32"/>
      <c r="M21" s="32"/>
      <c r="N21" s="32"/>
      <c r="O21" s="32"/>
      <c r="P21" s="39"/>
    </row>
    <row r="22" spans="1:16" ht="24" customHeight="1" x14ac:dyDescent="0.25">
      <c r="A22" s="55"/>
      <c r="B22" s="40" t="s">
        <v>72</v>
      </c>
      <c r="C22" s="37">
        <v>4</v>
      </c>
      <c r="D22" s="28">
        <f t="shared" si="1"/>
        <v>4</v>
      </c>
      <c r="E22" s="32"/>
      <c r="F22" s="32"/>
      <c r="G22" s="32">
        <v>4</v>
      </c>
      <c r="H22" s="32"/>
      <c r="I22" s="32"/>
      <c r="J22" s="32"/>
      <c r="K22" s="32"/>
      <c r="L22" s="32"/>
      <c r="M22" s="32"/>
      <c r="N22" s="32"/>
      <c r="O22" s="32"/>
      <c r="P22" s="39"/>
    </row>
    <row r="23" spans="1:16" ht="24" customHeight="1" x14ac:dyDescent="0.25">
      <c r="A23" s="55"/>
      <c r="B23" s="40" t="s">
        <v>73</v>
      </c>
      <c r="C23" s="37">
        <v>4</v>
      </c>
      <c r="D23" s="28">
        <f t="shared" si="1"/>
        <v>4</v>
      </c>
      <c r="E23" s="32"/>
      <c r="F23" s="32"/>
      <c r="G23" s="32">
        <v>4</v>
      </c>
      <c r="H23" s="32"/>
      <c r="I23" s="32"/>
      <c r="J23" s="32"/>
      <c r="K23" s="32"/>
      <c r="L23" s="32"/>
      <c r="M23" s="32"/>
      <c r="N23" s="32"/>
      <c r="O23" s="32"/>
      <c r="P23" s="39"/>
    </row>
    <row r="24" spans="1:16" ht="24" customHeight="1" x14ac:dyDescent="0.25">
      <c r="A24" s="55"/>
      <c r="B24" s="40" t="s">
        <v>74</v>
      </c>
      <c r="C24" s="37">
        <v>4</v>
      </c>
      <c r="D24" s="28">
        <f t="shared" si="1"/>
        <v>4</v>
      </c>
      <c r="E24" s="32"/>
      <c r="F24" s="32"/>
      <c r="G24" s="32"/>
      <c r="H24" s="32">
        <v>1</v>
      </c>
      <c r="I24" s="32">
        <v>3</v>
      </c>
      <c r="J24" s="32"/>
      <c r="K24" s="32"/>
      <c r="L24" s="32"/>
      <c r="M24" s="32"/>
      <c r="N24" s="32"/>
      <c r="O24" s="32"/>
      <c r="P24" s="39"/>
    </row>
    <row r="25" spans="1:16" ht="24" customHeight="1" x14ac:dyDescent="0.25">
      <c r="A25" s="55"/>
      <c r="B25" s="40" t="s">
        <v>75</v>
      </c>
      <c r="C25" s="37">
        <v>4</v>
      </c>
      <c r="D25" s="28">
        <f t="shared" si="1"/>
        <v>0</v>
      </c>
      <c r="E25" s="32"/>
      <c r="F25" s="32"/>
      <c r="G25" s="32"/>
      <c r="H25" s="32"/>
      <c r="I25" s="32"/>
      <c r="J25" s="32"/>
      <c r="K25" s="32"/>
      <c r="L25" s="32"/>
      <c r="M25" s="32"/>
      <c r="N25" s="32"/>
      <c r="O25" s="32"/>
      <c r="P25" s="39"/>
    </row>
    <row r="26" spans="1:16" ht="24" customHeight="1" x14ac:dyDescent="0.25">
      <c r="A26" s="55"/>
      <c r="B26" s="40" t="s">
        <v>76</v>
      </c>
      <c r="C26" s="37">
        <v>4</v>
      </c>
      <c r="D26" s="28">
        <f t="shared" si="1"/>
        <v>0</v>
      </c>
      <c r="E26" s="32"/>
      <c r="F26" s="32"/>
      <c r="G26" s="32"/>
      <c r="H26" s="32"/>
      <c r="I26" s="32"/>
      <c r="J26" s="32"/>
      <c r="K26" s="32"/>
      <c r="L26" s="32"/>
      <c r="M26" s="32"/>
      <c r="N26" s="32"/>
      <c r="O26" s="32"/>
      <c r="P26" s="39"/>
    </row>
    <row r="27" spans="1:16" ht="24" customHeight="1" x14ac:dyDescent="0.25">
      <c r="A27" s="55"/>
      <c r="B27" s="40" t="s">
        <v>77</v>
      </c>
      <c r="C27" s="37">
        <v>1</v>
      </c>
      <c r="D27" s="28">
        <f t="shared" si="1"/>
        <v>0</v>
      </c>
      <c r="E27" s="32"/>
      <c r="F27" s="32"/>
      <c r="G27" s="32"/>
      <c r="H27" s="32"/>
      <c r="I27" s="32"/>
      <c r="J27" s="32"/>
      <c r="K27" s="32"/>
      <c r="L27" s="32"/>
      <c r="M27" s="32"/>
      <c r="N27" s="32"/>
      <c r="O27" s="32"/>
      <c r="P27" s="39"/>
    </row>
    <row r="28" spans="1:16" ht="24" customHeight="1" x14ac:dyDescent="0.25">
      <c r="A28" s="55"/>
      <c r="B28" s="40" t="s">
        <v>78</v>
      </c>
      <c r="C28" s="37">
        <v>1</v>
      </c>
      <c r="D28" s="28">
        <f t="shared" si="1"/>
        <v>0</v>
      </c>
      <c r="E28" s="32"/>
      <c r="F28" s="32"/>
      <c r="G28" s="32"/>
      <c r="H28" s="32"/>
      <c r="I28" s="32"/>
      <c r="J28" s="32"/>
      <c r="K28" s="32"/>
      <c r="L28" s="32"/>
      <c r="M28" s="32"/>
      <c r="N28" s="32"/>
      <c r="O28" s="32"/>
      <c r="P28" s="39"/>
    </row>
    <row r="29" spans="1:16" ht="24" customHeight="1" x14ac:dyDescent="0.25">
      <c r="A29" s="55"/>
      <c r="B29" s="40" t="s">
        <v>79</v>
      </c>
      <c r="C29" s="37">
        <v>1</v>
      </c>
      <c r="D29" s="28">
        <f t="shared" si="1"/>
        <v>0</v>
      </c>
      <c r="E29" s="32"/>
      <c r="F29" s="32"/>
      <c r="G29" s="32"/>
      <c r="H29" s="32"/>
      <c r="I29" s="32"/>
      <c r="J29" s="32"/>
      <c r="K29" s="32"/>
      <c r="L29" s="32"/>
      <c r="M29" s="32"/>
      <c r="N29" s="32"/>
      <c r="O29" s="32"/>
      <c r="P29" s="39"/>
    </row>
    <row r="30" spans="1:16" ht="24" customHeight="1" x14ac:dyDescent="0.25">
      <c r="A30" s="55"/>
      <c r="B30" s="40" t="s">
        <v>80</v>
      </c>
      <c r="C30" s="37">
        <v>1</v>
      </c>
      <c r="D30" s="28">
        <f t="shared" si="1"/>
        <v>0</v>
      </c>
      <c r="E30" s="32"/>
      <c r="F30" s="32"/>
      <c r="G30" s="32"/>
      <c r="H30" s="32"/>
      <c r="I30" s="32"/>
      <c r="J30" s="32"/>
      <c r="K30" s="32"/>
      <c r="L30" s="32"/>
      <c r="M30" s="32"/>
      <c r="N30" s="32"/>
      <c r="O30" s="32"/>
      <c r="P30" s="39"/>
    </row>
    <row r="31" spans="1:16" ht="24" customHeight="1" x14ac:dyDescent="0.25">
      <c r="A31" s="55"/>
      <c r="B31" s="40" t="s">
        <v>81</v>
      </c>
      <c r="C31" s="37">
        <v>1</v>
      </c>
      <c r="D31" s="28">
        <f t="shared" si="1"/>
        <v>0</v>
      </c>
      <c r="E31" s="32"/>
      <c r="F31" s="32"/>
      <c r="G31" s="32"/>
      <c r="H31" s="32"/>
      <c r="I31" s="32"/>
      <c r="J31" s="32"/>
      <c r="K31" s="32"/>
      <c r="L31" s="32"/>
      <c r="M31" s="32"/>
      <c r="N31" s="32"/>
      <c r="O31" s="32"/>
      <c r="P31" s="39"/>
    </row>
    <row r="32" spans="1:16" ht="24" customHeight="1" x14ac:dyDescent="0.25">
      <c r="A32" s="55"/>
      <c r="B32" s="40" t="s">
        <v>82</v>
      </c>
      <c r="C32" s="37">
        <v>1</v>
      </c>
      <c r="D32" s="28">
        <f t="shared" si="1"/>
        <v>0</v>
      </c>
      <c r="E32" s="32"/>
      <c r="F32" s="32"/>
      <c r="G32" s="32"/>
      <c r="H32" s="32"/>
      <c r="I32" s="32"/>
      <c r="J32" s="32"/>
      <c r="K32" s="32"/>
      <c r="L32" s="32"/>
      <c r="M32" s="32"/>
      <c r="N32" s="32"/>
      <c r="O32" s="32"/>
      <c r="P32" s="39"/>
    </row>
    <row r="33" spans="1:16" ht="24" customHeight="1" thickBot="1" x14ac:dyDescent="0.3">
      <c r="A33" s="56"/>
      <c r="B33" s="41" t="s">
        <v>83</v>
      </c>
      <c r="C33" s="37">
        <v>1</v>
      </c>
      <c r="D33" s="28">
        <f t="shared" si="1"/>
        <v>0</v>
      </c>
      <c r="E33" s="32"/>
      <c r="F33" s="32"/>
      <c r="G33" s="32"/>
      <c r="H33" s="32"/>
      <c r="I33" s="32"/>
      <c r="J33" s="32"/>
      <c r="K33" s="32"/>
      <c r="L33" s="32"/>
      <c r="M33" s="32"/>
      <c r="N33" s="32"/>
      <c r="O33" s="32"/>
      <c r="P33" s="39"/>
    </row>
    <row r="34" spans="1:16" x14ac:dyDescent="0.25">
      <c r="C34" s="42">
        <f>SUM(C3:C33)</f>
        <v>519</v>
      </c>
      <c r="D34" s="43">
        <f>SUM(D3:D33)</f>
        <v>203</v>
      </c>
    </row>
    <row r="35" spans="1:16" x14ac:dyDescent="0.25">
      <c r="C35" s="11"/>
      <c r="D35" s="44">
        <f>D34/C34</f>
        <v>0.39113680154142583</v>
      </c>
    </row>
  </sheetData>
  <sheetProtection algorithmName="SHA-512" hashValue="MW4MzO7hzrgwpaOLB9H2hwl0WuCF4Oh2m+YpM64SXwaY8lUe6Uj3nVTPqUjejR1AYOHqjCeLAQA0sJc/sIhEGQ==" saltValue="5DHFJ8OwdIk2KIjQARwBfw==" spinCount="100000" sheet="1" objects="1" scenarios="1" autoFilter="0"/>
  <mergeCells count="2">
    <mergeCell ref="A1:A2"/>
    <mergeCell ref="A6:A33"/>
  </mergeCells>
  <conditionalFormatting sqref="C3:D3 D4:D5">
    <cfRule type="dataBar" priority="43">
      <dataBar>
        <cfvo type="min"/>
        <cfvo type="max"/>
        <color rgb="FF008AEF"/>
      </dataBar>
      <extLst>
        <ext xmlns:x14="http://schemas.microsoft.com/office/spreadsheetml/2009/9/main" uri="{B025F937-C7B1-47D3-B67F-A62EFF666E3E}">
          <x14:id>{DF1FBC25-30A0-465E-BB51-21D62C29120F}</x14:id>
        </ext>
      </extLst>
    </cfRule>
  </conditionalFormatting>
  <conditionalFormatting sqref="C4:D4">
    <cfRule type="dataBar" priority="4">
      <dataBar>
        <cfvo type="min"/>
        <cfvo type="max"/>
        <color rgb="FF008AEF"/>
      </dataBar>
      <extLst>
        <ext xmlns:x14="http://schemas.microsoft.com/office/spreadsheetml/2009/9/main" uri="{B025F937-C7B1-47D3-B67F-A62EFF666E3E}">
          <x14:id>{21DE2C1F-8929-40D7-B462-04127BE7BD22}</x14:id>
        </ext>
      </extLst>
    </cfRule>
  </conditionalFormatting>
  <conditionalFormatting sqref="C5:D5">
    <cfRule type="dataBar" priority="5">
      <dataBar>
        <cfvo type="min"/>
        <cfvo type="max"/>
        <color rgb="FF008AEF"/>
      </dataBar>
      <extLst>
        <ext xmlns:x14="http://schemas.microsoft.com/office/spreadsheetml/2009/9/main" uri="{B025F937-C7B1-47D3-B67F-A62EFF666E3E}">
          <x14:id>{2B3404A8-38CF-4D16-9352-E7069EAF5B70}</x14:id>
        </ext>
      </extLst>
    </cfRule>
  </conditionalFormatting>
  <conditionalFormatting sqref="C6:D6">
    <cfRule type="dataBar" priority="12">
      <dataBar>
        <cfvo type="min"/>
        <cfvo type="max"/>
        <color rgb="FF008AEF"/>
      </dataBar>
      <extLst>
        <ext xmlns:x14="http://schemas.microsoft.com/office/spreadsheetml/2009/9/main" uri="{B025F937-C7B1-47D3-B67F-A62EFF666E3E}">
          <x14:id>{0CE091EC-3F89-471A-8C9E-C2DC279F37EC}</x14:id>
        </ext>
      </extLst>
    </cfRule>
  </conditionalFormatting>
  <conditionalFormatting sqref="C7:D7">
    <cfRule type="dataBar" priority="39">
      <dataBar>
        <cfvo type="min"/>
        <cfvo type="max"/>
        <color rgb="FF008AEF"/>
      </dataBar>
      <extLst>
        <ext xmlns:x14="http://schemas.microsoft.com/office/spreadsheetml/2009/9/main" uri="{B025F937-C7B1-47D3-B67F-A62EFF666E3E}">
          <x14:id>{73EC0AAC-8195-4B59-B6B4-8EF24221F9FE}</x14:id>
        </ext>
      </extLst>
    </cfRule>
  </conditionalFormatting>
  <conditionalFormatting sqref="C8:D8">
    <cfRule type="dataBar" priority="38">
      <dataBar>
        <cfvo type="min"/>
        <cfvo type="max"/>
        <color rgb="FF008AEF"/>
      </dataBar>
      <extLst>
        <ext xmlns:x14="http://schemas.microsoft.com/office/spreadsheetml/2009/9/main" uri="{B025F937-C7B1-47D3-B67F-A62EFF666E3E}">
          <x14:id>{02C876B2-C4A1-4D23-A661-1F8D425D2A3F}</x14:id>
        </ext>
      </extLst>
    </cfRule>
  </conditionalFormatting>
  <conditionalFormatting sqref="C9:D9">
    <cfRule type="dataBar" priority="37">
      <dataBar>
        <cfvo type="min"/>
        <cfvo type="max"/>
        <color rgb="FF008AEF"/>
      </dataBar>
      <extLst>
        <ext xmlns:x14="http://schemas.microsoft.com/office/spreadsheetml/2009/9/main" uri="{B025F937-C7B1-47D3-B67F-A62EFF666E3E}">
          <x14:id>{0D05A87D-971C-4EC1-B17E-FAA1BCFCF05D}</x14:id>
        </ext>
      </extLst>
    </cfRule>
  </conditionalFormatting>
  <conditionalFormatting sqref="C10:D10">
    <cfRule type="dataBar" priority="36">
      <dataBar>
        <cfvo type="min"/>
        <cfvo type="max"/>
        <color rgb="FF008AEF"/>
      </dataBar>
      <extLst>
        <ext xmlns:x14="http://schemas.microsoft.com/office/spreadsheetml/2009/9/main" uri="{B025F937-C7B1-47D3-B67F-A62EFF666E3E}">
          <x14:id>{B4D88EEB-A2F6-4C94-B2D0-94F970F548E4}</x14:id>
        </ext>
      </extLst>
    </cfRule>
  </conditionalFormatting>
  <conditionalFormatting sqref="C11:D11">
    <cfRule type="dataBar" priority="35">
      <dataBar>
        <cfvo type="min"/>
        <cfvo type="max"/>
        <color rgb="FF008AEF"/>
      </dataBar>
      <extLst>
        <ext xmlns:x14="http://schemas.microsoft.com/office/spreadsheetml/2009/9/main" uri="{B025F937-C7B1-47D3-B67F-A62EFF666E3E}">
          <x14:id>{28812C75-6A94-4A28-9559-01ACEFAF2D01}</x14:id>
        </ext>
      </extLst>
    </cfRule>
  </conditionalFormatting>
  <conditionalFormatting sqref="C12:D12">
    <cfRule type="dataBar" priority="34">
      <dataBar>
        <cfvo type="min"/>
        <cfvo type="max"/>
        <color rgb="FF008AEF"/>
      </dataBar>
      <extLst>
        <ext xmlns:x14="http://schemas.microsoft.com/office/spreadsheetml/2009/9/main" uri="{B025F937-C7B1-47D3-B67F-A62EFF666E3E}">
          <x14:id>{57832F1D-79F5-4976-A0DB-195A6A11085E}</x14:id>
        </ext>
      </extLst>
    </cfRule>
  </conditionalFormatting>
  <conditionalFormatting sqref="C13:D13">
    <cfRule type="dataBar" priority="33">
      <dataBar>
        <cfvo type="min"/>
        <cfvo type="max"/>
        <color rgb="FF008AEF"/>
      </dataBar>
      <extLst>
        <ext xmlns:x14="http://schemas.microsoft.com/office/spreadsheetml/2009/9/main" uri="{B025F937-C7B1-47D3-B67F-A62EFF666E3E}">
          <x14:id>{1C08C39C-3938-4C79-BB44-8D9FFEED49A2}</x14:id>
        </ext>
      </extLst>
    </cfRule>
  </conditionalFormatting>
  <conditionalFormatting sqref="C14:D14">
    <cfRule type="dataBar" priority="32">
      <dataBar>
        <cfvo type="min"/>
        <cfvo type="max"/>
        <color rgb="FF008AEF"/>
      </dataBar>
      <extLst>
        <ext xmlns:x14="http://schemas.microsoft.com/office/spreadsheetml/2009/9/main" uri="{B025F937-C7B1-47D3-B67F-A62EFF666E3E}">
          <x14:id>{4F255C06-BD6E-4602-BCF2-CAEC70C2F821}</x14:id>
        </ext>
      </extLst>
    </cfRule>
  </conditionalFormatting>
  <conditionalFormatting sqref="C15:D15">
    <cfRule type="dataBar" priority="31">
      <dataBar>
        <cfvo type="min"/>
        <cfvo type="max"/>
        <color rgb="FF008AEF"/>
      </dataBar>
      <extLst>
        <ext xmlns:x14="http://schemas.microsoft.com/office/spreadsheetml/2009/9/main" uri="{B025F937-C7B1-47D3-B67F-A62EFF666E3E}">
          <x14:id>{53052A5C-2875-40A0-812C-15EDBD102B7F}</x14:id>
        </ext>
      </extLst>
    </cfRule>
  </conditionalFormatting>
  <conditionalFormatting sqref="C16:D16">
    <cfRule type="dataBar" priority="30">
      <dataBar>
        <cfvo type="min"/>
        <cfvo type="max"/>
        <color rgb="FF008AEF"/>
      </dataBar>
      <extLst>
        <ext xmlns:x14="http://schemas.microsoft.com/office/spreadsheetml/2009/9/main" uri="{B025F937-C7B1-47D3-B67F-A62EFF666E3E}">
          <x14:id>{ADAF786D-1AA4-46A6-B5D1-8B46A21FF8F7}</x14:id>
        </ext>
      </extLst>
    </cfRule>
  </conditionalFormatting>
  <conditionalFormatting sqref="C17:D17">
    <cfRule type="dataBar" priority="29">
      <dataBar>
        <cfvo type="min"/>
        <cfvo type="max"/>
        <color rgb="FF008AEF"/>
      </dataBar>
      <extLst>
        <ext xmlns:x14="http://schemas.microsoft.com/office/spreadsheetml/2009/9/main" uri="{B025F937-C7B1-47D3-B67F-A62EFF666E3E}">
          <x14:id>{790B1C87-F949-44C2-A87C-F0D20B9C036E}</x14:id>
        </ext>
      </extLst>
    </cfRule>
  </conditionalFormatting>
  <conditionalFormatting sqref="C18:D18">
    <cfRule type="dataBar" priority="28">
      <dataBar>
        <cfvo type="min"/>
        <cfvo type="max"/>
        <color rgb="FF008AEF"/>
      </dataBar>
      <extLst>
        <ext xmlns:x14="http://schemas.microsoft.com/office/spreadsheetml/2009/9/main" uri="{B025F937-C7B1-47D3-B67F-A62EFF666E3E}">
          <x14:id>{FC4441F2-E5BA-47FC-9169-92A79FEC9F64}</x14:id>
        </ext>
      </extLst>
    </cfRule>
  </conditionalFormatting>
  <conditionalFormatting sqref="C19:D19">
    <cfRule type="dataBar" priority="27">
      <dataBar>
        <cfvo type="min"/>
        <cfvo type="max"/>
        <color rgb="FF008AEF"/>
      </dataBar>
      <extLst>
        <ext xmlns:x14="http://schemas.microsoft.com/office/spreadsheetml/2009/9/main" uri="{B025F937-C7B1-47D3-B67F-A62EFF666E3E}">
          <x14:id>{B949C2A5-8130-41FC-9975-8764649C5BBA}</x14:id>
        </ext>
      </extLst>
    </cfRule>
  </conditionalFormatting>
  <conditionalFormatting sqref="C20:D20">
    <cfRule type="dataBar" priority="26">
      <dataBar>
        <cfvo type="min"/>
        <cfvo type="max"/>
        <color rgb="FF008AEF"/>
      </dataBar>
      <extLst>
        <ext xmlns:x14="http://schemas.microsoft.com/office/spreadsheetml/2009/9/main" uri="{B025F937-C7B1-47D3-B67F-A62EFF666E3E}">
          <x14:id>{6B14CE65-6FE3-4D40-8700-A2B558178BD8}</x14:id>
        </ext>
      </extLst>
    </cfRule>
  </conditionalFormatting>
  <conditionalFormatting sqref="C21:D21">
    <cfRule type="dataBar" priority="25">
      <dataBar>
        <cfvo type="min"/>
        <cfvo type="max"/>
        <color rgb="FF008AEF"/>
      </dataBar>
      <extLst>
        <ext xmlns:x14="http://schemas.microsoft.com/office/spreadsheetml/2009/9/main" uri="{B025F937-C7B1-47D3-B67F-A62EFF666E3E}">
          <x14:id>{BC0D30A8-210D-46F0-ABBB-A6C270FE8884}</x14:id>
        </ext>
      </extLst>
    </cfRule>
  </conditionalFormatting>
  <conditionalFormatting sqref="C22:D22">
    <cfRule type="dataBar" priority="24">
      <dataBar>
        <cfvo type="min"/>
        <cfvo type="max"/>
        <color rgb="FF008AEF"/>
      </dataBar>
      <extLst>
        <ext xmlns:x14="http://schemas.microsoft.com/office/spreadsheetml/2009/9/main" uri="{B025F937-C7B1-47D3-B67F-A62EFF666E3E}">
          <x14:id>{D9265BF5-EEAE-4132-82E0-7328AE2C3EA9}</x14:id>
        </ext>
      </extLst>
    </cfRule>
  </conditionalFormatting>
  <conditionalFormatting sqref="C23:D23">
    <cfRule type="dataBar" priority="23">
      <dataBar>
        <cfvo type="min"/>
        <cfvo type="max"/>
        <color rgb="FF008AEF"/>
      </dataBar>
      <extLst>
        <ext xmlns:x14="http://schemas.microsoft.com/office/spreadsheetml/2009/9/main" uri="{B025F937-C7B1-47D3-B67F-A62EFF666E3E}">
          <x14:id>{0D26652C-450B-4348-838A-3C9B6404CB45}</x14:id>
        </ext>
      </extLst>
    </cfRule>
  </conditionalFormatting>
  <conditionalFormatting sqref="C24:D24">
    <cfRule type="dataBar" priority="22">
      <dataBar>
        <cfvo type="min"/>
        <cfvo type="max"/>
        <color rgb="FF008AEF"/>
      </dataBar>
      <extLst>
        <ext xmlns:x14="http://schemas.microsoft.com/office/spreadsheetml/2009/9/main" uri="{B025F937-C7B1-47D3-B67F-A62EFF666E3E}">
          <x14:id>{5CDB481A-E3B2-4CBD-8ED0-2BCE0D171627}</x14:id>
        </ext>
      </extLst>
    </cfRule>
  </conditionalFormatting>
  <conditionalFormatting sqref="C25:D25">
    <cfRule type="dataBar" priority="21">
      <dataBar>
        <cfvo type="min"/>
        <cfvo type="max"/>
        <color rgb="FF008AEF"/>
      </dataBar>
      <extLst>
        <ext xmlns:x14="http://schemas.microsoft.com/office/spreadsheetml/2009/9/main" uri="{B025F937-C7B1-47D3-B67F-A62EFF666E3E}">
          <x14:id>{84D1E3B9-A3DF-4AFC-A505-33CF84DFD934}</x14:id>
        </ext>
      </extLst>
    </cfRule>
  </conditionalFormatting>
  <conditionalFormatting sqref="C26:D26">
    <cfRule type="dataBar" priority="20">
      <dataBar>
        <cfvo type="min"/>
        <cfvo type="max"/>
        <color rgb="FF008AEF"/>
      </dataBar>
      <extLst>
        <ext xmlns:x14="http://schemas.microsoft.com/office/spreadsheetml/2009/9/main" uri="{B025F937-C7B1-47D3-B67F-A62EFF666E3E}">
          <x14:id>{E2183610-A5BC-4B42-9F54-BC0EBBD2A2A9}</x14:id>
        </ext>
      </extLst>
    </cfRule>
  </conditionalFormatting>
  <conditionalFormatting sqref="C27:D27">
    <cfRule type="dataBar" priority="19">
      <dataBar>
        <cfvo type="min"/>
        <cfvo type="max"/>
        <color rgb="FF008AEF"/>
      </dataBar>
      <extLst>
        <ext xmlns:x14="http://schemas.microsoft.com/office/spreadsheetml/2009/9/main" uri="{B025F937-C7B1-47D3-B67F-A62EFF666E3E}">
          <x14:id>{821BEBEF-B31D-46F3-AB45-46795FDBC22C}</x14:id>
        </ext>
      </extLst>
    </cfRule>
  </conditionalFormatting>
  <conditionalFormatting sqref="C28:D28">
    <cfRule type="dataBar" priority="18">
      <dataBar>
        <cfvo type="min"/>
        <cfvo type="max"/>
        <color rgb="FF008AEF"/>
      </dataBar>
      <extLst>
        <ext xmlns:x14="http://schemas.microsoft.com/office/spreadsheetml/2009/9/main" uri="{B025F937-C7B1-47D3-B67F-A62EFF666E3E}">
          <x14:id>{3CFB2647-193A-498B-A7B6-0C00313AC2BE}</x14:id>
        </ext>
      </extLst>
    </cfRule>
  </conditionalFormatting>
  <conditionalFormatting sqref="C29:D29">
    <cfRule type="dataBar" priority="17">
      <dataBar>
        <cfvo type="min"/>
        <cfvo type="max"/>
        <color rgb="FF008AEF"/>
      </dataBar>
      <extLst>
        <ext xmlns:x14="http://schemas.microsoft.com/office/spreadsheetml/2009/9/main" uri="{B025F937-C7B1-47D3-B67F-A62EFF666E3E}">
          <x14:id>{0B611DE3-8D70-4EB4-808F-C57D43F232FA}</x14:id>
        </ext>
      </extLst>
    </cfRule>
  </conditionalFormatting>
  <conditionalFormatting sqref="C30:D30">
    <cfRule type="dataBar" priority="16">
      <dataBar>
        <cfvo type="min"/>
        <cfvo type="max"/>
        <color rgb="FF008AEF"/>
      </dataBar>
      <extLst>
        <ext xmlns:x14="http://schemas.microsoft.com/office/spreadsheetml/2009/9/main" uri="{B025F937-C7B1-47D3-B67F-A62EFF666E3E}">
          <x14:id>{884B87B0-631E-478F-B072-8619C0CEC1BF}</x14:id>
        </ext>
      </extLst>
    </cfRule>
  </conditionalFormatting>
  <conditionalFormatting sqref="C31:D31">
    <cfRule type="dataBar" priority="15">
      <dataBar>
        <cfvo type="min"/>
        <cfvo type="max"/>
        <color rgb="FF008AEF"/>
      </dataBar>
      <extLst>
        <ext xmlns:x14="http://schemas.microsoft.com/office/spreadsheetml/2009/9/main" uri="{B025F937-C7B1-47D3-B67F-A62EFF666E3E}">
          <x14:id>{8F331B55-711C-4484-8B5C-39A5BD158A0C}</x14:id>
        </ext>
      </extLst>
    </cfRule>
  </conditionalFormatting>
  <conditionalFormatting sqref="C32:D32">
    <cfRule type="dataBar" priority="14">
      <dataBar>
        <cfvo type="min"/>
        <cfvo type="max"/>
        <color rgb="FF008AEF"/>
      </dataBar>
      <extLst>
        <ext xmlns:x14="http://schemas.microsoft.com/office/spreadsheetml/2009/9/main" uri="{B025F937-C7B1-47D3-B67F-A62EFF666E3E}">
          <x14:id>{34ECADB6-CC66-46A0-A772-BDD63CB3ADB9}</x14:id>
        </ext>
      </extLst>
    </cfRule>
  </conditionalFormatting>
  <conditionalFormatting sqref="C33:D33">
    <cfRule type="dataBar" priority="13">
      <dataBar>
        <cfvo type="min"/>
        <cfvo type="max"/>
        <color rgb="FF008AEF"/>
      </dataBar>
      <extLst>
        <ext xmlns:x14="http://schemas.microsoft.com/office/spreadsheetml/2009/9/main" uri="{B025F937-C7B1-47D3-B67F-A62EFF666E3E}">
          <x14:id>{00D712F7-1541-42EC-AD60-D8613A0DB10C}</x14:id>
        </ext>
      </extLst>
    </cfRule>
  </conditionalFormatting>
  <conditionalFormatting sqref="E3:F29 E30:O33">
    <cfRule type="cellIs" dxfId="28" priority="1" operator="greaterThan">
      <formula>0</formula>
    </cfRule>
  </conditionalFormatting>
  <conditionalFormatting sqref="G6:O29">
    <cfRule type="cellIs" dxfId="27" priority="11" operator="greaterThan">
      <formula>0</formula>
    </cfRule>
  </conditionalFormatting>
  <conditionalFormatting sqref="G3:P5">
    <cfRule type="cellIs" dxfId="26" priority="2"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DF1FBC25-30A0-465E-BB51-21D62C29120F}">
            <x14:dataBar minLength="0" maxLength="100" gradient="0">
              <x14:cfvo type="autoMin"/>
              <x14:cfvo type="autoMax"/>
              <x14:negativeFillColor rgb="FFFF0000"/>
              <x14:axisColor rgb="FF000000"/>
            </x14:dataBar>
          </x14:cfRule>
          <xm:sqref>C3:D3 D4:D5</xm:sqref>
        </x14:conditionalFormatting>
        <x14:conditionalFormatting xmlns:xm="http://schemas.microsoft.com/office/excel/2006/main">
          <x14:cfRule type="dataBar" id="{21DE2C1F-8929-40D7-B462-04127BE7BD22}">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2B3404A8-38CF-4D16-9352-E7069EAF5B70}">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0CE091EC-3F89-471A-8C9E-C2DC279F37EC}">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73EC0AAC-8195-4B59-B6B4-8EF24221F9FE}">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02C876B2-C4A1-4D23-A661-1F8D425D2A3F}">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0D05A87D-971C-4EC1-B17E-FAA1BCFCF05D}">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B4D88EEB-A2F6-4C94-B2D0-94F970F548E4}">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28812C75-6A94-4A28-9559-01ACEFAF2D01}">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57832F1D-79F5-4976-A0DB-195A6A11085E}">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1C08C39C-3938-4C79-BB44-8D9FFEED49A2}">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4F255C06-BD6E-4602-BCF2-CAEC70C2F821}">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53052A5C-2875-40A0-812C-15EDBD102B7F}">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ADAF786D-1AA4-46A6-B5D1-8B46A21FF8F7}">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790B1C87-F949-44C2-A87C-F0D20B9C036E}">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FC4441F2-E5BA-47FC-9169-92A79FEC9F64}">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B949C2A5-8130-41FC-9975-8764649C5BBA}">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6B14CE65-6FE3-4D40-8700-A2B558178BD8}">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BC0D30A8-210D-46F0-ABBB-A6C270FE8884}">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D9265BF5-EEAE-4132-82E0-7328AE2C3EA9}">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0D26652C-450B-4348-838A-3C9B6404CB45}">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5CDB481A-E3B2-4CBD-8ED0-2BCE0D171627}">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84D1E3B9-A3DF-4AFC-A505-33CF84DFD934}">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E2183610-A5BC-4B42-9F54-BC0EBBD2A2A9}">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821BEBEF-B31D-46F3-AB45-46795FDBC22C}">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3CFB2647-193A-498B-A7B6-0C00313AC2BE}">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0B611DE3-8D70-4EB4-808F-C57D43F232FA}">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884B87B0-631E-478F-B072-8619C0CEC1BF}">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8F331B55-711C-4484-8B5C-39A5BD158A0C}">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34ECADB6-CC66-46A0-A772-BDD63CB3ADB9}">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00D712F7-1541-42EC-AD60-D8613A0DB10C}">
            <x14:dataBar minLength="0" maxLength="100" gradient="0">
              <x14:cfvo type="autoMin"/>
              <x14:cfvo type="autoMax"/>
              <x14:negativeFillColor rgb="FFFF0000"/>
              <x14:axisColor rgb="FF000000"/>
            </x14:dataBar>
          </x14:cfRule>
          <xm:sqref>C33:D33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P37"/>
  <sheetViews>
    <sheetView topLeftCell="B1" zoomScale="80" zoomScaleNormal="80" workbookViewId="0">
      <selection activeCell="I13" sqref="I13"/>
    </sheetView>
  </sheetViews>
  <sheetFormatPr baseColWidth="10" defaultColWidth="11.42578125" defaultRowHeight="15" x14ac:dyDescent="0.25"/>
  <cols>
    <col min="1" max="1" width="10.140625" style="1" customWidth="1"/>
    <col min="2" max="2" width="90.7109375" style="1" customWidth="1"/>
    <col min="3" max="3" width="11.42578125" style="1"/>
    <col min="4" max="4" width="22.42578125" style="1" customWidth="1"/>
    <col min="5" max="9" width="17.28515625" style="1" customWidth="1"/>
    <col min="10" max="16384" width="11.42578125" style="1"/>
  </cols>
  <sheetData>
    <row r="1" spans="1:16" ht="61.5" customHeight="1" x14ac:dyDescent="0.25">
      <c r="A1" s="52" t="s">
        <v>1</v>
      </c>
      <c r="B1" s="27" t="s">
        <v>23</v>
      </c>
      <c r="C1" s="12" t="s">
        <v>2</v>
      </c>
      <c r="D1" s="12" t="s">
        <v>3</v>
      </c>
      <c r="E1" s="12" t="s">
        <v>4</v>
      </c>
      <c r="F1" s="12" t="s">
        <v>5</v>
      </c>
      <c r="G1" s="12" t="s">
        <v>6</v>
      </c>
      <c r="H1" s="12" t="s">
        <v>7</v>
      </c>
      <c r="I1" s="12" t="s">
        <v>8</v>
      </c>
      <c r="J1" s="12" t="s">
        <v>9</v>
      </c>
      <c r="K1" s="12" t="s">
        <v>10</v>
      </c>
      <c r="L1" s="12" t="s">
        <v>11</v>
      </c>
      <c r="M1" s="12" t="s">
        <v>12</v>
      </c>
      <c r="N1" s="12" t="s">
        <v>13</v>
      </c>
      <c r="O1" s="12" t="s">
        <v>14</v>
      </c>
      <c r="P1" s="12" t="s">
        <v>15</v>
      </c>
    </row>
    <row r="2" spans="1:16" s="3" customFormat="1" ht="15.75" thickBot="1" x14ac:dyDescent="0.3">
      <c r="A2" s="53"/>
      <c r="B2" s="27"/>
      <c r="C2" s="2">
        <v>2026</v>
      </c>
      <c r="D2" s="2" t="s">
        <v>16</v>
      </c>
      <c r="E2" s="30"/>
      <c r="F2" s="30"/>
      <c r="G2" s="30"/>
      <c r="H2" s="30"/>
      <c r="I2" s="30"/>
      <c r="J2" s="30"/>
      <c r="K2" s="30"/>
      <c r="L2" s="30"/>
      <c r="M2" s="30"/>
      <c r="N2" s="30"/>
      <c r="O2" s="30"/>
      <c r="P2" s="30"/>
    </row>
    <row r="3" spans="1:16" ht="81" customHeight="1" x14ac:dyDescent="0.25">
      <c r="A3" s="31" t="s">
        <v>18</v>
      </c>
      <c r="B3" s="13" t="s">
        <v>17</v>
      </c>
      <c r="C3" s="6">
        <v>2</v>
      </c>
      <c r="D3" s="28">
        <f t="shared" ref="D3:D7" si="0">SUM(E3:P3)</f>
        <v>0</v>
      </c>
      <c r="E3" s="32"/>
      <c r="F3" s="32"/>
      <c r="G3" s="32"/>
      <c r="H3" s="32"/>
      <c r="I3" s="32"/>
      <c r="J3" s="32"/>
      <c r="K3" s="32"/>
      <c r="L3" s="32"/>
      <c r="M3" s="32"/>
      <c r="N3" s="32"/>
      <c r="O3" s="32"/>
      <c r="P3" s="32"/>
    </row>
    <row r="4" spans="1:16" ht="81" customHeight="1" x14ac:dyDescent="0.25">
      <c r="A4" s="33" t="s">
        <v>20</v>
      </c>
      <c r="B4" s="14" t="s">
        <v>19</v>
      </c>
      <c r="C4" s="34">
        <v>2</v>
      </c>
      <c r="D4" s="28">
        <f t="shared" si="0"/>
        <v>1</v>
      </c>
      <c r="E4" s="32">
        <v>0</v>
      </c>
      <c r="F4" s="32">
        <v>0</v>
      </c>
      <c r="G4" s="32">
        <v>0</v>
      </c>
      <c r="H4" s="32">
        <v>1</v>
      </c>
      <c r="I4" s="32"/>
      <c r="J4" s="32"/>
      <c r="K4" s="32"/>
      <c r="L4" s="32"/>
      <c r="M4" s="32"/>
      <c r="N4" s="32"/>
      <c r="O4" s="32"/>
      <c r="P4" s="32"/>
    </row>
    <row r="5" spans="1:16" ht="81" customHeight="1" x14ac:dyDescent="0.25">
      <c r="A5" s="36" t="s">
        <v>22</v>
      </c>
      <c r="B5" s="15" t="s">
        <v>21</v>
      </c>
      <c r="C5" s="35">
        <v>2</v>
      </c>
      <c r="D5" s="28">
        <f t="shared" si="0"/>
        <v>2</v>
      </c>
      <c r="E5" s="32">
        <v>0</v>
      </c>
      <c r="F5" s="32">
        <v>0</v>
      </c>
      <c r="G5" s="32">
        <v>0</v>
      </c>
      <c r="H5" s="32">
        <v>2</v>
      </c>
      <c r="I5" s="32"/>
      <c r="J5" s="32"/>
      <c r="K5" s="32"/>
      <c r="L5" s="32"/>
      <c r="M5" s="32"/>
      <c r="N5" s="32"/>
      <c r="O5" s="32"/>
      <c r="P5" s="32"/>
    </row>
    <row r="6" spans="1:16" ht="81" customHeight="1" x14ac:dyDescent="0.25">
      <c r="A6" s="31" t="s">
        <v>18</v>
      </c>
      <c r="B6" s="13" t="s">
        <v>24</v>
      </c>
      <c r="C6" s="37">
        <v>2</v>
      </c>
      <c r="D6" s="28">
        <f t="shared" si="0"/>
        <v>0</v>
      </c>
      <c r="E6" s="32"/>
      <c r="F6" s="32"/>
      <c r="G6" s="32"/>
      <c r="H6" s="32"/>
      <c r="I6" s="32"/>
      <c r="J6" s="32"/>
      <c r="K6" s="32"/>
      <c r="L6" s="32"/>
      <c r="M6" s="32"/>
      <c r="N6" s="32"/>
      <c r="O6" s="32"/>
      <c r="P6" s="32"/>
    </row>
    <row r="7" spans="1:16" ht="81" customHeight="1" x14ac:dyDescent="0.25">
      <c r="A7" s="31" t="s">
        <v>18</v>
      </c>
      <c r="B7" s="13" t="s">
        <v>25</v>
      </c>
      <c r="C7" s="37">
        <v>2</v>
      </c>
      <c r="D7" s="28">
        <f t="shared" si="0"/>
        <v>0</v>
      </c>
      <c r="E7" s="32"/>
      <c r="F7" s="32"/>
      <c r="G7" s="32"/>
      <c r="H7" s="32"/>
      <c r="I7" s="32"/>
      <c r="J7" s="32"/>
      <c r="K7" s="32"/>
      <c r="L7" s="32"/>
      <c r="M7" s="32"/>
      <c r="N7" s="32"/>
      <c r="O7" s="32"/>
      <c r="P7" s="32"/>
    </row>
    <row r="8" spans="1:16" ht="28.5" customHeight="1" x14ac:dyDescent="0.25">
      <c r="A8" s="54" t="s">
        <v>55</v>
      </c>
      <c r="B8" s="38" t="s">
        <v>56</v>
      </c>
      <c r="C8" s="37">
        <v>3</v>
      </c>
      <c r="D8" s="28">
        <f t="shared" ref="D8:D35" si="1">SUM(E8:O8)</f>
        <v>0</v>
      </c>
      <c r="E8" s="32"/>
      <c r="F8" s="32"/>
      <c r="G8" s="32"/>
      <c r="H8" s="32"/>
      <c r="I8" s="32"/>
      <c r="J8" s="32"/>
      <c r="K8" s="32"/>
      <c r="L8" s="32"/>
      <c r="M8" s="32"/>
      <c r="N8" s="32"/>
      <c r="O8" s="32"/>
      <c r="P8" s="39"/>
    </row>
    <row r="9" spans="1:16" ht="28.5" customHeight="1" x14ac:dyDescent="0.25">
      <c r="A9" s="55"/>
      <c r="B9" s="38" t="s">
        <v>57</v>
      </c>
      <c r="C9" s="37">
        <v>2</v>
      </c>
      <c r="D9" s="28">
        <f t="shared" si="1"/>
        <v>0</v>
      </c>
      <c r="E9" s="32"/>
      <c r="F9" s="32"/>
      <c r="G9" s="32"/>
      <c r="H9" s="32"/>
      <c r="I9" s="32"/>
      <c r="J9" s="32"/>
      <c r="K9" s="32"/>
      <c r="L9" s="32"/>
      <c r="M9" s="32"/>
      <c r="N9" s="32"/>
      <c r="O9" s="32"/>
      <c r="P9" s="39"/>
    </row>
    <row r="10" spans="1:16" ht="28.5" customHeight="1" x14ac:dyDescent="0.25">
      <c r="A10" s="55"/>
      <c r="B10" s="38" t="s">
        <v>58</v>
      </c>
      <c r="C10" s="37">
        <v>76</v>
      </c>
      <c r="D10" s="28">
        <f t="shared" si="1"/>
        <v>33</v>
      </c>
      <c r="E10" s="32">
        <v>3</v>
      </c>
      <c r="F10" s="32">
        <v>11</v>
      </c>
      <c r="G10" s="32">
        <v>6</v>
      </c>
      <c r="H10" s="32">
        <v>8</v>
      </c>
      <c r="I10" s="32">
        <v>5</v>
      </c>
      <c r="J10" s="32"/>
      <c r="K10" s="32"/>
      <c r="L10" s="32"/>
      <c r="M10" s="32"/>
      <c r="N10" s="32"/>
      <c r="O10" s="32"/>
      <c r="P10" s="39"/>
    </row>
    <row r="11" spans="1:16" ht="28.5" customHeight="1" x14ac:dyDescent="0.25">
      <c r="A11" s="55"/>
      <c r="B11" s="38" t="s">
        <v>59</v>
      </c>
      <c r="C11" s="37">
        <v>76</v>
      </c>
      <c r="D11" s="28">
        <f t="shared" si="1"/>
        <v>30</v>
      </c>
      <c r="E11" s="32"/>
      <c r="F11" s="32"/>
      <c r="G11" s="32">
        <v>20</v>
      </c>
      <c r="H11" s="32">
        <v>10</v>
      </c>
      <c r="I11" s="32"/>
      <c r="J11" s="32"/>
      <c r="K11" s="32"/>
      <c r="L11" s="32"/>
      <c r="M11" s="32"/>
      <c r="N11" s="32"/>
      <c r="O11" s="32"/>
      <c r="P11" s="39"/>
    </row>
    <row r="12" spans="1:16" ht="28.5" customHeight="1" x14ac:dyDescent="0.25">
      <c r="A12" s="55"/>
      <c r="B12" s="38" t="s">
        <v>60</v>
      </c>
      <c r="C12" s="37">
        <v>1</v>
      </c>
      <c r="D12" s="28">
        <f t="shared" si="1"/>
        <v>0</v>
      </c>
      <c r="E12" s="32"/>
      <c r="F12" s="32"/>
      <c r="G12" s="32"/>
      <c r="H12" s="32"/>
      <c r="I12" s="32"/>
      <c r="J12" s="32"/>
      <c r="K12" s="32"/>
      <c r="L12" s="32"/>
      <c r="M12" s="32"/>
      <c r="N12" s="32"/>
      <c r="O12" s="32"/>
      <c r="P12" s="39"/>
    </row>
    <row r="13" spans="1:16" ht="28.5" customHeight="1" x14ac:dyDescent="0.25">
      <c r="A13" s="55"/>
      <c r="B13" s="38" t="s">
        <v>61</v>
      </c>
      <c r="C13" s="37">
        <v>7</v>
      </c>
      <c r="D13" s="28">
        <f t="shared" si="1"/>
        <v>0</v>
      </c>
      <c r="E13" s="32"/>
      <c r="F13" s="32"/>
      <c r="G13" s="32"/>
      <c r="H13" s="32"/>
      <c r="I13" s="32"/>
      <c r="J13" s="32"/>
      <c r="K13" s="32"/>
      <c r="L13" s="32"/>
      <c r="M13" s="32"/>
      <c r="N13" s="32"/>
      <c r="O13" s="32"/>
      <c r="P13" s="39"/>
    </row>
    <row r="14" spans="1:16" ht="28.5" customHeight="1" x14ac:dyDescent="0.25">
      <c r="A14" s="55"/>
      <c r="B14" s="38" t="s">
        <v>62</v>
      </c>
      <c r="C14" s="37">
        <v>0</v>
      </c>
      <c r="D14" s="28">
        <f t="shared" si="1"/>
        <v>0</v>
      </c>
      <c r="E14" s="32"/>
      <c r="F14" s="32"/>
      <c r="G14" s="32"/>
      <c r="H14" s="32"/>
      <c r="I14" s="32"/>
      <c r="J14" s="32"/>
      <c r="K14" s="32"/>
      <c r="L14" s="32"/>
      <c r="M14" s="32"/>
      <c r="N14" s="32"/>
      <c r="O14" s="32"/>
      <c r="P14" s="39"/>
    </row>
    <row r="15" spans="1:16" ht="28.5" customHeight="1" x14ac:dyDescent="0.25">
      <c r="A15" s="55"/>
      <c r="B15" s="38" t="s">
        <v>63</v>
      </c>
      <c r="C15" s="37">
        <v>0</v>
      </c>
      <c r="D15" s="28">
        <f t="shared" si="1"/>
        <v>0</v>
      </c>
      <c r="E15" s="32"/>
      <c r="F15" s="32"/>
      <c r="G15" s="32"/>
      <c r="H15" s="32"/>
      <c r="I15" s="32"/>
      <c r="J15" s="32"/>
      <c r="K15" s="32"/>
      <c r="L15" s="32"/>
      <c r="M15" s="32"/>
      <c r="N15" s="32"/>
      <c r="O15" s="32"/>
      <c r="P15" s="39"/>
    </row>
    <row r="16" spans="1:16" ht="28.5" customHeight="1" x14ac:dyDescent="0.25">
      <c r="A16" s="55"/>
      <c r="B16" s="38" t="s">
        <v>64</v>
      </c>
      <c r="C16" s="37">
        <v>0</v>
      </c>
      <c r="D16" s="28">
        <f t="shared" si="1"/>
        <v>0</v>
      </c>
      <c r="E16" s="32"/>
      <c r="F16" s="32"/>
      <c r="G16" s="32"/>
      <c r="H16" s="32"/>
      <c r="I16" s="32"/>
      <c r="J16" s="32"/>
      <c r="K16" s="32"/>
      <c r="L16" s="32"/>
      <c r="M16" s="32"/>
      <c r="N16" s="32"/>
      <c r="O16" s="32"/>
      <c r="P16" s="39"/>
    </row>
    <row r="17" spans="1:16" ht="28.5" customHeight="1" x14ac:dyDescent="0.25">
      <c r="A17" s="55"/>
      <c r="B17" s="38" t="s">
        <v>65</v>
      </c>
      <c r="C17" s="37">
        <v>0</v>
      </c>
      <c r="D17" s="28">
        <f t="shared" si="1"/>
        <v>0</v>
      </c>
      <c r="E17" s="32"/>
      <c r="F17" s="32"/>
      <c r="G17" s="32"/>
      <c r="H17" s="32"/>
      <c r="I17" s="32"/>
      <c r="J17" s="32"/>
      <c r="K17" s="32"/>
      <c r="L17" s="32"/>
      <c r="M17" s="32"/>
      <c r="N17" s="32"/>
      <c r="O17" s="32"/>
      <c r="P17" s="39"/>
    </row>
    <row r="18" spans="1:16" ht="28.5" customHeight="1" x14ac:dyDescent="0.25">
      <c r="A18" s="55"/>
      <c r="B18" s="38" t="s">
        <v>66</v>
      </c>
      <c r="C18" s="37">
        <v>0</v>
      </c>
      <c r="D18" s="28">
        <f t="shared" si="1"/>
        <v>0</v>
      </c>
      <c r="E18" s="32"/>
      <c r="F18" s="32"/>
      <c r="G18" s="32"/>
      <c r="H18" s="32"/>
      <c r="I18" s="32"/>
      <c r="J18" s="32"/>
      <c r="K18" s="32"/>
      <c r="L18" s="32"/>
      <c r="M18" s="32"/>
      <c r="N18" s="32"/>
      <c r="O18" s="32"/>
      <c r="P18" s="39"/>
    </row>
    <row r="19" spans="1:16" ht="28.5" customHeight="1" x14ac:dyDescent="0.25">
      <c r="A19" s="55"/>
      <c r="B19" s="38" t="s">
        <v>67</v>
      </c>
      <c r="C19" s="37">
        <v>0</v>
      </c>
      <c r="D19" s="28">
        <f t="shared" si="1"/>
        <v>0</v>
      </c>
      <c r="E19" s="32"/>
      <c r="F19" s="32"/>
      <c r="G19" s="32"/>
      <c r="H19" s="32"/>
      <c r="I19" s="32"/>
      <c r="J19" s="32"/>
      <c r="K19" s="32"/>
      <c r="L19" s="32"/>
      <c r="M19" s="32"/>
      <c r="N19" s="32"/>
      <c r="O19" s="32"/>
      <c r="P19" s="39"/>
    </row>
    <row r="20" spans="1:16" ht="28.5" customHeight="1" x14ac:dyDescent="0.25">
      <c r="A20" s="55"/>
      <c r="B20" s="38" t="s">
        <v>68</v>
      </c>
      <c r="C20" s="37">
        <v>0</v>
      </c>
      <c r="D20" s="28">
        <f t="shared" si="1"/>
        <v>0</v>
      </c>
      <c r="E20" s="32"/>
      <c r="F20" s="32"/>
      <c r="G20" s="32"/>
      <c r="H20" s="32"/>
      <c r="I20" s="32"/>
      <c r="J20" s="32"/>
      <c r="K20" s="32"/>
      <c r="L20" s="32"/>
      <c r="M20" s="32"/>
      <c r="N20" s="32"/>
      <c r="O20" s="32"/>
      <c r="P20" s="39"/>
    </row>
    <row r="21" spans="1:16" ht="28.5" customHeight="1" x14ac:dyDescent="0.25">
      <c r="A21" s="55"/>
      <c r="B21" s="38" t="s">
        <v>69</v>
      </c>
      <c r="C21" s="37">
        <v>0</v>
      </c>
      <c r="D21" s="28">
        <f t="shared" si="1"/>
        <v>0</v>
      </c>
      <c r="E21" s="32"/>
      <c r="F21" s="32"/>
      <c r="G21" s="32"/>
      <c r="H21" s="32"/>
      <c r="I21" s="32"/>
      <c r="J21" s="32"/>
      <c r="K21" s="32"/>
      <c r="L21" s="32"/>
      <c r="M21" s="32"/>
      <c r="N21" s="32"/>
      <c r="O21" s="32"/>
      <c r="P21" s="39"/>
    </row>
    <row r="22" spans="1:16" ht="28.5" customHeight="1" x14ac:dyDescent="0.25">
      <c r="A22" s="55"/>
      <c r="B22" s="38" t="s">
        <v>70</v>
      </c>
      <c r="C22" s="37">
        <v>53</v>
      </c>
      <c r="D22" s="28">
        <f t="shared" si="1"/>
        <v>26</v>
      </c>
      <c r="E22" s="32">
        <v>13</v>
      </c>
      <c r="F22" s="32"/>
      <c r="G22" s="32"/>
      <c r="H22" s="32">
        <v>13</v>
      </c>
      <c r="I22" s="32"/>
      <c r="J22" s="32"/>
      <c r="K22" s="32"/>
      <c r="L22" s="32"/>
      <c r="M22" s="32"/>
      <c r="N22" s="32"/>
      <c r="O22" s="32"/>
      <c r="P22" s="39"/>
    </row>
    <row r="23" spans="1:16" ht="28.5" customHeight="1" x14ac:dyDescent="0.25">
      <c r="A23" s="55"/>
      <c r="B23" s="38" t="s">
        <v>71</v>
      </c>
      <c r="C23" s="37">
        <v>0</v>
      </c>
      <c r="D23" s="28">
        <f t="shared" si="1"/>
        <v>0</v>
      </c>
      <c r="E23" s="32"/>
      <c r="F23" s="32"/>
      <c r="G23" s="32"/>
      <c r="H23" s="32"/>
      <c r="I23" s="32"/>
      <c r="J23" s="32"/>
      <c r="K23" s="32"/>
      <c r="L23" s="32"/>
      <c r="M23" s="32"/>
      <c r="N23" s="32"/>
      <c r="O23" s="32"/>
      <c r="P23" s="39"/>
    </row>
    <row r="24" spans="1:16" ht="24" customHeight="1" x14ac:dyDescent="0.25">
      <c r="A24" s="55"/>
      <c r="B24" s="40" t="s">
        <v>72</v>
      </c>
      <c r="C24" s="37">
        <v>7</v>
      </c>
      <c r="D24" s="28">
        <f t="shared" si="1"/>
        <v>4</v>
      </c>
      <c r="E24" s="32"/>
      <c r="F24" s="32"/>
      <c r="G24" s="32">
        <v>4</v>
      </c>
      <c r="H24" s="32"/>
      <c r="I24" s="32"/>
      <c r="J24" s="32"/>
      <c r="K24" s="32"/>
      <c r="L24" s="32"/>
      <c r="M24" s="32"/>
      <c r="N24" s="32"/>
      <c r="O24" s="32"/>
      <c r="P24" s="39"/>
    </row>
    <row r="25" spans="1:16" ht="24" customHeight="1" x14ac:dyDescent="0.25">
      <c r="A25" s="55"/>
      <c r="B25" s="40" t="s">
        <v>73</v>
      </c>
      <c r="C25" s="37">
        <v>7</v>
      </c>
      <c r="D25" s="28">
        <f t="shared" si="1"/>
        <v>0</v>
      </c>
      <c r="E25" s="32"/>
      <c r="F25" s="32"/>
      <c r="G25" s="32"/>
      <c r="H25" s="32"/>
      <c r="I25" s="32"/>
      <c r="J25" s="32"/>
      <c r="K25" s="32"/>
      <c r="L25" s="32"/>
      <c r="M25" s="32"/>
      <c r="N25" s="32"/>
      <c r="O25" s="32"/>
      <c r="P25" s="39"/>
    </row>
    <row r="26" spans="1:16" ht="24" customHeight="1" x14ac:dyDescent="0.25">
      <c r="A26" s="55"/>
      <c r="B26" s="40" t="s">
        <v>74</v>
      </c>
      <c r="C26" s="37">
        <v>7</v>
      </c>
      <c r="D26" s="28">
        <f t="shared" si="1"/>
        <v>3</v>
      </c>
      <c r="E26" s="32"/>
      <c r="F26" s="32"/>
      <c r="G26" s="32"/>
      <c r="H26" s="32">
        <v>1</v>
      </c>
      <c r="I26" s="32">
        <v>2</v>
      </c>
      <c r="J26" s="32"/>
      <c r="K26" s="32"/>
      <c r="L26" s="32"/>
      <c r="M26" s="32"/>
      <c r="N26" s="32"/>
      <c r="O26" s="32"/>
      <c r="P26" s="39"/>
    </row>
    <row r="27" spans="1:16" ht="24" customHeight="1" x14ac:dyDescent="0.25">
      <c r="A27" s="55"/>
      <c r="B27" s="40" t="s">
        <v>75</v>
      </c>
      <c r="C27" s="37">
        <v>7</v>
      </c>
      <c r="D27" s="28">
        <f t="shared" si="1"/>
        <v>3</v>
      </c>
      <c r="E27" s="32"/>
      <c r="F27" s="32"/>
      <c r="G27" s="32"/>
      <c r="H27" s="32">
        <v>3</v>
      </c>
      <c r="I27" s="32"/>
      <c r="J27" s="32"/>
      <c r="K27" s="32"/>
      <c r="L27" s="32"/>
      <c r="M27" s="32"/>
      <c r="N27" s="32"/>
      <c r="O27" s="32"/>
      <c r="P27" s="39"/>
    </row>
    <row r="28" spans="1:16" ht="24" customHeight="1" x14ac:dyDescent="0.25">
      <c r="A28" s="55"/>
      <c r="B28" s="40" t="s">
        <v>76</v>
      </c>
      <c r="C28" s="37">
        <v>7</v>
      </c>
      <c r="D28" s="28">
        <f t="shared" si="1"/>
        <v>0</v>
      </c>
      <c r="E28" s="32"/>
      <c r="F28" s="32"/>
      <c r="G28" s="32"/>
      <c r="H28" s="32"/>
      <c r="I28" s="32"/>
      <c r="J28" s="32"/>
      <c r="K28" s="32"/>
      <c r="L28" s="32"/>
      <c r="M28" s="32"/>
      <c r="N28" s="32"/>
      <c r="O28" s="32"/>
      <c r="P28" s="39"/>
    </row>
    <row r="29" spans="1:16" ht="24" customHeight="1" x14ac:dyDescent="0.25">
      <c r="A29" s="55"/>
      <c r="B29" s="40" t="s">
        <v>77</v>
      </c>
      <c r="C29" s="37">
        <v>1</v>
      </c>
      <c r="D29" s="28">
        <f t="shared" si="1"/>
        <v>0</v>
      </c>
      <c r="E29" s="32"/>
      <c r="F29" s="32"/>
      <c r="G29" s="32"/>
      <c r="H29" s="32"/>
      <c r="I29" s="32"/>
      <c r="J29" s="32"/>
      <c r="K29" s="32"/>
      <c r="L29" s="32"/>
      <c r="M29" s="32"/>
      <c r="N29" s="32"/>
      <c r="O29" s="32"/>
      <c r="P29" s="39"/>
    </row>
    <row r="30" spans="1:16" ht="24" customHeight="1" x14ac:dyDescent="0.25">
      <c r="A30" s="55"/>
      <c r="B30" s="40" t="s">
        <v>78</v>
      </c>
      <c r="C30" s="37">
        <v>1</v>
      </c>
      <c r="D30" s="28">
        <f t="shared" si="1"/>
        <v>0</v>
      </c>
      <c r="E30" s="32"/>
      <c r="F30" s="32"/>
      <c r="G30" s="32"/>
      <c r="H30" s="32"/>
      <c r="I30" s="32"/>
      <c r="J30" s="32"/>
      <c r="K30" s="32"/>
      <c r="L30" s="32"/>
      <c r="M30" s="32"/>
      <c r="N30" s="32"/>
      <c r="O30" s="32"/>
      <c r="P30" s="39"/>
    </row>
    <row r="31" spans="1:16" ht="24" customHeight="1" x14ac:dyDescent="0.25">
      <c r="A31" s="55"/>
      <c r="B31" s="40" t="s">
        <v>79</v>
      </c>
      <c r="C31" s="37">
        <v>1</v>
      </c>
      <c r="D31" s="28">
        <f t="shared" si="1"/>
        <v>0</v>
      </c>
      <c r="E31" s="32"/>
      <c r="F31" s="32"/>
      <c r="G31" s="32"/>
      <c r="H31" s="32"/>
      <c r="I31" s="32"/>
      <c r="J31" s="32"/>
      <c r="K31" s="32"/>
      <c r="L31" s="32"/>
      <c r="M31" s="32"/>
      <c r="N31" s="32"/>
      <c r="O31" s="32"/>
      <c r="P31" s="39"/>
    </row>
    <row r="32" spans="1:16" ht="24" customHeight="1" x14ac:dyDescent="0.25">
      <c r="A32" s="55"/>
      <c r="B32" s="40" t="s">
        <v>80</v>
      </c>
      <c r="C32" s="37">
        <v>1</v>
      </c>
      <c r="D32" s="28">
        <f t="shared" si="1"/>
        <v>0</v>
      </c>
      <c r="E32" s="32"/>
      <c r="F32" s="32"/>
      <c r="G32" s="32"/>
      <c r="H32" s="32"/>
      <c r="I32" s="32"/>
      <c r="J32" s="32"/>
      <c r="K32" s="32"/>
      <c r="L32" s="32"/>
      <c r="M32" s="32"/>
      <c r="N32" s="32"/>
      <c r="O32" s="32"/>
      <c r="P32" s="39"/>
    </row>
    <row r="33" spans="1:16" ht="24" customHeight="1" x14ac:dyDescent="0.25">
      <c r="A33" s="55"/>
      <c r="B33" s="40" t="s">
        <v>81</v>
      </c>
      <c r="C33" s="37">
        <v>1</v>
      </c>
      <c r="D33" s="28">
        <f t="shared" si="1"/>
        <v>0</v>
      </c>
      <c r="E33" s="32"/>
      <c r="F33" s="32"/>
      <c r="G33" s="32"/>
      <c r="H33" s="32"/>
      <c r="I33" s="32"/>
      <c r="J33" s="32"/>
      <c r="K33" s="32"/>
      <c r="L33" s="32"/>
      <c r="M33" s="32"/>
      <c r="N33" s="32"/>
      <c r="O33" s="32"/>
      <c r="P33" s="39"/>
    </row>
    <row r="34" spans="1:16" ht="24" customHeight="1" x14ac:dyDescent="0.25">
      <c r="A34" s="55"/>
      <c r="B34" s="40" t="s">
        <v>82</v>
      </c>
      <c r="C34" s="37">
        <v>1</v>
      </c>
      <c r="D34" s="28">
        <f t="shared" si="1"/>
        <v>0</v>
      </c>
      <c r="E34" s="32"/>
      <c r="F34" s="32"/>
      <c r="G34" s="32"/>
      <c r="H34" s="32"/>
      <c r="I34" s="32"/>
      <c r="J34" s="32"/>
      <c r="K34" s="32"/>
      <c r="L34" s="32"/>
      <c r="M34" s="32"/>
      <c r="N34" s="32"/>
      <c r="O34" s="32"/>
      <c r="P34" s="39"/>
    </row>
    <row r="35" spans="1:16" ht="24" customHeight="1" thickBot="1" x14ac:dyDescent="0.3">
      <c r="A35" s="56"/>
      <c r="B35" s="41" t="s">
        <v>83</v>
      </c>
      <c r="C35" s="37">
        <v>1</v>
      </c>
      <c r="D35" s="28">
        <f t="shared" si="1"/>
        <v>0</v>
      </c>
      <c r="E35" s="32"/>
      <c r="F35" s="32"/>
      <c r="G35" s="32"/>
      <c r="H35" s="32"/>
      <c r="I35" s="32"/>
      <c r="J35" s="32"/>
      <c r="K35" s="32"/>
      <c r="L35" s="32"/>
      <c r="M35" s="32"/>
      <c r="N35" s="32"/>
      <c r="O35" s="32"/>
      <c r="P35" s="39"/>
    </row>
    <row r="36" spans="1:16" x14ac:dyDescent="0.25">
      <c r="C36" s="42">
        <f>SUM(C3:C35)</f>
        <v>270</v>
      </c>
      <c r="D36" s="43">
        <f>SUM(D3:D35)</f>
        <v>102</v>
      </c>
    </row>
    <row r="37" spans="1:16" x14ac:dyDescent="0.25">
      <c r="C37" s="11"/>
      <c r="D37" s="44">
        <f>D36/C36</f>
        <v>0.37777777777777777</v>
      </c>
    </row>
  </sheetData>
  <sheetProtection algorithmName="SHA-512" hashValue="rQzCI4vIg4OOOUe8PGGTx7OWWNBPt47sC79ZA5x1z4te/L/d6TeBHREYYG43tqtDEi5G5WM+iXS+Gd9Lr5Ns7g==" saltValue="dLC7zoEDW3VmvRQwcbADFA==" spinCount="100000" sheet="1" objects="1" scenarios="1" autoFilter="0"/>
  <mergeCells count="2">
    <mergeCell ref="A1:A2"/>
    <mergeCell ref="A8:A35"/>
  </mergeCells>
  <conditionalFormatting sqref="C3:D3 D4:D7">
    <cfRule type="dataBar" priority="44">
      <dataBar>
        <cfvo type="min"/>
        <cfvo type="max"/>
        <color rgb="FF008AEF"/>
      </dataBar>
      <extLst>
        <ext xmlns:x14="http://schemas.microsoft.com/office/spreadsheetml/2009/9/main" uri="{B025F937-C7B1-47D3-B67F-A62EFF666E3E}">
          <x14:id>{97DF3582-A167-49FE-A065-CEE35F89344B}</x14:id>
        </ext>
      </extLst>
    </cfRule>
  </conditionalFormatting>
  <conditionalFormatting sqref="C4:D4">
    <cfRule type="dataBar" priority="4">
      <dataBar>
        <cfvo type="min"/>
        <cfvo type="max"/>
        <color rgb="FF008AEF"/>
      </dataBar>
      <extLst>
        <ext xmlns:x14="http://schemas.microsoft.com/office/spreadsheetml/2009/9/main" uri="{B025F937-C7B1-47D3-B67F-A62EFF666E3E}">
          <x14:id>{1E2B441E-7BB0-46AF-9A5D-EAB7A644F1C6}</x14:id>
        </ext>
      </extLst>
    </cfRule>
  </conditionalFormatting>
  <conditionalFormatting sqref="C5:D5">
    <cfRule type="dataBar" priority="5">
      <dataBar>
        <cfvo type="min"/>
        <cfvo type="max"/>
        <color rgb="FF008AEF"/>
      </dataBar>
      <extLst>
        <ext xmlns:x14="http://schemas.microsoft.com/office/spreadsheetml/2009/9/main" uri="{B025F937-C7B1-47D3-B67F-A62EFF666E3E}">
          <x14:id>{A5A27DE6-9007-479A-B10E-9D2C45822305}</x14:id>
        </ext>
      </extLst>
    </cfRule>
  </conditionalFormatting>
  <conditionalFormatting sqref="C6:D6">
    <cfRule type="dataBar" priority="6">
      <dataBar>
        <cfvo type="min"/>
        <cfvo type="max"/>
        <color rgb="FF008AEF"/>
      </dataBar>
      <extLst>
        <ext xmlns:x14="http://schemas.microsoft.com/office/spreadsheetml/2009/9/main" uri="{B025F937-C7B1-47D3-B67F-A62EFF666E3E}">
          <x14:id>{08101D1F-7337-4D89-A16D-7D6D5A967AA3}</x14:id>
        </ext>
      </extLst>
    </cfRule>
  </conditionalFormatting>
  <conditionalFormatting sqref="C7:D7">
    <cfRule type="dataBar" priority="7">
      <dataBar>
        <cfvo type="min"/>
        <cfvo type="max"/>
        <color rgb="FF008AEF"/>
      </dataBar>
      <extLst>
        <ext xmlns:x14="http://schemas.microsoft.com/office/spreadsheetml/2009/9/main" uri="{B025F937-C7B1-47D3-B67F-A62EFF666E3E}">
          <x14:id>{BB9EEE87-D23F-484D-AD17-EB08863E7E10}</x14:id>
        </ext>
      </extLst>
    </cfRule>
  </conditionalFormatting>
  <conditionalFormatting sqref="C8:D8">
    <cfRule type="dataBar" priority="12">
      <dataBar>
        <cfvo type="min"/>
        <cfvo type="max"/>
        <color rgb="FF008AEF"/>
      </dataBar>
      <extLst>
        <ext xmlns:x14="http://schemas.microsoft.com/office/spreadsheetml/2009/9/main" uri="{B025F937-C7B1-47D3-B67F-A62EFF666E3E}">
          <x14:id>{FC864019-6F9B-4DCD-B108-C065D52838D8}</x14:id>
        </ext>
      </extLst>
    </cfRule>
  </conditionalFormatting>
  <conditionalFormatting sqref="C9:D9">
    <cfRule type="dataBar" priority="39">
      <dataBar>
        <cfvo type="min"/>
        <cfvo type="max"/>
        <color rgb="FF008AEF"/>
      </dataBar>
      <extLst>
        <ext xmlns:x14="http://schemas.microsoft.com/office/spreadsheetml/2009/9/main" uri="{B025F937-C7B1-47D3-B67F-A62EFF666E3E}">
          <x14:id>{DF697BEF-EFC0-4802-9D94-D060C3721AA2}</x14:id>
        </ext>
      </extLst>
    </cfRule>
  </conditionalFormatting>
  <conditionalFormatting sqref="C10:D10">
    <cfRule type="dataBar" priority="38">
      <dataBar>
        <cfvo type="min"/>
        <cfvo type="max"/>
        <color rgb="FF008AEF"/>
      </dataBar>
      <extLst>
        <ext xmlns:x14="http://schemas.microsoft.com/office/spreadsheetml/2009/9/main" uri="{B025F937-C7B1-47D3-B67F-A62EFF666E3E}">
          <x14:id>{00CD2B09-6EF0-47D1-B04E-0A6A9F65C05E}</x14:id>
        </ext>
      </extLst>
    </cfRule>
  </conditionalFormatting>
  <conditionalFormatting sqref="C11:D11">
    <cfRule type="dataBar" priority="37">
      <dataBar>
        <cfvo type="min"/>
        <cfvo type="max"/>
        <color rgb="FF008AEF"/>
      </dataBar>
      <extLst>
        <ext xmlns:x14="http://schemas.microsoft.com/office/spreadsheetml/2009/9/main" uri="{B025F937-C7B1-47D3-B67F-A62EFF666E3E}">
          <x14:id>{97DE5C50-5C56-4C2F-96C1-37C5C2B7FA4D}</x14:id>
        </ext>
      </extLst>
    </cfRule>
  </conditionalFormatting>
  <conditionalFormatting sqref="C12:D12">
    <cfRule type="dataBar" priority="36">
      <dataBar>
        <cfvo type="min"/>
        <cfvo type="max"/>
        <color rgb="FF008AEF"/>
      </dataBar>
      <extLst>
        <ext xmlns:x14="http://schemas.microsoft.com/office/spreadsheetml/2009/9/main" uri="{B025F937-C7B1-47D3-B67F-A62EFF666E3E}">
          <x14:id>{81223D3A-EC15-406D-98F3-FFD1AA5FDCBA}</x14:id>
        </ext>
      </extLst>
    </cfRule>
  </conditionalFormatting>
  <conditionalFormatting sqref="C13:D13">
    <cfRule type="dataBar" priority="35">
      <dataBar>
        <cfvo type="min"/>
        <cfvo type="max"/>
        <color rgb="FF008AEF"/>
      </dataBar>
      <extLst>
        <ext xmlns:x14="http://schemas.microsoft.com/office/spreadsheetml/2009/9/main" uri="{B025F937-C7B1-47D3-B67F-A62EFF666E3E}">
          <x14:id>{D4E6042C-B323-411C-B91B-C0BD0B6C2042}</x14:id>
        </ext>
      </extLst>
    </cfRule>
  </conditionalFormatting>
  <conditionalFormatting sqref="C14:D14">
    <cfRule type="dataBar" priority="34">
      <dataBar>
        <cfvo type="min"/>
        <cfvo type="max"/>
        <color rgb="FF008AEF"/>
      </dataBar>
      <extLst>
        <ext xmlns:x14="http://schemas.microsoft.com/office/spreadsheetml/2009/9/main" uri="{B025F937-C7B1-47D3-B67F-A62EFF666E3E}">
          <x14:id>{43E9010F-CF70-4A32-A54D-FE6840E106CB}</x14:id>
        </ext>
      </extLst>
    </cfRule>
  </conditionalFormatting>
  <conditionalFormatting sqref="C15:D15">
    <cfRule type="dataBar" priority="33">
      <dataBar>
        <cfvo type="min"/>
        <cfvo type="max"/>
        <color rgb="FF008AEF"/>
      </dataBar>
      <extLst>
        <ext xmlns:x14="http://schemas.microsoft.com/office/spreadsheetml/2009/9/main" uri="{B025F937-C7B1-47D3-B67F-A62EFF666E3E}">
          <x14:id>{240564B4-E5CC-4A3D-9C81-D0E2ED2649C5}</x14:id>
        </ext>
      </extLst>
    </cfRule>
  </conditionalFormatting>
  <conditionalFormatting sqref="C16:D16">
    <cfRule type="dataBar" priority="32">
      <dataBar>
        <cfvo type="min"/>
        <cfvo type="max"/>
        <color rgb="FF008AEF"/>
      </dataBar>
      <extLst>
        <ext xmlns:x14="http://schemas.microsoft.com/office/spreadsheetml/2009/9/main" uri="{B025F937-C7B1-47D3-B67F-A62EFF666E3E}">
          <x14:id>{DA460FBF-2B4F-4C67-B822-5E97363DA217}</x14:id>
        </ext>
      </extLst>
    </cfRule>
  </conditionalFormatting>
  <conditionalFormatting sqref="C17:D17">
    <cfRule type="dataBar" priority="31">
      <dataBar>
        <cfvo type="min"/>
        <cfvo type="max"/>
        <color rgb="FF008AEF"/>
      </dataBar>
      <extLst>
        <ext xmlns:x14="http://schemas.microsoft.com/office/spreadsheetml/2009/9/main" uri="{B025F937-C7B1-47D3-B67F-A62EFF666E3E}">
          <x14:id>{4D7AFD62-AA5F-4F93-91FD-07F47099CFF3}</x14:id>
        </ext>
      </extLst>
    </cfRule>
  </conditionalFormatting>
  <conditionalFormatting sqref="C18:D18">
    <cfRule type="dataBar" priority="30">
      <dataBar>
        <cfvo type="min"/>
        <cfvo type="max"/>
        <color rgb="FF008AEF"/>
      </dataBar>
      <extLst>
        <ext xmlns:x14="http://schemas.microsoft.com/office/spreadsheetml/2009/9/main" uri="{B025F937-C7B1-47D3-B67F-A62EFF666E3E}">
          <x14:id>{EFDF4C81-61D6-4C7D-BA9B-B3F8F8838452}</x14:id>
        </ext>
      </extLst>
    </cfRule>
  </conditionalFormatting>
  <conditionalFormatting sqref="C19:D19">
    <cfRule type="dataBar" priority="29">
      <dataBar>
        <cfvo type="min"/>
        <cfvo type="max"/>
        <color rgb="FF008AEF"/>
      </dataBar>
      <extLst>
        <ext xmlns:x14="http://schemas.microsoft.com/office/spreadsheetml/2009/9/main" uri="{B025F937-C7B1-47D3-B67F-A62EFF666E3E}">
          <x14:id>{6A1A9F32-F69B-496C-AA09-991135349185}</x14:id>
        </ext>
      </extLst>
    </cfRule>
  </conditionalFormatting>
  <conditionalFormatting sqref="C20:D20">
    <cfRule type="dataBar" priority="28">
      <dataBar>
        <cfvo type="min"/>
        <cfvo type="max"/>
        <color rgb="FF008AEF"/>
      </dataBar>
      <extLst>
        <ext xmlns:x14="http://schemas.microsoft.com/office/spreadsheetml/2009/9/main" uri="{B025F937-C7B1-47D3-B67F-A62EFF666E3E}">
          <x14:id>{F8838314-40EB-4EEA-8FEC-024AD108FAB3}</x14:id>
        </ext>
      </extLst>
    </cfRule>
  </conditionalFormatting>
  <conditionalFormatting sqref="C21:D21">
    <cfRule type="dataBar" priority="27">
      <dataBar>
        <cfvo type="min"/>
        <cfvo type="max"/>
        <color rgb="FF008AEF"/>
      </dataBar>
      <extLst>
        <ext xmlns:x14="http://schemas.microsoft.com/office/spreadsheetml/2009/9/main" uri="{B025F937-C7B1-47D3-B67F-A62EFF666E3E}">
          <x14:id>{5DC60D09-DFF7-4AA8-AA75-9B3BDDB60657}</x14:id>
        </ext>
      </extLst>
    </cfRule>
  </conditionalFormatting>
  <conditionalFormatting sqref="C22:D22">
    <cfRule type="dataBar" priority="26">
      <dataBar>
        <cfvo type="min"/>
        <cfvo type="max"/>
        <color rgb="FF008AEF"/>
      </dataBar>
      <extLst>
        <ext xmlns:x14="http://schemas.microsoft.com/office/spreadsheetml/2009/9/main" uri="{B025F937-C7B1-47D3-B67F-A62EFF666E3E}">
          <x14:id>{F8088816-0D31-4EFC-825C-8A00E804E06E}</x14:id>
        </ext>
      </extLst>
    </cfRule>
  </conditionalFormatting>
  <conditionalFormatting sqref="C23:D23">
    <cfRule type="dataBar" priority="25">
      <dataBar>
        <cfvo type="min"/>
        <cfvo type="max"/>
        <color rgb="FF008AEF"/>
      </dataBar>
      <extLst>
        <ext xmlns:x14="http://schemas.microsoft.com/office/spreadsheetml/2009/9/main" uri="{B025F937-C7B1-47D3-B67F-A62EFF666E3E}">
          <x14:id>{74B620B6-14B3-4C15-91B5-56304FC056C2}</x14:id>
        </ext>
      </extLst>
    </cfRule>
  </conditionalFormatting>
  <conditionalFormatting sqref="C24:D24">
    <cfRule type="dataBar" priority="24">
      <dataBar>
        <cfvo type="min"/>
        <cfvo type="max"/>
        <color rgb="FF008AEF"/>
      </dataBar>
      <extLst>
        <ext xmlns:x14="http://schemas.microsoft.com/office/spreadsheetml/2009/9/main" uri="{B025F937-C7B1-47D3-B67F-A62EFF666E3E}">
          <x14:id>{87E89E60-FCFC-49FE-8FF2-3BB36C5C7151}</x14:id>
        </ext>
      </extLst>
    </cfRule>
  </conditionalFormatting>
  <conditionalFormatting sqref="C25:D25">
    <cfRule type="dataBar" priority="23">
      <dataBar>
        <cfvo type="min"/>
        <cfvo type="max"/>
        <color rgb="FF008AEF"/>
      </dataBar>
      <extLst>
        <ext xmlns:x14="http://schemas.microsoft.com/office/spreadsheetml/2009/9/main" uri="{B025F937-C7B1-47D3-B67F-A62EFF666E3E}">
          <x14:id>{08696489-C7AB-48BE-B205-6623894A3904}</x14:id>
        </ext>
      </extLst>
    </cfRule>
  </conditionalFormatting>
  <conditionalFormatting sqref="C26:D26">
    <cfRule type="dataBar" priority="22">
      <dataBar>
        <cfvo type="min"/>
        <cfvo type="max"/>
        <color rgb="FF008AEF"/>
      </dataBar>
      <extLst>
        <ext xmlns:x14="http://schemas.microsoft.com/office/spreadsheetml/2009/9/main" uri="{B025F937-C7B1-47D3-B67F-A62EFF666E3E}">
          <x14:id>{95BCF15F-16DE-4CAA-B867-585152D4ACB4}</x14:id>
        </ext>
      </extLst>
    </cfRule>
  </conditionalFormatting>
  <conditionalFormatting sqref="C27:D27">
    <cfRule type="dataBar" priority="21">
      <dataBar>
        <cfvo type="min"/>
        <cfvo type="max"/>
        <color rgb="FF008AEF"/>
      </dataBar>
      <extLst>
        <ext xmlns:x14="http://schemas.microsoft.com/office/spreadsheetml/2009/9/main" uri="{B025F937-C7B1-47D3-B67F-A62EFF666E3E}">
          <x14:id>{0767175A-2150-47D7-96ED-D91D83185A70}</x14:id>
        </ext>
      </extLst>
    </cfRule>
  </conditionalFormatting>
  <conditionalFormatting sqref="C28:D28">
    <cfRule type="dataBar" priority="20">
      <dataBar>
        <cfvo type="min"/>
        <cfvo type="max"/>
        <color rgb="FF008AEF"/>
      </dataBar>
      <extLst>
        <ext xmlns:x14="http://schemas.microsoft.com/office/spreadsheetml/2009/9/main" uri="{B025F937-C7B1-47D3-B67F-A62EFF666E3E}">
          <x14:id>{BB1F905A-1EC9-4F7F-AAA0-5CF34EAB71CB}</x14:id>
        </ext>
      </extLst>
    </cfRule>
  </conditionalFormatting>
  <conditionalFormatting sqref="C29:D29">
    <cfRule type="dataBar" priority="19">
      <dataBar>
        <cfvo type="min"/>
        <cfvo type="max"/>
        <color rgb="FF008AEF"/>
      </dataBar>
      <extLst>
        <ext xmlns:x14="http://schemas.microsoft.com/office/spreadsheetml/2009/9/main" uri="{B025F937-C7B1-47D3-B67F-A62EFF666E3E}">
          <x14:id>{74E3370B-2637-4BB2-BC4D-B7F8A7DB3968}</x14:id>
        </ext>
      </extLst>
    </cfRule>
  </conditionalFormatting>
  <conditionalFormatting sqref="C30:D30">
    <cfRule type="dataBar" priority="18">
      <dataBar>
        <cfvo type="min"/>
        <cfvo type="max"/>
        <color rgb="FF008AEF"/>
      </dataBar>
      <extLst>
        <ext xmlns:x14="http://schemas.microsoft.com/office/spreadsheetml/2009/9/main" uri="{B025F937-C7B1-47D3-B67F-A62EFF666E3E}">
          <x14:id>{A95F756E-C4EF-418B-AB98-9F61735958D6}</x14:id>
        </ext>
      </extLst>
    </cfRule>
  </conditionalFormatting>
  <conditionalFormatting sqref="C31:D31">
    <cfRule type="dataBar" priority="17">
      <dataBar>
        <cfvo type="min"/>
        <cfvo type="max"/>
        <color rgb="FF008AEF"/>
      </dataBar>
      <extLst>
        <ext xmlns:x14="http://schemas.microsoft.com/office/spreadsheetml/2009/9/main" uri="{B025F937-C7B1-47D3-B67F-A62EFF666E3E}">
          <x14:id>{CCFBC504-A20B-4C92-9556-AAB75492E2D3}</x14:id>
        </ext>
      </extLst>
    </cfRule>
  </conditionalFormatting>
  <conditionalFormatting sqref="C32:D32">
    <cfRule type="dataBar" priority="16">
      <dataBar>
        <cfvo type="min"/>
        <cfvo type="max"/>
        <color rgb="FF008AEF"/>
      </dataBar>
      <extLst>
        <ext xmlns:x14="http://schemas.microsoft.com/office/spreadsheetml/2009/9/main" uri="{B025F937-C7B1-47D3-B67F-A62EFF666E3E}">
          <x14:id>{FA3C38B4-2562-442F-BAE1-E863F6C8CF88}</x14:id>
        </ext>
      </extLst>
    </cfRule>
  </conditionalFormatting>
  <conditionalFormatting sqref="C33:D33">
    <cfRule type="dataBar" priority="15">
      <dataBar>
        <cfvo type="min"/>
        <cfvo type="max"/>
        <color rgb="FF008AEF"/>
      </dataBar>
      <extLst>
        <ext xmlns:x14="http://schemas.microsoft.com/office/spreadsheetml/2009/9/main" uri="{B025F937-C7B1-47D3-B67F-A62EFF666E3E}">
          <x14:id>{1FA99D69-2BD3-40AB-9DA3-37B6DFB9FA3A}</x14:id>
        </ext>
      </extLst>
    </cfRule>
  </conditionalFormatting>
  <conditionalFormatting sqref="C34:D34">
    <cfRule type="dataBar" priority="14">
      <dataBar>
        <cfvo type="min"/>
        <cfvo type="max"/>
        <color rgb="FF008AEF"/>
      </dataBar>
      <extLst>
        <ext xmlns:x14="http://schemas.microsoft.com/office/spreadsheetml/2009/9/main" uri="{B025F937-C7B1-47D3-B67F-A62EFF666E3E}">
          <x14:id>{FEAD7DF5-5963-4C58-A432-B4A3DC5BA906}</x14:id>
        </ext>
      </extLst>
    </cfRule>
  </conditionalFormatting>
  <conditionalFormatting sqref="C35:D35">
    <cfRule type="dataBar" priority="13">
      <dataBar>
        <cfvo type="min"/>
        <cfvo type="max"/>
        <color rgb="FF008AEF"/>
      </dataBar>
      <extLst>
        <ext xmlns:x14="http://schemas.microsoft.com/office/spreadsheetml/2009/9/main" uri="{B025F937-C7B1-47D3-B67F-A62EFF666E3E}">
          <x14:id>{92E621F3-F2B1-42CB-B514-68BF8941423C}</x14:id>
        </ext>
      </extLst>
    </cfRule>
  </conditionalFormatting>
  <conditionalFormatting sqref="E3:F31 E32:O35">
    <cfRule type="cellIs" dxfId="25" priority="1" operator="greaterThan">
      <formula>0</formula>
    </cfRule>
  </conditionalFormatting>
  <conditionalFormatting sqref="G8:O31">
    <cfRule type="cellIs" dxfId="24" priority="11" operator="greaterThan">
      <formula>0</formula>
    </cfRule>
  </conditionalFormatting>
  <conditionalFormatting sqref="G3:P7">
    <cfRule type="cellIs" dxfId="23" priority="2"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97DF3582-A167-49FE-A065-CEE35F89344B}">
            <x14:dataBar minLength="0" maxLength="100" gradient="0">
              <x14:cfvo type="autoMin"/>
              <x14:cfvo type="autoMax"/>
              <x14:negativeFillColor rgb="FFFF0000"/>
              <x14:axisColor rgb="FF000000"/>
            </x14:dataBar>
          </x14:cfRule>
          <xm:sqref>C3:D3 D4:D7</xm:sqref>
        </x14:conditionalFormatting>
        <x14:conditionalFormatting xmlns:xm="http://schemas.microsoft.com/office/excel/2006/main">
          <x14:cfRule type="dataBar" id="{1E2B441E-7BB0-46AF-9A5D-EAB7A644F1C6}">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A5A27DE6-9007-479A-B10E-9D2C45822305}">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08101D1F-7337-4D89-A16D-7D6D5A967AA3}">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BB9EEE87-D23F-484D-AD17-EB08863E7E10}">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FC864019-6F9B-4DCD-B108-C065D52838D8}">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DF697BEF-EFC0-4802-9D94-D060C3721AA2}">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00CD2B09-6EF0-47D1-B04E-0A6A9F65C05E}">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97DE5C50-5C56-4C2F-96C1-37C5C2B7FA4D}">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81223D3A-EC15-406D-98F3-FFD1AA5FDCBA}">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D4E6042C-B323-411C-B91B-C0BD0B6C2042}">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43E9010F-CF70-4A32-A54D-FE6840E106CB}">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240564B4-E5CC-4A3D-9C81-D0E2ED2649C5}">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DA460FBF-2B4F-4C67-B822-5E97363DA217}">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4D7AFD62-AA5F-4F93-91FD-07F47099CFF3}">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EFDF4C81-61D6-4C7D-BA9B-B3F8F8838452}">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6A1A9F32-F69B-496C-AA09-991135349185}">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F8838314-40EB-4EEA-8FEC-024AD108FAB3}">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5DC60D09-DFF7-4AA8-AA75-9B3BDDB60657}">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F8088816-0D31-4EFC-825C-8A00E804E06E}">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74B620B6-14B3-4C15-91B5-56304FC056C2}">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87E89E60-FCFC-49FE-8FF2-3BB36C5C7151}">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08696489-C7AB-48BE-B205-6623894A3904}">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95BCF15F-16DE-4CAA-B867-585152D4ACB4}">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0767175A-2150-47D7-96ED-D91D83185A70}">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BB1F905A-1EC9-4F7F-AAA0-5CF34EAB71CB}">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74E3370B-2637-4BB2-BC4D-B7F8A7DB3968}">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A95F756E-C4EF-418B-AB98-9F61735958D6}">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CCFBC504-A20B-4C92-9556-AAB75492E2D3}">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FA3C38B4-2562-442F-BAE1-E863F6C8CF88}">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1FA99D69-2BD3-40AB-9DA3-37B6DFB9FA3A}">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FEAD7DF5-5963-4C58-A432-B4A3DC5BA906}">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92E621F3-F2B1-42CB-B514-68BF8941423C}">
            <x14:dataBar minLength="0" maxLength="100" gradient="0">
              <x14:cfvo type="autoMin"/>
              <x14:cfvo type="autoMax"/>
              <x14:negativeFillColor rgb="FFFF0000"/>
              <x14:axisColor rgb="FF000000"/>
            </x14:dataBar>
          </x14:cfRule>
          <xm:sqref>C35:D35</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35"/>
  <sheetViews>
    <sheetView zoomScale="70" zoomScaleNormal="70" workbookViewId="0">
      <selection activeCell="I16" sqref="H16:I16"/>
    </sheetView>
  </sheetViews>
  <sheetFormatPr baseColWidth="10" defaultColWidth="11.42578125" defaultRowHeight="15" x14ac:dyDescent="0.25"/>
  <cols>
    <col min="1" max="1" width="7.28515625" style="1" customWidth="1"/>
    <col min="2" max="2" width="105.140625" style="1" customWidth="1"/>
    <col min="3" max="3" width="11.42578125" style="1"/>
    <col min="4" max="4" width="22.42578125" style="1" customWidth="1"/>
    <col min="5" max="9" width="17.28515625" style="1" customWidth="1"/>
    <col min="10" max="16384" width="11.42578125" style="1"/>
  </cols>
  <sheetData>
    <row r="1" spans="1:16" ht="61.5" customHeight="1" x14ac:dyDescent="0.25">
      <c r="A1" s="52" t="s">
        <v>1</v>
      </c>
      <c r="B1" s="27" t="s">
        <v>26</v>
      </c>
      <c r="C1" s="12" t="s">
        <v>2</v>
      </c>
      <c r="D1" s="12" t="s">
        <v>3</v>
      </c>
      <c r="E1" s="12" t="s">
        <v>4</v>
      </c>
      <c r="F1" s="12" t="s">
        <v>5</v>
      </c>
      <c r="G1" s="12" t="s">
        <v>6</v>
      </c>
      <c r="H1" s="12" t="s">
        <v>7</v>
      </c>
      <c r="I1" s="12" t="s">
        <v>8</v>
      </c>
      <c r="J1" s="12" t="s">
        <v>9</v>
      </c>
      <c r="K1" s="12" t="s">
        <v>10</v>
      </c>
      <c r="L1" s="12" t="s">
        <v>11</v>
      </c>
      <c r="M1" s="12" t="s">
        <v>12</v>
      </c>
      <c r="N1" s="12" t="s">
        <v>13</v>
      </c>
      <c r="O1" s="12" t="s">
        <v>14</v>
      </c>
      <c r="P1" s="12" t="s">
        <v>15</v>
      </c>
    </row>
    <row r="2" spans="1:16" s="3" customFormat="1" ht="15.75" thickBot="1" x14ac:dyDescent="0.3">
      <c r="A2" s="53"/>
      <c r="B2" s="27"/>
      <c r="C2" s="2">
        <v>2026</v>
      </c>
      <c r="D2" s="2" t="s">
        <v>16</v>
      </c>
      <c r="E2" s="30"/>
      <c r="F2" s="30"/>
      <c r="G2" s="30"/>
      <c r="H2" s="30"/>
      <c r="I2" s="30"/>
      <c r="J2" s="30"/>
      <c r="K2" s="30"/>
      <c r="L2" s="30"/>
      <c r="M2" s="30"/>
      <c r="N2" s="30"/>
      <c r="O2" s="30"/>
      <c r="P2" s="30"/>
    </row>
    <row r="3" spans="1:16" ht="81" customHeight="1" thickBot="1" x14ac:dyDescent="0.3">
      <c r="A3" s="31" t="s">
        <v>18</v>
      </c>
      <c r="B3" s="4" t="s">
        <v>17</v>
      </c>
      <c r="C3" s="6">
        <v>2</v>
      </c>
      <c r="D3" s="28">
        <f t="shared" ref="D3:D5" si="0">SUM(E3:P3)</f>
        <v>1</v>
      </c>
      <c r="E3" s="32"/>
      <c r="F3" s="32">
        <v>1</v>
      </c>
      <c r="G3" s="32"/>
      <c r="H3" s="32"/>
      <c r="I3" s="32"/>
      <c r="J3" s="32"/>
      <c r="K3" s="32"/>
      <c r="L3" s="32"/>
      <c r="M3" s="32"/>
      <c r="N3" s="32"/>
      <c r="O3" s="32"/>
      <c r="P3" s="32"/>
    </row>
    <row r="4" spans="1:16" ht="81" customHeight="1" thickBot="1" x14ac:dyDescent="0.3">
      <c r="A4" s="33" t="s">
        <v>20</v>
      </c>
      <c r="B4" s="7" t="s">
        <v>19</v>
      </c>
      <c r="C4" s="34">
        <v>2</v>
      </c>
      <c r="D4" s="28">
        <f t="shared" si="0"/>
        <v>1</v>
      </c>
      <c r="E4" s="32">
        <v>0</v>
      </c>
      <c r="F4" s="32">
        <v>0</v>
      </c>
      <c r="G4" s="32">
        <v>0</v>
      </c>
      <c r="H4" s="32">
        <v>1</v>
      </c>
      <c r="I4" s="32"/>
      <c r="J4" s="32"/>
      <c r="K4" s="32"/>
      <c r="L4" s="32"/>
      <c r="M4" s="32"/>
      <c r="N4" s="32"/>
      <c r="O4" s="32"/>
      <c r="P4" s="32"/>
    </row>
    <row r="5" spans="1:16" ht="81" customHeight="1" thickBot="1" x14ac:dyDescent="0.3">
      <c r="A5" s="31" t="s">
        <v>18</v>
      </c>
      <c r="B5" s="9" t="s">
        <v>21</v>
      </c>
      <c r="C5" s="35">
        <v>1</v>
      </c>
      <c r="D5" s="28">
        <f t="shared" si="0"/>
        <v>0</v>
      </c>
      <c r="E5" s="32"/>
      <c r="F5" s="32"/>
      <c r="G5" s="32"/>
      <c r="H5" s="32"/>
      <c r="I5" s="32"/>
      <c r="J5" s="32"/>
      <c r="K5" s="32"/>
      <c r="L5" s="32"/>
      <c r="M5" s="32"/>
      <c r="N5" s="32"/>
      <c r="O5" s="32"/>
      <c r="P5" s="32"/>
    </row>
    <row r="6" spans="1:16" ht="28.5" customHeight="1" x14ac:dyDescent="0.25">
      <c r="A6" s="54" t="s">
        <v>55</v>
      </c>
      <c r="B6" s="38" t="s">
        <v>56</v>
      </c>
      <c r="C6" s="37">
        <v>3</v>
      </c>
      <c r="D6" s="28">
        <f t="shared" ref="D6:D33" si="1">SUM(E6:O6)</f>
        <v>6</v>
      </c>
      <c r="E6" s="32"/>
      <c r="F6" s="32">
        <v>3</v>
      </c>
      <c r="G6" s="32"/>
      <c r="H6" s="32">
        <v>3</v>
      </c>
      <c r="I6" s="32"/>
      <c r="J6" s="32"/>
      <c r="K6" s="32"/>
      <c r="L6" s="32"/>
      <c r="M6" s="32"/>
      <c r="N6" s="32"/>
      <c r="O6" s="32"/>
      <c r="P6" s="39"/>
    </row>
    <row r="7" spans="1:16" ht="28.5" customHeight="1" x14ac:dyDescent="0.25">
      <c r="A7" s="55"/>
      <c r="B7" s="38" t="s">
        <v>57</v>
      </c>
      <c r="C7" s="37">
        <v>3</v>
      </c>
      <c r="D7" s="28">
        <f t="shared" si="1"/>
        <v>0</v>
      </c>
      <c r="E7" s="32"/>
      <c r="F7" s="32"/>
      <c r="G7" s="32"/>
      <c r="H7" s="32"/>
      <c r="I7" s="32"/>
      <c r="J7" s="32"/>
      <c r="K7" s="32"/>
      <c r="L7" s="32"/>
      <c r="M7" s="32"/>
      <c r="N7" s="32"/>
      <c r="O7" s="32"/>
      <c r="P7" s="39"/>
    </row>
    <row r="8" spans="1:16" ht="28.5" customHeight="1" x14ac:dyDescent="0.25">
      <c r="A8" s="55"/>
      <c r="B8" s="38" t="s">
        <v>58</v>
      </c>
      <c r="C8" s="37">
        <v>64</v>
      </c>
      <c r="D8" s="28">
        <f t="shared" si="1"/>
        <v>15</v>
      </c>
      <c r="E8" s="32"/>
      <c r="F8" s="32"/>
      <c r="G8" s="32">
        <v>12</v>
      </c>
      <c r="H8" s="32"/>
      <c r="I8" s="32">
        <v>3</v>
      </c>
      <c r="J8" s="32"/>
      <c r="K8" s="32"/>
      <c r="L8" s="32"/>
      <c r="M8" s="32"/>
      <c r="N8" s="32"/>
      <c r="O8" s="32"/>
      <c r="P8" s="39"/>
    </row>
    <row r="9" spans="1:16" ht="28.5" customHeight="1" x14ac:dyDescent="0.25">
      <c r="A9" s="55"/>
      <c r="B9" s="38" t="s">
        <v>59</v>
      </c>
      <c r="C9" s="37">
        <v>25</v>
      </c>
      <c r="D9" s="28">
        <f t="shared" si="1"/>
        <v>9</v>
      </c>
      <c r="E9" s="32"/>
      <c r="F9" s="32"/>
      <c r="G9" s="32">
        <v>7</v>
      </c>
      <c r="H9" s="32">
        <v>2</v>
      </c>
      <c r="I9" s="32"/>
      <c r="J9" s="32"/>
      <c r="K9" s="32"/>
      <c r="L9" s="32"/>
      <c r="M9" s="32"/>
      <c r="N9" s="32"/>
      <c r="O9" s="32"/>
      <c r="P9" s="39"/>
    </row>
    <row r="10" spans="1:16" ht="28.5" customHeight="1" x14ac:dyDescent="0.25">
      <c r="A10" s="55"/>
      <c r="B10" s="38" t="s">
        <v>60</v>
      </c>
      <c r="C10" s="37">
        <v>1</v>
      </c>
      <c r="D10" s="28">
        <f t="shared" si="1"/>
        <v>1</v>
      </c>
      <c r="E10" s="32"/>
      <c r="F10" s="32">
        <v>1</v>
      </c>
      <c r="G10" s="32"/>
      <c r="H10" s="32"/>
      <c r="I10" s="32"/>
      <c r="J10" s="32"/>
      <c r="K10" s="32"/>
      <c r="L10" s="32"/>
      <c r="M10" s="32"/>
      <c r="N10" s="32"/>
      <c r="O10" s="32"/>
      <c r="P10" s="39"/>
    </row>
    <row r="11" spans="1:16" ht="28.5" customHeight="1" x14ac:dyDescent="0.25">
      <c r="A11" s="55"/>
      <c r="B11" s="38" t="s">
        <v>61</v>
      </c>
      <c r="C11" s="37">
        <v>6</v>
      </c>
      <c r="D11" s="28">
        <f t="shared" si="1"/>
        <v>3</v>
      </c>
      <c r="E11" s="32"/>
      <c r="F11" s="32"/>
      <c r="G11" s="32"/>
      <c r="H11" s="32"/>
      <c r="I11" s="32">
        <v>3</v>
      </c>
      <c r="J11" s="32"/>
      <c r="K11" s="32"/>
      <c r="L11" s="32"/>
      <c r="M11" s="32"/>
      <c r="N11" s="32"/>
      <c r="O11" s="32"/>
      <c r="P11" s="39"/>
    </row>
    <row r="12" spans="1:16" ht="28.5" customHeight="1" x14ac:dyDescent="0.25">
      <c r="A12" s="55"/>
      <c r="B12" s="38" t="s">
        <v>62</v>
      </c>
      <c r="C12" s="37">
        <v>0</v>
      </c>
      <c r="D12" s="28">
        <f t="shared" si="1"/>
        <v>0</v>
      </c>
      <c r="E12" s="32"/>
      <c r="F12" s="32"/>
      <c r="G12" s="32"/>
      <c r="H12" s="32"/>
      <c r="I12" s="32"/>
      <c r="J12" s="32"/>
      <c r="K12" s="32"/>
      <c r="L12" s="32"/>
      <c r="M12" s="32"/>
      <c r="N12" s="32"/>
      <c r="O12" s="32"/>
      <c r="P12" s="39"/>
    </row>
    <row r="13" spans="1:16" ht="28.5" customHeight="1" x14ac:dyDescent="0.25">
      <c r="A13" s="55"/>
      <c r="B13" s="38" t="s">
        <v>63</v>
      </c>
      <c r="C13" s="37">
        <v>6</v>
      </c>
      <c r="D13" s="28">
        <f t="shared" si="1"/>
        <v>3</v>
      </c>
      <c r="E13" s="32"/>
      <c r="F13" s="32">
        <v>1</v>
      </c>
      <c r="G13" s="32">
        <v>1</v>
      </c>
      <c r="H13" s="32"/>
      <c r="I13" s="32">
        <v>1</v>
      </c>
      <c r="J13" s="32"/>
      <c r="K13" s="32"/>
      <c r="L13" s="32"/>
      <c r="M13" s="32"/>
      <c r="N13" s="32"/>
      <c r="O13" s="32"/>
      <c r="P13" s="39"/>
    </row>
    <row r="14" spans="1:16" ht="28.5" customHeight="1" x14ac:dyDescent="0.25">
      <c r="A14" s="55"/>
      <c r="B14" s="38" t="s">
        <v>64</v>
      </c>
      <c r="C14" s="37">
        <v>1</v>
      </c>
      <c r="D14" s="28">
        <f t="shared" si="1"/>
        <v>0</v>
      </c>
      <c r="E14" s="32"/>
      <c r="F14" s="32"/>
      <c r="G14" s="32"/>
      <c r="H14" s="32"/>
      <c r="I14" s="32"/>
      <c r="J14" s="32"/>
      <c r="K14" s="32"/>
      <c r="L14" s="32"/>
      <c r="M14" s="32"/>
      <c r="N14" s="32"/>
      <c r="O14" s="32"/>
      <c r="P14" s="39"/>
    </row>
    <row r="15" spans="1:16" ht="28.5" customHeight="1" x14ac:dyDescent="0.25">
      <c r="A15" s="55"/>
      <c r="B15" s="38" t="s">
        <v>65</v>
      </c>
      <c r="C15" s="37">
        <v>3</v>
      </c>
      <c r="D15" s="28">
        <f t="shared" si="1"/>
        <v>2</v>
      </c>
      <c r="E15" s="32"/>
      <c r="F15" s="32"/>
      <c r="G15" s="32"/>
      <c r="H15" s="32">
        <v>2</v>
      </c>
      <c r="I15" s="32"/>
      <c r="J15" s="32"/>
      <c r="K15" s="32"/>
      <c r="L15" s="32"/>
      <c r="M15" s="32"/>
      <c r="N15" s="32"/>
      <c r="O15" s="32"/>
      <c r="P15" s="39"/>
    </row>
    <row r="16" spans="1:16" ht="28.5" customHeight="1" x14ac:dyDescent="0.25">
      <c r="A16" s="55"/>
      <c r="B16" s="38" t="s">
        <v>66</v>
      </c>
      <c r="C16" s="37">
        <v>5</v>
      </c>
      <c r="D16" s="28">
        <f t="shared" si="1"/>
        <v>0</v>
      </c>
      <c r="E16" s="32"/>
      <c r="F16" s="32"/>
      <c r="G16" s="32"/>
      <c r="H16" s="32"/>
      <c r="I16" s="32"/>
      <c r="J16" s="32"/>
      <c r="K16" s="32"/>
      <c r="L16" s="32"/>
      <c r="M16" s="32"/>
      <c r="N16" s="32"/>
      <c r="O16" s="32"/>
      <c r="P16" s="39"/>
    </row>
    <row r="17" spans="1:16" ht="28.5" customHeight="1" x14ac:dyDescent="0.25">
      <c r="A17" s="55"/>
      <c r="B17" s="38" t="s">
        <v>67</v>
      </c>
      <c r="C17" s="37">
        <v>0</v>
      </c>
      <c r="D17" s="28">
        <f t="shared" si="1"/>
        <v>0</v>
      </c>
      <c r="E17" s="32"/>
      <c r="F17" s="32"/>
      <c r="G17" s="32"/>
      <c r="H17" s="32"/>
      <c r="I17" s="32"/>
      <c r="J17" s="32"/>
      <c r="K17" s="32"/>
      <c r="L17" s="32"/>
      <c r="M17" s="32"/>
      <c r="N17" s="32"/>
      <c r="O17" s="32"/>
      <c r="P17" s="39"/>
    </row>
    <row r="18" spans="1:16" ht="28.5" customHeight="1" x14ac:dyDescent="0.25">
      <c r="A18" s="55"/>
      <c r="B18" s="38" t="s">
        <v>68</v>
      </c>
      <c r="C18" s="37">
        <v>1</v>
      </c>
      <c r="D18" s="28">
        <f t="shared" si="1"/>
        <v>1</v>
      </c>
      <c r="E18" s="32"/>
      <c r="F18" s="32">
        <v>1</v>
      </c>
      <c r="G18" s="32"/>
      <c r="H18" s="32"/>
      <c r="I18" s="32"/>
      <c r="J18" s="32"/>
      <c r="K18" s="32"/>
      <c r="L18" s="32"/>
      <c r="M18" s="32"/>
      <c r="N18" s="32"/>
      <c r="O18" s="32"/>
      <c r="P18" s="39"/>
    </row>
    <row r="19" spans="1:16" ht="28.5" customHeight="1" x14ac:dyDescent="0.25">
      <c r="A19" s="55"/>
      <c r="B19" s="38" t="s">
        <v>69</v>
      </c>
      <c r="C19" s="37">
        <v>0</v>
      </c>
      <c r="D19" s="28">
        <f t="shared" si="1"/>
        <v>0</v>
      </c>
      <c r="E19" s="32"/>
      <c r="F19" s="32"/>
      <c r="G19" s="32"/>
      <c r="H19" s="32"/>
      <c r="I19" s="32"/>
      <c r="J19" s="32"/>
      <c r="K19" s="32"/>
      <c r="L19" s="32"/>
      <c r="M19" s="32"/>
      <c r="N19" s="32"/>
      <c r="O19" s="32"/>
      <c r="P19" s="39"/>
    </row>
    <row r="20" spans="1:16" ht="28.5" customHeight="1" x14ac:dyDescent="0.25">
      <c r="A20" s="55"/>
      <c r="B20" s="38" t="s">
        <v>70</v>
      </c>
      <c r="C20" s="37">
        <v>164</v>
      </c>
      <c r="D20" s="28">
        <f t="shared" si="1"/>
        <v>51</v>
      </c>
      <c r="E20" s="32"/>
      <c r="F20" s="32">
        <v>2</v>
      </c>
      <c r="G20" s="32">
        <v>41</v>
      </c>
      <c r="H20" s="32">
        <v>1</v>
      </c>
      <c r="I20" s="32">
        <v>6</v>
      </c>
      <c r="J20" s="32">
        <v>1</v>
      </c>
      <c r="K20" s="32"/>
      <c r="L20" s="32"/>
      <c r="M20" s="32"/>
      <c r="N20" s="32"/>
      <c r="O20" s="32"/>
      <c r="P20" s="39"/>
    </row>
    <row r="21" spans="1:16" ht="28.5" customHeight="1" x14ac:dyDescent="0.25">
      <c r="A21" s="55"/>
      <c r="B21" s="38" t="s">
        <v>71</v>
      </c>
      <c r="C21" s="37">
        <v>2</v>
      </c>
      <c r="D21" s="28">
        <f t="shared" si="1"/>
        <v>1</v>
      </c>
      <c r="E21" s="32"/>
      <c r="F21" s="32">
        <v>1</v>
      </c>
      <c r="G21" s="32"/>
      <c r="H21" s="32"/>
      <c r="I21" s="32"/>
      <c r="J21" s="32"/>
      <c r="K21" s="32"/>
      <c r="L21" s="32"/>
      <c r="M21" s="32"/>
      <c r="N21" s="32"/>
      <c r="O21" s="32"/>
      <c r="P21" s="39"/>
    </row>
    <row r="22" spans="1:16" ht="24" customHeight="1" x14ac:dyDescent="0.25">
      <c r="A22" s="55"/>
      <c r="B22" s="40" t="s">
        <v>72</v>
      </c>
      <c r="C22" s="37">
        <v>7</v>
      </c>
      <c r="D22" s="28">
        <f t="shared" si="1"/>
        <v>7</v>
      </c>
      <c r="E22" s="32"/>
      <c r="F22" s="32">
        <v>2</v>
      </c>
      <c r="G22" s="32">
        <v>3</v>
      </c>
      <c r="H22" s="32">
        <v>2</v>
      </c>
      <c r="I22" s="32"/>
      <c r="J22" s="32"/>
      <c r="K22" s="32"/>
      <c r="L22" s="32"/>
      <c r="M22" s="32"/>
      <c r="N22" s="32"/>
      <c r="O22" s="32"/>
      <c r="P22" s="39"/>
    </row>
    <row r="23" spans="1:16" ht="24" customHeight="1" x14ac:dyDescent="0.25">
      <c r="A23" s="55"/>
      <c r="B23" s="40" t="s">
        <v>73</v>
      </c>
      <c r="C23" s="37">
        <v>7</v>
      </c>
      <c r="D23" s="28">
        <f t="shared" si="1"/>
        <v>5</v>
      </c>
      <c r="E23" s="32"/>
      <c r="F23" s="32"/>
      <c r="G23" s="32">
        <v>1</v>
      </c>
      <c r="H23" s="32">
        <v>4</v>
      </c>
      <c r="I23" s="32"/>
      <c r="J23" s="32"/>
      <c r="K23" s="32"/>
      <c r="L23" s="32"/>
      <c r="M23" s="32"/>
      <c r="N23" s="32"/>
      <c r="O23" s="32"/>
      <c r="P23" s="39"/>
    </row>
    <row r="24" spans="1:16" ht="24" customHeight="1" x14ac:dyDescent="0.25">
      <c r="A24" s="55"/>
      <c r="B24" s="40" t="s">
        <v>74</v>
      </c>
      <c r="C24" s="37">
        <v>7</v>
      </c>
      <c r="D24" s="28">
        <f t="shared" si="1"/>
        <v>0</v>
      </c>
      <c r="E24" s="32"/>
      <c r="F24" s="32"/>
      <c r="G24" s="32"/>
      <c r="H24" s="32"/>
      <c r="I24" s="32"/>
      <c r="J24" s="32"/>
      <c r="K24" s="32"/>
      <c r="L24" s="32"/>
      <c r="M24" s="32"/>
      <c r="N24" s="32"/>
      <c r="O24" s="32"/>
      <c r="P24" s="39"/>
    </row>
    <row r="25" spans="1:16" ht="24" customHeight="1" x14ac:dyDescent="0.25">
      <c r="A25" s="55"/>
      <c r="B25" s="40" t="s">
        <v>75</v>
      </c>
      <c r="C25" s="37">
        <v>7</v>
      </c>
      <c r="D25" s="28">
        <f t="shared" si="1"/>
        <v>0</v>
      </c>
      <c r="E25" s="32"/>
      <c r="F25" s="32"/>
      <c r="G25" s="32"/>
      <c r="H25" s="32"/>
      <c r="I25" s="32"/>
      <c r="J25" s="32"/>
      <c r="K25" s="32"/>
      <c r="L25" s="32"/>
      <c r="M25" s="32"/>
      <c r="N25" s="32"/>
      <c r="O25" s="32"/>
      <c r="P25" s="39"/>
    </row>
    <row r="26" spans="1:16" ht="24" customHeight="1" x14ac:dyDescent="0.25">
      <c r="A26" s="55"/>
      <c r="B26" s="40" t="s">
        <v>76</v>
      </c>
      <c r="C26" s="37">
        <v>7</v>
      </c>
      <c r="D26" s="28">
        <f t="shared" si="1"/>
        <v>0</v>
      </c>
      <c r="E26" s="32"/>
      <c r="F26" s="32"/>
      <c r="G26" s="32"/>
      <c r="H26" s="32"/>
      <c r="I26" s="32"/>
      <c r="J26" s="32"/>
      <c r="K26" s="32"/>
      <c r="L26" s="32"/>
      <c r="M26" s="32"/>
      <c r="N26" s="32"/>
      <c r="O26" s="32"/>
      <c r="P26" s="39"/>
    </row>
    <row r="27" spans="1:16" ht="24" customHeight="1" x14ac:dyDescent="0.25">
      <c r="A27" s="55"/>
      <c r="B27" s="40" t="s">
        <v>77</v>
      </c>
      <c r="C27" s="37">
        <v>1</v>
      </c>
      <c r="D27" s="28">
        <f t="shared" si="1"/>
        <v>0</v>
      </c>
      <c r="E27" s="32"/>
      <c r="F27" s="32"/>
      <c r="G27" s="32"/>
      <c r="H27" s="32"/>
      <c r="I27" s="32"/>
      <c r="J27" s="32"/>
      <c r="K27" s="32"/>
      <c r="L27" s="32"/>
      <c r="M27" s="32"/>
      <c r="N27" s="32"/>
      <c r="O27" s="32"/>
      <c r="P27" s="39"/>
    </row>
    <row r="28" spans="1:16" ht="24" customHeight="1" x14ac:dyDescent="0.25">
      <c r="A28" s="55"/>
      <c r="B28" s="40" t="s">
        <v>78</v>
      </c>
      <c r="C28" s="37">
        <v>1</v>
      </c>
      <c r="D28" s="28">
        <f t="shared" si="1"/>
        <v>0</v>
      </c>
      <c r="E28" s="32"/>
      <c r="F28" s="32"/>
      <c r="G28" s="32"/>
      <c r="H28" s="32"/>
      <c r="I28" s="32"/>
      <c r="J28" s="32"/>
      <c r="K28" s="32"/>
      <c r="L28" s="32"/>
      <c r="M28" s="32"/>
      <c r="N28" s="32"/>
      <c r="O28" s="32"/>
      <c r="P28" s="39"/>
    </row>
    <row r="29" spans="1:16" ht="24" customHeight="1" x14ac:dyDescent="0.25">
      <c r="A29" s="55"/>
      <c r="B29" s="40" t="s">
        <v>79</v>
      </c>
      <c r="C29" s="37">
        <v>1</v>
      </c>
      <c r="D29" s="28">
        <f t="shared" si="1"/>
        <v>0</v>
      </c>
      <c r="E29" s="32"/>
      <c r="F29" s="32"/>
      <c r="G29" s="32"/>
      <c r="H29" s="32"/>
      <c r="I29" s="32"/>
      <c r="J29" s="32"/>
      <c r="K29" s="32"/>
      <c r="L29" s="32"/>
      <c r="M29" s="32"/>
      <c r="N29" s="32"/>
      <c r="O29" s="32"/>
      <c r="P29" s="39"/>
    </row>
    <row r="30" spans="1:16" ht="24" customHeight="1" x14ac:dyDescent="0.25">
      <c r="A30" s="55"/>
      <c r="B30" s="40" t="s">
        <v>80</v>
      </c>
      <c r="C30" s="37">
        <v>1</v>
      </c>
      <c r="D30" s="28">
        <f t="shared" si="1"/>
        <v>0</v>
      </c>
      <c r="E30" s="32"/>
      <c r="F30" s="32"/>
      <c r="G30" s="32"/>
      <c r="H30" s="32"/>
      <c r="I30" s="32"/>
      <c r="J30" s="32"/>
      <c r="K30" s="32"/>
      <c r="L30" s="32"/>
      <c r="M30" s="32"/>
      <c r="N30" s="32"/>
      <c r="O30" s="32"/>
      <c r="P30" s="39"/>
    </row>
    <row r="31" spans="1:16" ht="24" customHeight="1" x14ac:dyDescent="0.25">
      <c r="A31" s="55"/>
      <c r="B31" s="40" t="s">
        <v>81</v>
      </c>
      <c r="C31" s="37">
        <v>1</v>
      </c>
      <c r="D31" s="28">
        <f t="shared" si="1"/>
        <v>0</v>
      </c>
      <c r="E31" s="32"/>
      <c r="F31" s="32"/>
      <c r="G31" s="32"/>
      <c r="H31" s="32"/>
      <c r="I31" s="32"/>
      <c r="J31" s="32"/>
      <c r="K31" s="32"/>
      <c r="L31" s="32"/>
      <c r="M31" s="32"/>
      <c r="N31" s="32"/>
      <c r="O31" s="32"/>
      <c r="P31" s="39"/>
    </row>
    <row r="32" spans="1:16" ht="24" customHeight="1" x14ac:dyDescent="0.25">
      <c r="A32" s="55"/>
      <c r="B32" s="40" t="s">
        <v>82</v>
      </c>
      <c r="C32" s="37">
        <v>1</v>
      </c>
      <c r="D32" s="28">
        <f t="shared" si="1"/>
        <v>0</v>
      </c>
      <c r="E32" s="32"/>
      <c r="F32" s="32"/>
      <c r="G32" s="32"/>
      <c r="H32" s="32"/>
      <c r="I32" s="32"/>
      <c r="J32" s="32"/>
      <c r="K32" s="32"/>
      <c r="L32" s="32"/>
      <c r="M32" s="32"/>
      <c r="N32" s="32"/>
      <c r="O32" s="32"/>
      <c r="P32" s="39"/>
    </row>
    <row r="33" spans="1:16" ht="24" customHeight="1" thickBot="1" x14ac:dyDescent="0.3">
      <c r="A33" s="56"/>
      <c r="B33" s="41" t="s">
        <v>83</v>
      </c>
      <c r="C33" s="37">
        <v>1</v>
      </c>
      <c r="D33" s="28">
        <f t="shared" si="1"/>
        <v>0</v>
      </c>
      <c r="E33" s="32"/>
      <c r="F33" s="32"/>
      <c r="G33" s="32"/>
      <c r="H33" s="32"/>
      <c r="I33" s="32"/>
      <c r="J33" s="32"/>
      <c r="K33" s="32"/>
      <c r="L33" s="32"/>
      <c r="M33" s="32"/>
      <c r="N33" s="32"/>
      <c r="O33" s="32"/>
      <c r="P33" s="39"/>
    </row>
    <row r="34" spans="1:16" x14ac:dyDescent="0.25">
      <c r="C34" s="42">
        <f>SUM(C3:C33)</f>
        <v>331</v>
      </c>
      <c r="D34" s="43">
        <f>SUM(D3:D33)</f>
        <v>106</v>
      </c>
    </row>
    <row r="35" spans="1:16" x14ac:dyDescent="0.25">
      <c r="C35" s="11"/>
      <c r="D35" s="44">
        <f>D34/C34</f>
        <v>0.3202416918429003</v>
      </c>
    </row>
  </sheetData>
  <sheetProtection algorithmName="SHA-512" hashValue="2MuXdNMHByJHwNJzZDUhTndoVBLXpoGUOPcsBCmnMtpA2J0RVKteY6ji0ECq4mgaYNIJg0Ld68fgt2OXODFQFA==" saltValue="9QEv5+PzPk2mZOolwz8XrQ==" spinCount="100000" sheet="1" objects="1" scenarios="1" autoFilter="0"/>
  <mergeCells count="2">
    <mergeCell ref="A1:A2"/>
    <mergeCell ref="A6:A33"/>
  </mergeCells>
  <conditionalFormatting sqref="C3:D3 D4:D5">
    <cfRule type="dataBar" priority="45">
      <dataBar>
        <cfvo type="min"/>
        <cfvo type="max"/>
        <color rgb="FF008AEF"/>
      </dataBar>
      <extLst>
        <ext xmlns:x14="http://schemas.microsoft.com/office/spreadsheetml/2009/9/main" uri="{B025F937-C7B1-47D3-B67F-A62EFF666E3E}">
          <x14:id>{AAD20962-018D-4F2F-9522-FC988814489E}</x14:id>
        </ext>
      </extLst>
    </cfRule>
  </conditionalFormatting>
  <conditionalFormatting sqref="C4:D4">
    <cfRule type="dataBar" priority="4">
      <dataBar>
        <cfvo type="min"/>
        <cfvo type="max"/>
        <color rgb="FF008AEF"/>
      </dataBar>
      <extLst>
        <ext xmlns:x14="http://schemas.microsoft.com/office/spreadsheetml/2009/9/main" uri="{B025F937-C7B1-47D3-B67F-A62EFF666E3E}">
          <x14:id>{F3B165D3-471D-4C7F-9652-43D974CB771B}</x14:id>
        </ext>
      </extLst>
    </cfRule>
  </conditionalFormatting>
  <conditionalFormatting sqref="C5:D5">
    <cfRule type="dataBar" priority="5">
      <dataBar>
        <cfvo type="min"/>
        <cfvo type="max"/>
        <color rgb="FF008AEF"/>
      </dataBar>
      <extLst>
        <ext xmlns:x14="http://schemas.microsoft.com/office/spreadsheetml/2009/9/main" uri="{B025F937-C7B1-47D3-B67F-A62EFF666E3E}">
          <x14:id>{FFCBA444-B7CD-449C-B066-8DFE3E641ECC}</x14:id>
        </ext>
      </extLst>
    </cfRule>
  </conditionalFormatting>
  <conditionalFormatting sqref="C6:D6">
    <cfRule type="dataBar" priority="12">
      <dataBar>
        <cfvo type="min"/>
        <cfvo type="max"/>
        <color rgb="FF008AEF"/>
      </dataBar>
      <extLst>
        <ext xmlns:x14="http://schemas.microsoft.com/office/spreadsheetml/2009/9/main" uri="{B025F937-C7B1-47D3-B67F-A62EFF666E3E}">
          <x14:id>{0CDF3BBA-40BC-4E9C-865D-ED2FB42BB400}</x14:id>
        </ext>
      </extLst>
    </cfRule>
  </conditionalFormatting>
  <conditionalFormatting sqref="C7:D7">
    <cfRule type="dataBar" priority="39">
      <dataBar>
        <cfvo type="min"/>
        <cfvo type="max"/>
        <color rgb="FF008AEF"/>
      </dataBar>
      <extLst>
        <ext xmlns:x14="http://schemas.microsoft.com/office/spreadsheetml/2009/9/main" uri="{B025F937-C7B1-47D3-B67F-A62EFF666E3E}">
          <x14:id>{C12949F0-EE98-47D6-88B7-1DA5C32D698E}</x14:id>
        </ext>
      </extLst>
    </cfRule>
  </conditionalFormatting>
  <conditionalFormatting sqref="C8:D8">
    <cfRule type="dataBar" priority="38">
      <dataBar>
        <cfvo type="min"/>
        <cfvo type="max"/>
        <color rgb="FF008AEF"/>
      </dataBar>
      <extLst>
        <ext xmlns:x14="http://schemas.microsoft.com/office/spreadsheetml/2009/9/main" uri="{B025F937-C7B1-47D3-B67F-A62EFF666E3E}">
          <x14:id>{024E2DF3-3D57-4B96-A68D-5F098D4BEAE7}</x14:id>
        </ext>
      </extLst>
    </cfRule>
  </conditionalFormatting>
  <conditionalFormatting sqref="C9:D9">
    <cfRule type="dataBar" priority="37">
      <dataBar>
        <cfvo type="min"/>
        <cfvo type="max"/>
        <color rgb="FF008AEF"/>
      </dataBar>
      <extLst>
        <ext xmlns:x14="http://schemas.microsoft.com/office/spreadsheetml/2009/9/main" uri="{B025F937-C7B1-47D3-B67F-A62EFF666E3E}">
          <x14:id>{F122BB42-CB96-49A5-9C7B-492DC15DA783}</x14:id>
        </ext>
      </extLst>
    </cfRule>
  </conditionalFormatting>
  <conditionalFormatting sqref="C10:D10">
    <cfRule type="dataBar" priority="36">
      <dataBar>
        <cfvo type="min"/>
        <cfvo type="max"/>
        <color rgb="FF008AEF"/>
      </dataBar>
      <extLst>
        <ext xmlns:x14="http://schemas.microsoft.com/office/spreadsheetml/2009/9/main" uri="{B025F937-C7B1-47D3-B67F-A62EFF666E3E}">
          <x14:id>{D6B4453C-5081-4C13-9FCE-59B8AC8CF8F1}</x14:id>
        </ext>
      </extLst>
    </cfRule>
  </conditionalFormatting>
  <conditionalFormatting sqref="C11:D11">
    <cfRule type="dataBar" priority="35">
      <dataBar>
        <cfvo type="min"/>
        <cfvo type="max"/>
        <color rgb="FF008AEF"/>
      </dataBar>
      <extLst>
        <ext xmlns:x14="http://schemas.microsoft.com/office/spreadsheetml/2009/9/main" uri="{B025F937-C7B1-47D3-B67F-A62EFF666E3E}">
          <x14:id>{B6172525-4911-4CE0-B641-B3F0A2A605A0}</x14:id>
        </ext>
      </extLst>
    </cfRule>
  </conditionalFormatting>
  <conditionalFormatting sqref="C12:D12">
    <cfRule type="dataBar" priority="34">
      <dataBar>
        <cfvo type="min"/>
        <cfvo type="max"/>
        <color rgb="FF008AEF"/>
      </dataBar>
      <extLst>
        <ext xmlns:x14="http://schemas.microsoft.com/office/spreadsheetml/2009/9/main" uri="{B025F937-C7B1-47D3-B67F-A62EFF666E3E}">
          <x14:id>{BB0E2396-A6D7-44E3-A691-20952DD380FC}</x14:id>
        </ext>
      </extLst>
    </cfRule>
  </conditionalFormatting>
  <conditionalFormatting sqref="C13:D13">
    <cfRule type="dataBar" priority="33">
      <dataBar>
        <cfvo type="min"/>
        <cfvo type="max"/>
        <color rgb="FF008AEF"/>
      </dataBar>
      <extLst>
        <ext xmlns:x14="http://schemas.microsoft.com/office/spreadsheetml/2009/9/main" uri="{B025F937-C7B1-47D3-B67F-A62EFF666E3E}">
          <x14:id>{46B9D166-F78C-4099-9FA0-FE9BB4D30DD4}</x14:id>
        </ext>
      </extLst>
    </cfRule>
  </conditionalFormatting>
  <conditionalFormatting sqref="C14:D14">
    <cfRule type="dataBar" priority="32">
      <dataBar>
        <cfvo type="min"/>
        <cfvo type="max"/>
        <color rgb="FF008AEF"/>
      </dataBar>
      <extLst>
        <ext xmlns:x14="http://schemas.microsoft.com/office/spreadsheetml/2009/9/main" uri="{B025F937-C7B1-47D3-B67F-A62EFF666E3E}">
          <x14:id>{D2A09DC4-FAC6-466D-AAD7-8B569AE1ED74}</x14:id>
        </ext>
      </extLst>
    </cfRule>
  </conditionalFormatting>
  <conditionalFormatting sqref="C15:D15">
    <cfRule type="dataBar" priority="31">
      <dataBar>
        <cfvo type="min"/>
        <cfvo type="max"/>
        <color rgb="FF008AEF"/>
      </dataBar>
      <extLst>
        <ext xmlns:x14="http://schemas.microsoft.com/office/spreadsheetml/2009/9/main" uri="{B025F937-C7B1-47D3-B67F-A62EFF666E3E}">
          <x14:id>{D004CDF5-098D-471E-B370-0A4C07A02E7D}</x14:id>
        </ext>
      </extLst>
    </cfRule>
  </conditionalFormatting>
  <conditionalFormatting sqref="C16:D16">
    <cfRule type="dataBar" priority="30">
      <dataBar>
        <cfvo type="min"/>
        <cfvo type="max"/>
        <color rgb="FF008AEF"/>
      </dataBar>
      <extLst>
        <ext xmlns:x14="http://schemas.microsoft.com/office/spreadsheetml/2009/9/main" uri="{B025F937-C7B1-47D3-B67F-A62EFF666E3E}">
          <x14:id>{FFCF6968-A756-4A20-B80C-5DB4B620F7F3}</x14:id>
        </ext>
      </extLst>
    </cfRule>
  </conditionalFormatting>
  <conditionalFormatting sqref="C17:D17">
    <cfRule type="dataBar" priority="29">
      <dataBar>
        <cfvo type="min"/>
        <cfvo type="max"/>
        <color rgb="FF008AEF"/>
      </dataBar>
      <extLst>
        <ext xmlns:x14="http://schemas.microsoft.com/office/spreadsheetml/2009/9/main" uri="{B025F937-C7B1-47D3-B67F-A62EFF666E3E}">
          <x14:id>{92CAF2E2-55D4-472D-B581-A8634964E020}</x14:id>
        </ext>
      </extLst>
    </cfRule>
  </conditionalFormatting>
  <conditionalFormatting sqref="C18:D18">
    <cfRule type="dataBar" priority="28">
      <dataBar>
        <cfvo type="min"/>
        <cfvo type="max"/>
        <color rgb="FF008AEF"/>
      </dataBar>
      <extLst>
        <ext xmlns:x14="http://schemas.microsoft.com/office/spreadsheetml/2009/9/main" uri="{B025F937-C7B1-47D3-B67F-A62EFF666E3E}">
          <x14:id>{DC6541EE-BC69-45FF-8D2C-857A11EBE42A}</x14:id>
        </ext>
      </extLst>
    </cfRule>
  </conditionalFormatting>
  <conditionalFormatting sqref="C19:D19">
    <cfRule type="dataBar" priority="27">
      <dataBar>
        <cfvo type="min"/>
        <cfvo type="max"/>
        <color rgb="FF008AEF"/>
      </dataBar>
      <extLst>
        <ext xmlns:x14="http://schemas.microsoft.com/office/spreadsheetml/2009/9/main" uri="{B025F937-C7B1-47D3-B67F-A62EFF666E3E}">
          <x14:id>{24DED35E-7DA8-4AEF-A661-374F094A085C}</x14:id>
        </ext>
      </extLst>
    </cfRule>
  </conditionalFormatting>
  <conditionalFormatting sqref="C20:D20">
    <cfRule type="dataBar" priority="26">
      <dataBar>
        <cfvo type="min"/>
        <cfvo type="max"/>
        <color rgb="FF008AEF"/>
      </dataBar>
      <extLst>
        <ext xmlns:x14="http://schemas.microsoft.com/office/spreadsheetml/2009/9/main" uri="{B025F937-C7B1-47D3-B67F-A62EFF666E3E}">
          <x14:id>{B5155C6B-C921-4421-945F-C9950D9F483A}</x14:id>
        </ext>
      </extLst>
    </cfRule>
  </conditionalFormatting>
  <conditionalFormatting sqref="C21:D21">
    <cfRule type="dataBar" priority="25">
      <dataBar>
        <cfvo type="min"/>
        <cfvo type="max"/>
        <color rgb="FF008AEF"/>
      </dataBar>
      <extLst>
        <ext xmlns:x14="http://schemas.microsoft.com/office/spreadsheetml/2009/9/main" uri="{B025F937-C7B1-47D3-B67F-A62EFF666E3E}">
          <x14:id>{11FB4444-AD40-4EFE-8EF8-0907C87397A9}</x14:id>
        </ext>
      </extLst>
    </cfRule>
  </conditionalFormatting>
  <conditionalFormatting sqref="C22:D22">
    <cfRule type="dataBar" priority="24">
      <dataBar>
        <cfvo type="min"/>
        <cfvo type="max"/>
        <color rgb="FF008AEF"/>
      </dataBar>
      <extLst>
        <ext xmlns:x14="http://schemas.microsoft.com/office/spreadsheetml/2009/9/main" uri="{B025F937-C7B1-47D3-B67F-A62EFF666E3E}">
          <x14:id>{E3EA4E45-5D1C-4DC7-B83A-F36C62B2C1FC}</x14:id>
        </ext>
      </extLst>
    </cfRule>
  </conditionalFormatting>
  <conditionalFormatting sqref="C23:D23">
    <cfRule type="dataBar" priority="23">
      <dataBar>
        <cfvo type="min"/>
        <cfvo type="max"/>
        <color rgb="FF008AEF"/>
      </dataBar>
      <extLst>
        <ext xmlns:x14="http://schemas.microsoft.com/office/spreadsheetml/2009/9/main" uri="{B025F937-C7B1-47D3-B67F-A62EFF666E3E}">
          <x14:id>{9B064DA0-DF2B-4727-BE61-925AFD2998AE}</x14:id>
        </ext>
      </extLst>
    </cfRule>
  </conditionalFormatting>
  <conditionalFormatting sqref="C24:D24">
    <cfRule type="dataBar" priority="22">
      <dataBar>
        <cfvo type="min"/>
        <cfvo type="max"/>
        <color rgb="FF008AEF"/>
      </dataBar>
      <extLst>
        <ext xmlns:x14="http://schemas.microsoft.com/office/spreadsheetml/2009/9/main" uri="{B025F937-C7B1-47D3-B67F-A62EFF666E3E}">
          <x14:id>{774DD0F0-43BA-427E-928B-BB22EA90DA2F}</x14:id>
        </ext>
      </extLst>
    </cfRule>
  </conditionalFormatting>
  <conditionalFormatting sqref="C25:D25">
    <cfRule type="dataBar" priority="21">
      <dataBar>
        <cfvo type="min"/>
        <cfvo type="max"/>
        <color rgb="FF008AEF"/>
      </dataBar>
      <extLst>
        <ext xmlns:x14="http://schemas.microsoft.com/office/spreadsheetml/2009/9/main" uri="{B025F937-C7B1-47D3-B67F-A62EFF666E3E}">
          <x14:id>{0B2C5ECD-D596-4B77-AB07-923BB54BF411}</x14:id>
        </ext>
      </extLst>
    </cfRule>
  </conditionalFormatting>
  <conditionalFormatting sqref="C26:D26">
    <cfRule type="dataBar" priority="20">
      <dataBar>
        <cfvo type="min"/>
        <cfvo type="max"/>
        <color rgb="FF008AEF"/>
      </dataBar>
      <extLst>
        <ext xmlns:x14="http://schemas.microsoft.com/office/spreadsheetml/2009/9/main" uri="{B025F937-C7B1-47D3-B67F-A62EFF666E3E}">
          <x14:id>{DE50CBFF-FA94-4395-A075-78C5BD7D547E}</x14:id>
        </ext>
      </extLst>
    </cfRule>
  </conditionalFormatting>
  <conditionalFormatting sqref="C27:D27">
    <cfRule type="dataBar" priority="19">
      <dataBar>
        <cfvo type="min"/>
        <cfvo type="max"/>
        <color rgb="FF008AEF"/>
      </dataBar>
      <extLst>
        <ext xmlns:x14="http://schemas.microsoft.com/office/spreadsheetml/2009/9/main" uri="{B025F937-C7B1-47D3-B67F-A62EFF666E3E}">
          <x14:id>{F3E25B03-7286-4BFB-847B-82E25B522E5A}</x14:id>
        </ext>
      </extLst>
    </cfRule>
  </conditionalFormatting>
  <conditionalFormatting sqref="C28:D28">
    <cfRule type="dataBar" priority="18">
      <dataBar>
        <cfvo type="min"/>
        <cfvo type="max"/>
        <color rgb="FF008AEF"/>
      </dataBar>
      <extLst>
        <ext xmlns:x14="http://schemas.microsoft.com/office/spreadsheetml/2009/9/main" uri="{B025F937-C7B1-47D3-B67F-A62EFF666E3E}">
          <x14:id>{0DF534E4-C4FB-418D-96B2-F473A3536C85}</x14:id>
        </ext>
      </extLst>
    </cfRule>
  </conditionalFormatting>
  <conditionalFormatting sqref="C29:D29">
    <cfRule type="dataBar" priority="17">
      <dataBar>
        <cfvo type="min"/>
        <cfvo type="max"/>
        <color rgb="FF008AEF"/>
      </dataBar>
      <extLst>
        <ext xmlns:x14="http://schemas.microsoft.com/office/spreadsheetml/2009/9/main" uri="{B025F937-C7B1-47D3-B67F-A62EFF666E3E}">
          <x14:id>{C0B7AA0B-56A5-49A0-AD58-C5D00753F6B9}</x14:id>
        </ext>
      </extLst>
    </cfRule>
  </conditionalFormatting>
  <conditionalFormatting sqref="C30:D30">
    <cfRule type="dataBar" priority="16">
      <dataBar>
        <cfvo type="min"/>
        <cfvo type="max"/>
        <color rgb="FF008AEF"/>
      </dataBar>
      <extLst>
        <ext xmlns:x14="http://schemas.microsoft.com/office/spreadsheetml/2009/9/main" uri="{B025F937-C7B1-47D3-B67F-A62EFF666E3E}">
          <x14:id>{412183CF-16C2-49AC-8A54-75A11F6E0DFF}</x14:id>
        </ext>
      </extLst>
    </cfRule>
  </conditionalFormatting>
  <conditionalFormatting sqref="C31:D31">
    <cfRule type="dataBar" priority="15">
      <dataBar>
        <cfvo type="min"/>
        <cfvo type="max"/>
        <color rgb="FF008AEF"/>
      </dataBar>
      <extLst>
        <ext xmlns:x14="http://schemas.microsoft.com/office/spreadsheetml/2009/9/main" uri="{B025F937-C7B1-47D3-B67F-A62EFF666E3E}">
          <x14:id>{3F86FB3E-22C3-45FD-AB2B-9010096F13D5}</x14:id>
        </ext>
      </extLst>
    </cfRule>
  </conditionalFormatting>
  <conditionalFormatting sqref="C32:D32">
    <cfRule type="dataBar" priority="14">
      <dataBar>
        <cfvo type="min"/>
        <cfvo type="max"/>
        <color rgb="FF008AEF"/>
      </dataBar>
      <extLst>
        <ext xmlns:x14="http://schemas.microsoft.com/office/spreadsheetml/2009/9/main" uri="{B025F937-C7B1-47D3-B67F-A62EFF666E3E}">
          <x14:id>{FB412248-C7AE-44DA-82F3-9CDAA33D514A}</x14:id>
        </ext>
      </extLst>
    </cfRule>
  </conditionalFormatting>
  <conditionalFormatting sqref="C33:D33">
    <cfRule type="dataBar" priority="13">
      <dataBar>
        <cfvo type="min"/>
        <cfvo type="max"/>
        <color rgb="FF008AEF"/>
      </dataBar>
      <extLst>
        <ext xmlns:x14="http://schemas.microsoft.com/office/spreadsheetml/2009/9/main" uri="{B025F937-C7B1-47D3-B67F-A62EFF666E3E}">
          <x14:id>{D32E7757-7BE9-4054-B04C-A0548B045B80}</x14:id>
        </ext>
      </extLst>
    </cfRule>
  </conditionalFormatting>
  <conditionalFormatting sqref="E3:F29 E30:O33">
    <cfRule type="cellIs" dxfId="22" priority="1" operator="greaterThan">
      <formula>0</formula>
    </cfRule>
  </conditionalFormatting>
  <conditionalFormatting sqref="G6:O29">
    <cfRule type="cellIs" dxfId="21" priority="11" operator="greaterThan">
      <formula>0</formula>
    </cfRule>
  </conditionalFormatting>
  <conditionalFormatting sqref="G3:P5">
    <cfRule type="cellIs" dxfId="20" priority="2" operator="greaterThan">
      <formula>0</formula>
    </cfRule>
  </conditionalFormatting>
  <pageMargins left="0.7" right="0.7" top="0.75" bottom="0.75"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dataBar" id="{AAD20962-018D-4F2F-9522-FC988814489E}">
            <x14:dataBar minLength="0" maxLength="100" gradient="0">
              <x14:cfvo type="autoMin"/>
              <x14:cfvo type="autoMax"/>
              <x14:negativeFillColor rgb="FFFF0000"/>
              <x14:axisColor rgb="FF000000"/>
            </x14:dataBar>
          </x14:cfRule>
          <xm:sqref>C3:D3 D4:D5</xm:sqref>
        </x14:conditionalFormatting>
        <x14:conditionalFormatting xmlns:xm="http://schemas.microsoft.com/office/excel/2006/main">
          <x14:cfRule type="dataBar" id="{F3B165D3-471D-4C7F-9652-43D974CB771B}">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FFCBA444-B7CD-449C-B066-8DFE3E641ECC}">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0CDF3BBA-40BC-4E9C-865D-ED2FB42BB400}">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C12949F0-EE98-47D6-88B7-1DA5C32D698E}">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024E2DF3-3D57-4B96-A68D-5F098D4BEAE7}">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F122BB42-CB96-49A5-9C7B-492DC15DA783}">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D6B4453C-5081-4C13-9FCE-59B8AC8CF8F1}">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B6172525-4911-4CE0-B641-B3F0A2A605A0}">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BB0E2396-A6D7-44E3-A691-20952DD380FC}">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46B9D166-F78C-4099-9FA0-FE9BB4D30DD4}">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D2A09DC4-FAC6-466D-AAD7-8B569AE1ED74}">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D004CDF5-098D-471E-B370-0A4C07A02E7D}">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FFCF6968-A756-4A20-B80C-5DB4B620F7F3}">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92CAF2E2-55D4-472D-B581-A8634964E020}">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DC6541EE-BC69-45FF-8D2C-857A11EBE42A}">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24DED35E-7DA8-4AEF-A661-374F094A085C}">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B5155C6B-C921-4421-945F-C9950D9F483A}">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11FB4444-AD40-4EFE-8EF8-0907C87397A9}">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E3EA4E45-5D1C-4DC7-B83A-F36C62B2C1FC}">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9B064DA0-DF2B-4727-BE61-925AFD2998AE}">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774DD0F0-43BA-427E-928B-BB22EA90DA2F}">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0B2C5ECD-D596-4B77-AB07-923BB54BF411}">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DE50CBFF-FA94-4395-A075-78C5BD7D547E}">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F3E25B03-7286-4BFB-847B-82E25B522E5A}">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0DF534E4-C4FB-418D-96B2-F473A3536C85}">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C0B7AA0B-56A5-49A0-AD58-C5D00753F6B9}">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412183CF-16C2-49AC-8A54-75A11F6E0DFF}">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3F86FB3E-22C3-45FD-AB2B-9010096F13D5}">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FB412248-C7AE-44DA-82F3-9CDAA33D514A}">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D32E7757-7BE9-4054-B04C-A0548B045B80}">
            <x14:dataBar minLength="0" maxLength="100" gradient="0">
              <x14:cfvo type="autoMin"/>
              <x14:cfvo type="autoMax"/>
              <x14:negativeFillColor rgb="FFFF0000"/>
              <x14:axisColor rgb="FF000000"/>
            </x14:dataBar>
          </x14:cfRule>
          <xm:sqref>C33:D33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P35"/>
  <sheetViews>
    <sheetView topLeftCell="B1" zoomScale="80" zoomScaleNormal="80" workbookViewId="0">
      <selection activeCell="J8" sqref="J8"/>
    </sheetView>
  </sheetViews>
  <sheetFormatPr baseColWidth="10" defaultColWidth="11.42578125" defaultRowHeight="15" x14ac:dyDescent="0.25"/>
  <cols>
    <col min="1" max="1" width="10.7109375" style="1" customWidth="1"/>
    <col min="2" max="2" width="89.85546875" style="1" customWidth="1"/>
    <col min="3" max="3" width="11.42578125" style="1"/>
    <col min="4" max="4" width="22.42578125" style="1" customWidth="1"/>
    <col min="5" max="9" width="17.28515625" style="1" customWidth="1"/>
    <col min="10" max="16384" width="11.42578125" style="1"/>
  </cols>
  <sheetData>
    <row r="1" spans="1:16" ht="61.5" customHeight="1" x14ac:dyDescent="0.25">
      <c r="A1" s="52" t="s">
        <v>1</v>
      </c>
      <c r="B1" s="27" t="s">
        <v>27</v>
      </c>
      <c r="C1" s="12" t="s">
        <v>2</v>
      </c>
      <c r="D1" s="12" t="s">
        <v>3</v>
      </c>
      <c r="E1" s="12" t="s">
        <v>4</v>
      </c>
      <c r="F1" s="12" t="s">
        <v>5</v>
      </c>
      <c r="G1" s="12" t="s">
        <v>6</v>
      </c>
      <c r="H1" s="12" t="s">
        <v>7</v>
      </c>
      <c r="I1" s="12" t="s">
        <v>8</v>
      </c>
      <c r="J1" s="12" t="s">
        <v>9</v>
      </c>
      <c r="K1" s="12" t="s">
        <v>10</v>
      </c>
      <c r="L1" s="12" t="s">
        <v>11</v>
      </c>
      <c r="M1" s="12" t="s">
        <v>12</v>
      </c>
      <c r="N1" s="12" t="s">
        <v>13</v>
      </c>
      <c r="O1" s="12" t="s">
        <v>14</v>
      </c>
      <c r="P1" s="12" t="s">
        <v>15</v>
      </c>
    </row>
    <row r="2" spans="1:16" s="3" customFormat="1" ht="15.75" thickBot="1" x14ac:dyDescent="0.3">
      <c r="A2" s="53"/>
      <c r="B2" s="27"/>
      <c r="C2" s="2">
        <v>2026</v>
      </c>
      <c r="D2" s="2" t="s">
        <v>16</v>
      </c>
      <c r="E2" s="30"/>
      <c r="F2" s="30"/>
      <c r="G2" s="30"/>
      <c r="H2" s="30"/>
      <c r="I2" s="30"/>
      <c r="J2" s="30"/>
      <c r="K2" s="30"/>
      <c r="L2" s="30"/>
      <c r="M2" s="30"/>
      <c r="N2" s="30"/>
      <c r="O2" s="30"/>
      <c r="P2" s="30"/>
    </row>
    <row r="3" spans="1:16" ht="81" customHeight="1" thickBot="1" x14ac:dyDescent="0.3">
      <c r="A3" s="5" t="s">
        <v>18</v>
      </c>
      <c r="B3" s="4" t="s">
        <v>17</v>
      </c>
      <c r="C3" s="6">
        <v>2</v>
      </c>
      <c r="D3" s="28">
        <f t="shared" ref="D3:D5" si="0">SUM(E3:P3)</f>
        <v>1</v>
      </c>
      <c r="E3" s="32"/>
      <c r="F3" s="32"/>
      <c r="G3" s="32">
        <v>1</v>
      </c>
      <c r="H3" s="32"/>
      <c r="I3" s="32"/>
      <c r="J3" s="32"/>
      <c r="K3" s="32"/>
      <c r="L3" s="32"/>
      <c r="M3" s="32"/>
      <c r="N3" s="32"/>
      <c r="O3" s="32"/>
      <c r="P3" s="32"/>
    </row>
    <row r="4" spans="1:16" ht="81" customHeight="1" thickBot="1" x14ac:dyDescent="0.3">
      <c r="A4" s="8" t="s">
        <v>20</v>
      </c>
      <c r="B4" s="7" t="s">
        <v>19</v>
      </c>
      <c r="C4" s="34">
        <v>2</v>
      </c>
      <c r="D4" s="28">
        <f t="shared" si="0"/>
        <v>0</v>
      </c>
      <c r="E4" s="32">
        <v>0</v>
      </c>
      <c r="F4" s="32">
        <v>0</v>
      </c>
      <c r="G4" s="32">
        <v>0</v>
      </c>
      <c r="H4" s="32">
        <v>0</v>
      </c>
      <c r="I4" s="32"/>
      <c r="J4" s="32"/>
      <c r="K4" s="32"/>
      <c r="L4" s="32"/>
      <c r="M4" s="32"/>
      <c r="N4" s="32"/>
      <c r="O4" s="32"/>
      <c r="P4" s="32"/>
    </row>
    <row r="5" spans="1:16" ht="81" customHeight="1" thickBot="1" x14ac:dyDescent="0.3">
      <c r="A5" s="10" t="s">
        <v>22</v>
      </c>
      <c r="B5" s="9" t="s">
        <v>21</v>
      </c>
      <c r="C5" s="35">
        <v>2</v>
      </c>
      <c r="D5" s="28">
        <f t="shared" si="0"/>
        <v>0</v>
      </c>
      <c r="E5" s="32">
        <v>0</v>
      </c>
      <c r="F5" s="32">
        <v>0</v>
      </c>
      <c r="G5" s="32">
        <v>0</v>
      </c>
      <c r="H5" s="32">
        <v>0</v>
      </c>
      <c r="I5" s="32"/>
      <c r="J5" s="32"/>
      <c r="K5" s="32"/>
      <c r="L5" s="32"/>
      <c r="M5" s="32"/>
      <c r="N5" s="32"/>
      <c r="O5" s="32"/>
      <c r="P5" s="32"/>
    </row>
    <row r="6" spans="1:16" ht="28.5" customHeight="1" x14ac:dyDescent="0.25">
      <c r="A6" s="54" t="s">
        <v>55</v>
      </c>
      <c r="B6" s="38" t="s">
        <v>56</v>
      </c>
      <c r="C6" s="37">
        <v>2</v>
      </c>
      <c r="D6" s="28">
        <f t="shared" ref="D6:D33" si="1">SUM(E6:O6)</f>
        <v>0</v>
      </c>
      <c r="E6" s="32"/>
      <c r="F6" s="32"/>
      <c r="G6" s="32"/>
      <c r="H6" s="32"/>
      <c r="I6" s="32"/>
      <c r="J6" s="32"/>
      <c r="K6" s="32"/>
      <c r="L6" s="32"/>
      <c r="M6" s="32"/>
      <c r="N6" s="32"/>
      <c r="O6" s="32"/>
      <c r="P6" s="39"/>
    </row>
    <row r="7" spans="1:16" ht="28.5" customHeight="1" x14ac:dyDescent="0.25">
      <c r="A7" s="55"/>
      <c r="B7" s="38" t="s">
        <v>57</v>
      </c>
      <c r="C7" s="37">
        <v>3</v>
      </c>
      <c r="D7" s="28">
        <f t="shared" si="1"/>
        <v>0</v>
      </c>
      <c r="E7" s="32"/>
      <c r="F7" s="32"/>
      <c r="G7" s="32"/>
      <c r="H7" s="32"/>
      <c r="I7" s="32"/>
      <c r="J7" s="32"/>
      <c r="K7" s="32"/>
      <c r="L7" s="32"/>
      <c r="M7" s="32"/>
      <c r="N7" s="32"/>
      <c r="O7" s="32"/>
      <c r="P7" s="39"/>
    </row>
    <row r="8" spans="1:16" ht="28.5" customHeight="1" x14ac:dyDescent="0.25">
      <c r="A8" s="55"/>
      <c r="B8" s="38" t="s">
        <v>58</v>
      </c>
      <c r="C8" s="37">
        <v>76</v>
      </c>
      <c r="D8" s="28">
        <f t="shared" si="1"/>
        <v>37</v>
      </c>
      <c r="E8" s="32"/>
      <c r="F8" s="32">
        <v>8</v>
      </c>
      <c r="G8" s="32">
        <v>14</v>
      </c>
      <c r="H8" s="32">
        <v>5</v>
      </c>
      <c r="I8" s="32">
        <v>6</v>
      </c>
      <c r="J8" s="32">
        <v>4</v>
      </c>
      <c r="K8" s="32"/>
      <c r="L8" s="32"/>
      <c r="M8" s="32"/>
      <c r="N8" s="32"/>
      <c r="O8" s="32"/>
      <c r="P8" s="39"/>
    </row>
    <row r="9" spans="1:16" ht="28.5" customHeight="1" x14ac:dyDescent="0.25">
      <c r="A9" s="55"/>
      <c r="B9" s="38" t="s">
        <v>59</v>
      </c>
      <c r="C9" s="37">
        <v>53</v>
      </c>
      <c r="D9" s="28">
        <f t="shared" si="1"/>
        <v>14</v>
      </c>
      <c r="E9" s="32"/>
      <c r="F9" s="32"/>
      <c r="G9" s="32">
        <v>7</v>
      </c>
      <c r="H9" s="32">
        <v>6</v>
      </c>
      <c r="I9" s="32"/>
      <c r="J9" s="32">
        <v>1</v>
      </c>
      <c r="K9" s="32"/>
      <c r="L9" s="32"/>
      <c r="M9" s="32"/>
      <c r="N9" s="32"/>
      <c r="O9" s="32"/>
      <c r="P9" s="39"/>
    </row>
    <row r="10" spans="1:16" ht="28.5" customHeight="1" x14ac:dyDescent="0.25">
      <c r="A10" s="55"/>
      <c r="B10" s="38" t="s">
        <v>60</v>
      </c>
      <c r="C10" s="37">
        <v>0</v>
      </c>
      <c r="D10" s="28">
        <f t="shared" si="1"/>
        <v>0</v>
      </c>
      <c r="E10" s="32"/>
      <c r="F10" s="32"/>
      <c r="G10" s="32"/>
      <c r="H10" s="32"/>
      <c r="I10" s="32"/>
      <c r="J10" s="32"/>
      <c r="K10" s="32"/>
      <c r="L10" s="32"/>
      <c r="M10" s="32"/>
      <c r="N10" s="32"/>
      <c r="O10" s="32"/>
      <c r="P10" s="39"/>
    </row>
    <row r="11" spans="1:16" ht="28.5" customHeight="1" x14ac:dyDescent="0.25">
      <c r="A11" s="55"/>
      <c r="B11" s="38" t="s">
        <v>61</v>
      </c>
      <c r="C11" s="37">
        <v>5</v>
      </c>
      <c r="D11" s="28">
        <f t="shared" si="1"/>
        <v>4</v>
      </c>
      <c r="E11" s="32"/>
      <c r="F11" s="32"/>
      <c r="G11" s="32">
        <v>1</v>
      </c>
      <c r="H11" s="32"/>
      <c r="I11" s="32">
        <v>3</v>
      </c>
      <c r="J11" s="32"/>
      <c r="K11" s="32"/>
      <c r="L11" s="32"/>
      <c r="M11" s="32"/>
      <c r="N11" s="32"/>
      <c r="O11" s="32"/>
      <c r="P11" s="39"/>
    </row>
    <row r="12" spans="1:16" ht="28.5" customHeight="1" x14ac:dyDescent="0.25">
      <c r="A12" s="55"/>
      <c r="B12" s="38" t="s">
        <v>62</v>
      </c>
      <c r="C12" s="37">
        <v>4</v>
      </c>
      <c r="D12" s="28">
        <f t="shared" si="1"/>
        <v>0</v>
      </c>
      <c r="E12" s="32"/>
      <c r="F12" s="32"/>
      <c r="G12" s="32"/>
      <c r="H12" s="32"/>
      <c r="I12" s="32"/>
      <c r="J12" s="32"/>
      <c r="K12" s="32"/>
      <c r="L12" s="32"/>
      <c r="M12" s="32"/>
      <c r="N12" s="32"/>
      <c r="O12" s="32"/>
      <c r="P12" s="39"/>
    </row>
    <row r="13" spans="1:16" ht="28.5" customHeight="1" x14ac:dyDescent="0.25">
      <c r="A13" s="55"/>
      <c r="B13" s="38" t="s">
        <v>63</v>
      </c>
      <c r="C13" s="37">
        <v>8</v>
      </c>
      <c r="D13" s="28">
        <f t="shared" si="1"/>
        <v>3</v>
      </c>
      <c r="E13" s="32"/>
      <c r="F13" s="32">
        <v>2</v>
      </c>
      <c r="G13" s="32"/>
      <c r="H13" s="32"/>
      <c r="I13" s="32">
        <v>1</v>
      </c>
      <c r="J13" s="32"/>
      <c r="K13" s="32"/>
      <c r="L13" s="32"/>
      <c r="M13" s="32"/>
      <c r="N13" s="32"/>
      <c r="O13" s="32"/>
      <c r="P13" s="39"/>
    </row>
    <row r="14" spans="1:16" ht="28.5" customHeight="1" x14ac:dyDescent="0.25">
      <c r="A14" s="55"/>
      <c r="B14" s="38" t="s">
        <v>64</v>
      </c>
      <c r="C14" s="37">
        <v>4</v>
      </c>
      <c r="D14" s="28">
        <f t="shared" si="1"/>
        <v>1</v>
      </c>
      <c r="E14" s="32"/>
      <c r="F14" s="32"/>
      <c r="G14" s="32"/>
      <c r="H14" s="32"/>
      <c r="I14" s="32">
        <v>1</v>
      </c>
      <c r="J14" s="32"/>
      <c r="K14" s="32"/>
      <c r="L14" s="32"/>
      <c r="M14" s="32"/>
      <c r="N14" s="32"/>
      <c r="O14" s="32"/>
      <c r="P14" s="39"/>
    </row>
    <row r="15" spans="1:16" ht="28.5" customHeight="1" x14ac:dyDescent="0.25">
      <c r="A15" s="55"/>
      <c r="B15" s="38" t="s">
        <v>65</v>
      </c>
      <c r="C15" s="37">
        <v>2</v>
      </c>
      <c r="D15" s="28">
        <f t="shared" si="1"/>
        <v>0</v>
      </c>
      <c r="E15" s="32"/>
      <c r="F15" s="32"/>
      <c r="G15" s="32"/>
      <c r="H15" s="32"/>
      <c r="I15" s="32"/>
      <c r="J15" s="32"/>
      <c r="K15" s="32"/>
      <c r="L15" s="32"/>
      <c r="M15" s="32"/>
      <c r="N15" s="32"/>
      <c r="O15" s="32"/>
      <c r="P15" s="39"/>
    </row>
    <row r="16" spans="1:16" ht="28.5" customHeight="1" x14ac:dyDescent="0.25">
      <c r="A16" s="55"/>
      <c r="B16" s="38" t="s">
        <v>66</v>
      </c>
      <c r="C16" s="37">
        <v>0</v>
      </c>
      <c r="D16" s="28">
        <f t="shared" si="1"/>
        <v>0</v>
      </c>
      <c r="E16" s="32"/>
      <c r="F16" s="32"/>
      <c r="G16" s="32"/>
      <c r="H16" s="32"/>
      <c r="I16" s="32"/>
      <c r="J16" s="32"/>
      <c r="K16" s="32"/>
      <c r="L16" s="32"/>
      <c r="M16" s="32"/>
      <c r="N16" s="32"/>
      <c r="O16" s="32"/>
      <c r="P16" s="39"/>
    </row>
    <row r="17" spans="1:16" ht="28.5" customHeight="1" x14ac:dyDescent="0.25">
      <c r="A17" s="55"/>
      <c r="B17" s="38" t="s">
        <v>67</v>
      </c>
      <c r="C17" s="37">
        <v>1</v>
      </c>
      <c r="D17" s="28">
        <f t="shared" si="1"/>
        <v>0</v>
      </c>
      <c r="E17" s="32"/>
      <c r="F17" s="32"/>
      <c r="G17" s="32"/>
      <c r="H17" s="32"/>
      <c r="I17" s="32"/>
      <c r="J17" s="32"/>
      <c r="K17" s="32"/>
      <c r="L17" s="32"/>
      <c r="M17" s="32"/>
      <c r="N17" s="32"/>
      <c r="O17" s="32"/>
      <c r="P17" s="39"/>
    </row>
    <row r="18" spans="1:16" ht="28.5" customHeight="1" x14ac:dyDescent="0.25">
      <c r="A18" s="55"/>
      <c r="B18" s="38" t="s">
        <v>68</v>
      </c>
      <c r="C18" s="37">
        <v>0</v>
      </c>
      <c r="D18" s="28">
        <f t="shared" si="1"/>
        <v>0</v>
      </c>
      <c r="E18" s="32"/>
      <c r="F18" s="32"/>
      <c r="G18" s="32"/>
      <c r="H18" s="32"/>
      <c r="I18" s="32"/>
      <c r="J18" s="32"/>
      <c r="K18" s="32"/>
      <c r="L18" s="32"/>
      <c r="M18" s="32"/>
      <c r="N18" s="32"/>
      <c r="O18" s="32"/>
      <c r="P18" s="39"/>
    </row>
    <row r="19" spans="1:16" ht="28.5" customHeight="1" x14ac:dyDescent="0.25">
      <c r="A19" s="55"/>
      <c r="B19" s="38" t="s">
        <v>69</v>
      </c>
      <c r="C19" s="37">
        <v>2</v>
      </c>
      <c r="D19" s="28">
        <f t="shared" si="1"/>
        <v>0</v>
      </c>
      <c r="E19" s="32"/>
      <c r="F19" s="32"/>
      <c r="G19" s="32"/>
      <c r="H19" s="32"/>
      <c r="I19" s="32"/>
      <c r="J19" s="32"/>
      <c r="K19" s="32"/>
      <c r="L19" s="32"/>
      <c r="M19" s="32"/>
      <c r="N19" s="32"/>
      <c r="O19" s="32"/>
      <c r="P19" s="39"/>
    </row>
    <row r="20" spans="1:16" ht="28.5" customHeight="1" x14ac:dyDescent="0.25">
      <c r="A20" s="55"/>
      <c r="B20" s="38" t="s">
        <v>70</v>
      </c>
      <c r="C20" s="37">
        <v>85</v>
      </c>
      <c r="D20" s="28">
        <f t="shared" si="1"/>
        <v>18</v>
      </c>
      <c r="E20" s="32"/>
      <c r="F20" s="32">
        <v>6</v>
      </c>
      <c r="G20" s="32">
        <v>7</v>
      </c>
      <c r="H20" s="32">
        <v>3</v>
      </c>
      <c r="I20" s="32">
        <v>2</v>
      </c>
      <c r="J20" s="32"/>
      <c r="K20" s="32"/>
      <c r="L20" s="32"/>
      <c r="M20" s="32"/>
      <c r="N20" s="32"/>
      <c r="O20" s="32"/>
      <c r="P20" s="39"/>
    </row>
    <row r="21" spans="1:16" ht="28.5" customHeight="1" x14ac:dyDescent="0.25">
      <c r="A21" s="55"/>
      <c r="B21" s="38" t="s">
        <v>71</v>
      </c>
      <c r="C21" s="37">
        <v>0</v>
      </c>
      <c r="D21" s="28">
        <f t="shared" si="1"/>
        <v>0</v>
      </c>
      <c r="E21" s="32"/>
      <c r="F21" s="32"/>
      <c r="G21" s="32"/>
      <c r="H21" s="32"/>
      <c r="I21" s="32"/>
      <c r="J21" s="32"/>
      <c r="K21" s="32"/>
      <c r="L21" s="32"/>
      <c r="M21" s="32"/>
      <c r="N21" s="32"/>
      <c r="O21" s="32"/>
      <c r="P21" s="39"/>
    </row>
    <row r="22" spans="1:16" ht="24" customHeight="1" x14ac:dyDescent="0.25">
      <c r="A22" s="55"/>
      <c r="B22" s="40" t="s">
        <v>72</v>
      </c>
      <c r="C22" s="37">
        <v>6</v>
      </c>
      <c r="D22" s="28">
        <f t="shared" si="1"/>
        <v>5</v>
      </c>
      <c r="E22" s="32"/>
      <c r="F22" s="32">
        <v>1</v>
      </c>
      <c r="G22" s="32">
        <v>4</v>
      </c>
      <c r="H22" s="32"/>
      <c r="I22" s="32"/>
      <c r="J22" s="32"/>
      <c r="K22" s="32"/>
      <c r="L22" s="32"/>
      <c r="M22" s="32"/>
      <c r="N22" s="32"/>
      <c r="O22" s="32"/>
      <c r="P22" s="39"/>
    </row>
    <row r="23" spans="1:16" ht="24" customHeight="1" x14ac:dyDescent="0.25">
      <c r="A23" s="55"/>
      <c r="B23" s="40" t="s">
        <v>73</v>
      </c>
      <c r="C23" s="37">
        <v>6</v>
      </c>
      <c r="D23" s="28">
        <f t="shared" si="1"/>
        <v>4</v>
      </c>
      <c r="E23" s="32"/>
      <c r="F23" s="32"/>
      <c r="G23" s="32"/>
      <c r="H23" s="32">
        <v>4</v>
      </c>
      <c r="I23" s="32"/>
      <c r="J23" s="32"/>
      <c r="K23" s="32"/>
      <c r="L23" s="32"/>
      <c r="M23" s="32"/>
      <c r="N23" s="32"/>
      <c r="O23" s="32"/>
      <c r="P23" s="39"/>
    </row>
    <row r="24" spans="1:16" ht="24" customHeight="1" x14ac:dyDescent="0.25">
      <c r="A24" s="55"/>
      <c r="B24" s="40" t="s">
        <v>74</v>
      </c>
      <c r="C24" s="37">
        <v>6</v>
      </c>
      <c r="D24" s="28">
        <f t="shared" si="1"/>
        <v>6</v>
      </c>
      <c r="E24" s="32"/>
      <c r="F24" s="32"/>
      <c r="G24" s="32"/>
      <c r="H24" s="32"/>
      <c r="I24" s="32">
        <v>6</v>
      </c>
      <c r="J24" s="32"/>
      <c r="K24" s="32"/>
      <c r="L24" s="32"/>
      <c r="M24" s="32"/>
      <c r="N24" s="32"/>
      <c r="O24" s="32"/>
      <c r="P24" s="39"/>
    </row>
    <row r="25" spans="1:16" ht="24" customHeight="1" x14ac:dyDescent="0.25">
      <c r="A25" s="55"/>
      <c r="B25" s="40" t="s">
        <v>75</v>
      </c>
      <c r="C25" s="37">
        <v>6</v>
      </c>
      <c r="D25" s="28">
        <f t="shared" si="1"/>
        <v>0</v>
      </c>
      <c r="E25" s="32"/>
      <c r="F25" s="32"/>
      <c r="G25" s="32"/>
      <c r="H25" s="32"/>
      <c r="I25" s="32"/>
      <c r="J25" s="32"/>
      <c r="K25" s="32"/>
      <c r="L25" s="32"/>
      <c r="M25" s="32"/>
      <c r="N25" s="32"/>
      <c r="O25" s="32"/>
      <c r="P25" s="39"/>
    </row>
    <row r="26" spans="1:16" ht="24" customHeight="1" x14ac:dyDescent="0.25">
      <c r="A26" s="55"/>
      <c r="B26" s="40" t="s">
        <v>76</v>
      </c>
      <c r="C26" s="37">
        <v>6</v>
      </c>
      <c r="D26" s="28">
        <f t="shared" si="1"/>
        <v>0</v>
      </c>
      <c r="E26" s="32"/>
      <c r="F26" s="32"/>
      <c r="G26" s="32"/>
      <c r="H26" s="32"/>
      <c r="I26" s="32"/>
      <c r="J26" s="32"/>
      <c r="K26" s="32"/>
      <c r="L26" s="32"/>
      <c r="M26" s="32"/>
      <c r="N26" s="32"/>
      <c r="O26" s="32"/>
      <c r="P26" s="39"/>
    </row>
    <row r="27" spans="1:16" ht="24" customHeight="1" x14ac:dyDescent="0.25">
      <c r="A27" s="55"/>
      <c r="B27" s="40" t="s">
        <v>77</v>
      </c>
      <c r="C27" s="37">
        <v>1</v>
      </c>
      <c r="D27" s="28">
        <f t="shared" si="1"/>
        <v>0</v>
      </c>
      <c r="E27" s="32"/>
      <c r="F27" s="32"/>
      <c r="G27" s="32"/>
      <c r="H27" s="32"/>
      <c r="I27" s="32"/>
      <c r="J27" s="32"/>
      <c r="K27" s="32"/>
      <c r="L27" s="32"/>
      <c r="M27" s="32"/>
      <c r="N27" s="32"/>
      <c r="O27" s="32"/>
      <c r="P27" s="39"/>
    </row>
    <row r="28" spans="1:16" ht="24" customHeight="1" x14ac:dyDescent="0.25">
      <c r="A28" s="55"/>
      <c r="B28" s="40" t="s">
        <v>78</v>
      </c>
      <c r="C28" s="37">
        <v>1</v>
      </c>
      <c r="D28" s="28">
        <f t="shared" si="1"/>
        <v>0</v>
      </c>
      <c r="E28" s="32"/>
      <c r="F28" s="32"/>
      <c r="G28" s="32"/>
      <c r="H28" s="32"/>
      <c r="I28" s="32"/>
      <c r="J28" s="32"/>
      <c r="K28" s="32"/>
      <c r="L28" s="32"/>
      <c r="M28" s="32"/>
      <c r="N28" s="32"/>
      <c r="O28" s="32"/>
      <c r="P28" s="39"/>
    </row>
    <row r="29" spans="1:16" ht="24" customHeight="1" x14ac:dyDescent="0.25">
      <c r="A29" s="55"/>
      <c r="B29" s="40" t="s">
        <v>79</v>
      </c>
      <c r="C29" s="37">
        <v>1</v>
      </c>
      <c r="D29" s="28">
        <f t="shared" si="1"/>
        <v>0</v>
      </c>
      <c r="E29" s="32"/>
      <c r="F29" s="32"/>
      <c r="G29" s="32"/>
      <c r="H29" s="32"/>
      <c r="I29" s="32"/>
      <c r="J29" s="32"/>
      <c r="K29" s="32"/>
      <c r="L29" s="32"/>
      <c r="M29" s="32"/>
      <c r="N29" s="32"/>
      <c r="O29" s="32"/>
      <c r="P29" s="39"/>
    </row>
    <row r="30" spans="1:16" ht="24" customHeight="1" x14ac:dyDescent="0.25">
      <c r="A30" s="55"/>
      <c r="B30" s="40" t="s">
        <v>80</v>
      </c>
      <c r="C30" s="37">
        <v>1</v>
      </c>
      <c r="D30" s="28">
        <f t="shared" si="1"/>
        <v>0</v>
      </c>
      <c r="E30" s="32"/>
      <c r="F30" s="32"/>
      <c r="G30" s="32"/>
      <c r="H30" s="32"/>
      <c r="I30" s="32"/>
      <c r="J30" s="32"/>
      <c r="K30" s="32"/>
      <c r="L30" s="32"/>
      <c r="M30" s="32"/>
      <c r="N30" s="32"/>
      <c r="O30" s="32"/>
      <c r="P30" s="39"/>
    </row>
    <row r="31" spans="1:16" ht="24" customHeight="1" x14ac:dyDescent="0.25">
      <c r="A31" s="55"/>
      <c r="B31" s="40" t="s">
        <v>81</v>
      </c>
      <c r="C31" s="37">
        <v>1</v>
      </c>
      <c r="D31" s="28">
        <f t="shared" si="1"/>
        <v>0</v>
      </c>
      <c r="E31" s="32"/>
      <c r="F31" s="32"/>
      <c r="G31" s="32"/>
      <c r="H31" s="32"/>
      <c r="I31" s="32"/>
      <c r="J31" s="32"/>
      <c r="K31" s="32"/>
      <c r="L31" s="32"/>
      <c r="M31" s="32"/>
      <c r="N31" s="32"/>
      <c r="O31" s="32"/>
      <c r="P31" s="39"/>
    </row>
    <row r="32" spans="1:16" ht="24" customHeight="1" x14ac:dyDescent="0.25">
      <c r="A32" s="55"/>
      <c r="B32" s="40" t="s">
        <v>82</v>
      </c>
      <c r="C32" s="37">
        <v>1</v>
      </c>
      <c r="D32" s="28">
        <f t="shared" si="1"/>
        <v>0</v>
      </c>
      <c r="E32" s="32"/>
      <c r="F32" s="32"/>
      <c r="G32" s="32"/>
      <c r="H32" s="32"/>
      <c r="I32" s="32"/>
      <c r="J32" s="32"/>
      <c r="K32" s="32"/>
      <c r="L32" s="32"/>
      <c r="M32" s="32"/>
      <c r="N32" s="32"/>
      <c r="O32" s="32"/>
      <c r="P32" s="39"/>
    </row>
    <row r="33" spans="1:16" ht="24" customHeight="1" thickBot="1" x14ac:dyDescent="0.3">
      <c r="A33" s="56"/>
      <c r="B33" s="41" t="s">
        <v>83</v>
      </c>
      <c r="C33" s="37">
        <v>1</v>
      </c>
      <c r="D33" s="28">
        <f t="shared" si="1"/>
        <v>0</v>
      </c>
      <c r="E33" s="32"/>
      <c r="F33" s="32"/>
      <c r="G33" s="32"/>
      <c r="H33" s="32"/>
      <c r="I33" s="32"/>
      <c r="J33" s="32"/>
      <c r="K33" s="32"/>
      <c r="L33" s="32"/>
      <c r="M33" s="32"/>
      <c r="N33" s="32"/>
      <c r="O33" s="32"/>
      <c r="P33" s="39"/>
    </row>
    <row r="34" spans="1:16" x14ac:dyDescent="0.25">
      <c r="C34" s="42">
        <f>SUM(C3:C33)</f>
        <v>288</v>
      </c>
      <c r="D34" s="43">
        <f>SUM(D3:D33)</f>
        <v>93</v>
      </c>
    </row>
    <row r="35" spans="1:16" x14ac:dyDescent="0.25">
      <c r="C35" s="11"/>
      <c r="D35" s="44">
        <f>D34/C34</f>
        <v>0.32291666666666669</v>
      </c>
    </row>
  </sheetData>
  <sheetProtection algorithmName="SHA-512" hashValue="rqqvM9qpzd2lS2HyXUdypAZaiKJIOZfyOI3JO9R8RTmRx1fA8/4Xv/NrHfa3u5gUe9jHHOGOw2HyUf6FrDA8NQ==" saltValue="9SNAOaU1IVFENxk/KjQL7A==" spinCount="100000" sheet="1" objects="1" scenarios="1" autoFilter="0"/>
  <mergeCells count="2">
    <mergeCell ref="A1:A2"/>
    <mergeCell ref="A6:A33"/>
  </mergeCells>
  <conditionalFormatting sqref="C3:D3 D4:D5">
    <cfRule type="dataBar" priority="46">
      <dataBar>
        <cfvo type="min"/>
        <cfvo type="max"/>
        <color rgb="FF008AEF"/>
      </dataBar>
      <extLst>
        <ext xmlns:x14="http://schemas.microsoft.com/office/spreadsheetml/2009/9/main" uri="{B025F937-C7B1-47D3-B67F-A62EFF666E3E}">
          <x14:id>{2F50E7D0-63E0-4156-8BF5-FB3916A039A4}</x14:id>
        </ext>
      </extLst>
    </cfRule>
  </conditionalFormatting>
  <conditionalFormatting sqref="C4:D4">
    <cfRule type="dataBar" priority="4">
      <dataBar>
        <cfvo type="min"/>
        <cfvo type="max"/>
        <color rgb="FF008AEF"/>
      </dataBar>
      <extLst>
        <ext xmlns:x14="http://schemas.microsoft.com/office/spreadsheetml/2009/9/main" uri="{B025F937-C7B1-47D3-B67F-A62EFF666E3E}">
          <x14:id>{5A058D0D-8E47-43D0-9D71-FA1FDAC0406B}</x14:id>
        </ext>
      </extLst>
    </cfRule>
  </conditionalFormatting>
  <conditionalFormatting sqref="C5:D5">
    <cfRule type="dataBar" priority="5">
      <dataBar>
        <cfvo type="min"/>
        <cfvo type="max"/>
        <color rgb="FF008AEF"/>
      </dataBar>
      <extLst>
        <ext xmlns:x14="http://schemas.microsoft.com/office/spreadsheetml/2009/9/main" uri="{B025F937-C7B1-47D3-B67F-A62EFF666E3E}">
          <x14:id>{56EF16A8-D4B5-405D-B3DA-83E4D5CED836}</x14:id>
        </ext>
      </extLst>
    </cfRule>
  </conditionalFormatting>
  <conditionalFormatting sqref="C6:D6">
    <cfRule type="dataBar" priority="12">
      <dataBar>
        <cfvo type="min"/>
        <cfvo type="max"/>
        <color rgb="FF008AEF"/>
      </dataBar>
      <extLst>
        <ext xmlns:x14="http://schemas.microsoft.com/office/spreadsheetml/2009/9/main" uri="{B025F937-C7B1-47D3-B67F-A62EFF666E3E}">
          <x14:id>{0FF5C333-7859-4F39-B460-784FC533870C}</x14:id>
        </ext>
      </extLst>
    </cfRule>
  </conditionalFormatting>
  <conditionalFormatting sqref="C7:D7">
    <cfRule type="dataBar" priority="39">
      <dataBar>
        <cfvo type="min"/>
        <cfvo type="max"/>
        <color rgb="FF008AEF"/>
      </dataBar>
      <extLst>
        <ext xmlns:x14="http://schemas.microsoft.com/office/spreadsheetml/2009/9/main" uri="{B025F937-C7B1-47D3-B67F-A62EFF666E3E}">
          <x14:id>{FB4EFC2C-EA5E-413C-B818-A3FFFFF1FECA}</x14:id>
        </ext>
      </extLst>
    </cfRule>
  </conditionalFormatting>
  <conditionalFormatting sqref="C8:D8">
    <cfRule type="dataBar" priority="38">
      <dataBar>
        <cfvo type="min"/>
        <cfvo type="max"/>
        <color rgb="FF008AEF"/>
      </dataBar>
      <extLst>
        <ext xmlns:x14="http://schemas.microsoft.com/office/spreadsheetml/2009/9/main" uri="{B025F937-C7B1-47D3-B67F-A62EFF666E3E}">
          <x14:id>{D9A67D30-C058-42B0-A9E7-BDEF27C669F2}</x14:id>
        </ext>
      </extLst>
    </cfRule>
  </conditionalFormatting>
  <conditionalFormatting sqref="C9:D9">
    <cfRule type="dataBar" priority="37">
      <dataBar>
        <cfvo type="min"/>
        <cfvo type="max"/>
        <color rgb="FF008AEF"/>
      </dataBar>
      <extLst>
        <ext xmlns:x14="http://schemas.microsoft.com/office/spreadsheetml/2009/9/main" uri="{B025F937-C7B1-47D3-B67F-A62EFF666E3E}">
          <x14:id>{3E0C67B1-F1A2-4274-AEF1-76E5980E3692}</x14:id>
        </ext>
      </extLst>
    </cfRule>
  </conditionalFormatting>
  <conditionalFormatting sqref="C10:D10">
    <cfRule type="dataBar" priority="36">
      <dataBar>
        <cfvo type="min"/>
        <cfvo type="max"/>
        <color rgb="FF008AEF"/>
      </dataBar>
      <extLst>
        <ext xmlns:x14="http://schemas.microsoft.com/office/spreadsheetml/2009/9/main" uri="{B025F937-C7B1-47D3-B67F-A62EFF666E3E}">
          <x14:id>{EEEB5600-1C73-4DC4-9A02-02C1948FD299}</x14:id>
        </ext>
      </extLst>
    </cfRule>
  </conditionalFormatting>
  <conditionalFormatting sqref="C11:D11">
    <cfRule type="dataBar" priority="35">
      <dataBar>
        <cfvo type="min"/>
        <cfvo type="max"/>
        <color rgb="FF008AEF"/>
      </dataBar>
      <extLst>
        <ext xmlns:x14="http://schemas.microsoft.com/office/spreadsheetml/2009/9/main" uri="{B025F937-C7B1-47D3-B67F-A62EFF666E3E}">
          <x14:id>{CD50BA85-0348-49E5-9646-8AD340C58C2B}</x14:id>
        </ext>
      </extLst>
    </cfRule>
  </conditionalFormatting>
  <conditionalFormatting sqref="C12:D12">
    <cfRule type="dataBar" priority="34">
      <dataBar>
        <cfvo type="min"/>
        <cfvo type="max"/>
        <color rgb="FF008AEF"/>
      </dataBar>
      <extLst>
        <ext xmlns:x14="http://schemas.microsoft.com/office/spreadsheetml/2009/9/main" uri="{B025F937-C7B1-47D3-B67F-A62EFF666E3E}">
          <x14:id>{403698EA-71A2-4223-A830-43D5257D6351}</x14:id>
        </ext>
      </extLst>
    </cfRule>
  </conditionalFormatting>
  <conditionalFormatting sqref="C13:D13">
    <cfRule type="dataBar" priority="33">
      <dataBar>
        <cfvo type="min"/>
        <cfvo type="max"/>
        <color rgb="FF008AEF"/>
      </dataBar>
      <extLst>
        <ext xmlns:x14="http://schemas.microsoft.com/office/spreadsheetml/2009/9/main" uri="{B025F937-C7B1-47D3-B67F-A62EFF666E3E}">
          <x14:id>{6472EB68-3B6B-424E-B2DF-37217ADAC0D9}</x14:id>
        </ext>
      </extLst>
    </cfRule>
  </conditionalFormatting>
  <conditionalFormatting sqref="C14:D14">
    <cfRule type="dataBar" priority="32">
      <dataBar>
        <cfvo type="min"/>
        <cfvo type="max"/>
        <color rgb="FF008AEF"/>
      </dataBar>
      <extLst>
        <ext xmlns:x14="http://schemas.microsoft.com/office/spreadsheetml/2009/9/main" uri="{B025F937-C7B1-47D3-B67F-A62EFF666E3E}">
          <x14:id>{2A15EE23-47D8-4715-AD78-725FE190FA66}</x14:id>
        </ext>
      </extLst>
    </cfRule>
  </conditionalFormatting>
  <conditionalFormatting sqref="C15:D15">
    <cfRule type="dataBar" priority="31">
      <dataBar>
        <cfvo type="min"/>
        <cfvo type="max"/>
        <color rgb="FF008AEF"/>
      </dataBar>
      <extLst>
        <ext xmlns:x14="http://schemas.microsoft.com/office/spreadsheetml/2009/9/main" uri="{B025F937-C7B1-47D3-B67F-A62EFF666E3E}">
          <x14:id>{CDAB2CE6-D37F-4027-BC48-EA4DD0DE4C7A}</x14:id>
        </ext>
      </extLst>
    </cfRule>
  </conditionalFormatting>
  <conditionalFormatting sqref="C16:D16">
    <cfRule type="dataBar" priority="30">
      <dataBar>
        <cfvo type="min"/>
        <cfvo type="max"/>
        <color rgb="FF008AEF"/>
      </dataBar>
      <extLst>
        <ext xmlns:x14="http://schemas.microsoft.com/office/spreadsheetml/2009/9/main" uri="{B025F937-C7B1-47D3-B67F-A62EFF666E3E}">
          <x14:id>{B19F928C-6EEC-4F6F-B712-89977560C817}</x14:id>
        </ext>
      </extLst>
    </cfRule>
  </conditionalFormatting>
  <conditionalFormatting sqref="C17:D17">
    <cfRule type="dataBar" priority="29">
      <dataBar>
        <cfvo type="min"/>
        <cfvo type="max"/>
        <color rgb="FF008AEF"/>
      </dataBar>
      <extLst>
        <ext xmlns:x14="http://schemas.microsoft.com/office/spreadsheetml/2009/9/main" uri="{B025F937-C7B1-47D3-B67F-A62EFF666E3E}">
          <x14:id>{95A69AC1-113A-4208-82CD-0693E3B3BF5C}</x14:id>
        </ext>
      </extLst>
    </cfRule>
  </conditionalFormatting>
  <conditionalFormatting sqref="C18:D18">
    <cfRule type="dataBar" priority="28">
      <dataBar>
        <cfvo type="min"/>
        <cfvo type="max"/>
        <color rgb="FF008AEF"/>
      </dataBar>
      <extLst>
        <ext xmlns:x14="http://schemas.microsoft.com/office/spreadsheetml/2009/9/main" uri="{B025F937-C7B1-47D3-B67F-A62EFF666E3E}">
          <x14:id>{CA33B526-6E89-49CE-9A83-0CCF178D797C}</x14:id>
        </ext>
      </extLst>
    </cfRule>
  </conditionalFormatting>
  <conditionalFormatting sqref="C19:D19">
    <cfRule type="dataBar" priority="27">
      <dataBar>
        <cfvo type="min"/>
        <cfvo type="max"/>
        <color rgb="FF008AEF"/>
      </dataBar>
      <extLst>
        <ext xmlns:x14="http://schemas.microsoft.com/office/spreadsheetml/2009/9/main" uri="{B025F937-C7B1-47D3-B67F-A62EFF666E3E}">
          <x14:id>{642F182A-94DA-44ED-8F11-7B48EE044B1F}</x14:id>
        </ext>
      </extLst>
    </cfRule>
  </conditionalFormatting>
  <conditionalFormatting sqref="C20:D20">
    <cfRule type="dataBar" priority="26">
      <dataBar>
        <cfvo type="min"/>
        <cfvo type="max"/>
        <color rgb="FF008AEF"/>
      </dataBar>
      <extLst>
        <ext xmlns:x14="http://schemas.microsoft.com/office/spreadsheetml/2009/9/main" uri="{B025F937-C7B1-47D3-B67F-A62EFF666E3E}">
          <x14:id>{6DD93778-8484-48BD-8D53-D3EE76136E7A}</x14:id>
        </ext>
      </extLst>
    </cfRule>
  </conditionalFormatting>
  <conditionalFormatting sqref="C21:D21">
    <cfRule type="dataBar" priority="25">
      <dataBar>
        <cfvo type="min"/>
        <cfvo type="max"/>
        <color rgb="FF008AEF"/>
      </dataBar>
      <extLst>
        <ext xmlns:x14="http://schemas.microsoft.com/office/spreadsheetml/2009/9/main" uri="{B025F937-C7B1-47D3-B67F-A62EFF666E3E}">
          <x14:id>{288768A8-8D90-411E-87E2-EC650BF4A847}</x14:id>
        </ext>
      </extLst>
    </cfRule>
  </conditionalFormatting>
  <conditionalFormatting sqref="C22:D22">
    <cfRule type="dataBar" priority="24">
      <dataBar>
        <cfvo type="min"/>
        <cfvo type="max"/>
        <color rgb="FF008AEF"/>
      </dataBar>
      <extLst>
        <ext xmlns:x14="http://schemas.microsoft.com/office/spreadsheetml/2009/9/main" uri="{B025F937-C7B1-47D3-B67F-A62EFF666E3E}">
          <x14:id>{AE7FD98E-FE6B-43B8-8CE1-AB99FFFA1CDA}</x14:id>
        </ext>
      </extLst>
    </cfRule>
  </conditionalFormatting>
  <conditionalFormatting sqref="C23:D23">
    <cfRule type="dataBar" priority="23">
      <dataBar>
        <cfvo type="min"/>
        <cfvo type="max"/>
        <color rgb="FF008AEF"/>
      </dataBar>
      <extLst>
        <ext xmlns:x14="http://schemas.microsoft.com/office/spreadsheetml/2009/9/main" uri="{B025F937-C7B1-47D3-B67F-A62EFF666E3E}">
          <x14:id>{DB6E53B9-9FB1-4776-AD45-A4018EF70C03}</x14:id>
        </ext>
      </extLst>
    </cfRule>
  </conditionalFormatting>
  <conditionalFormatting sqref="C24:D24">
    <cfRule type="dataBar" priority="22">
      <dataBar>
        <cfvo type="min"/>
        <cfvo type="max"/>
        <color rgb="FF008AEF"/>
      </dataBar>
      <extLst>
        <ext xmlns:x14="http://schemas.microsoft.com/office/spreadsheetml/2009/9/main" uri="{B025F937-C7B1-47D3-B67F-A62EFF666E3E}">
          <x14:id>{0D2F3C34-329E-4DAB-941F-017407AF7CE9}</x14:id>
        </ext>
      </extLst>
    </cfRule>
  </conditionalFormatting>
  <conditionalFormatting sqref="C25:D25">
    <cfRule type="dataBar" priority="21">
      <dataBar>
        <cfvo type="min"/>
        <cfvo type="max"/>
        <color rgb="FF008AEF"/>
      </dataBar>
      <extLst>
        <ext xmlns:x14="http://schemas.microsoft.com/office/spreadsheetml/2009/9/main" uri="{B025F937-C7B1-47D3-B67F-A62EFF666E3E}">
          <x14:id>{5B9C6D93-6B5C-4E83-8C3D-4F3F8B0BD126}</x14:id>
        </ext>
      </extLst>
    </cfRule>
  </conditionalFormatting>
  <conditionalFormatting sqref="C26:D26">
    <cfRule type="dataBar" priority="20">
      <dataBar>
        <cfvo type="min"/>
        <cfvo type="max"/>
        <color rgb="FF008AEF"/>
      </dataBar>
      <extLst>
        <ext xmlns:x14="http://schemas.microsoft.com/office/spreadsheetml/2009/9/main" uri="{B025F937-C7B1-47D3-B67F-A62EFF666E3E}">
          <x14:id>{F61BCD34-5AB3-447F-8E86-625D6B035A13}</x14:id>
        </ext>
      </extLst>
    </cfRule>
  </conditionalFormatting>
  <conditionalFormatting sqref="C27:D27">
    <cfRule type="dataBar" priority="19">
      <dataBar>
        <cfvo type="min"/>
        <cfvo type="max"/>
        <color rgb="FF008AEF"/>
      </dataBar>
      <extLst>
        <ext xmlns:x14="http://schemas.microsoft.com/office/spreadsheetml/2009/9/main" uri="{B025F937-C7B1-47D3-B67F-A62EFF666E3E}">
          <x14:id>{C52149D4-F7A3-4050-8BB6-7A3A8CD9D540}</x14:id>
        </ext>
      </extLst>
    </cfRule>
  </conditionalFormatting>
  <conditionalFormatting sqref="C28:D28">
    <cfRule type="dataBar" priority="18">
      <dataBar>
        <cfvo type="min"/>
        <cfvo type="max"/>
        <color rgb="FF008AEF"/>
      </dataBar>
      <extLst>
        <ext xmlns:x14="http://schemas.microsoft.com/office/spreadsheetml/2009/9/main" uri="{B025F937-C7B1-47D3-B67F-A62EFF666E3E}">
          <x14:id>{A6547B11-DF82-42C7-A235-EBC28DFAA42F}</x14:id>
        </ext>
      </extLst>
    </cfRule>
  </conditionalFormatting>
  <conditionalFormatting sqref="C29:D29">
    <cfRule type="dataBar" priority="17">
      <dataBar>
        <cfvo type="min"/>
        <cfvo type="max"/>
        <color rgb="FF008AEF"/>
      </dataBar>
      <extLst>
        <ext xmlns:x14="http://schemas.microsoft.com/office/spreadsheetml/2009/9/main" uri="{B025F937-C7B1-47D3-B67F-A62EFF666E3E}">
          <x14:id>{A2EFAE9C-5EE8-4785-BB79-224A1B83E9C5}</x14:id>
        </ext>
      </extLst>
    </cfRule>
  </conditionalFormatting>
  <conditionalFormatting sqref="C30:D30">
    <cfRule type="dataBar" priority="16">
      <dataBar>
        <cfvo type="min"/>
        <cfvo type="max"/>
        <color rgb="FF008AEF"/>
      </dataBar>
      <extLst>
        <ext xmlns:x14="http://schemas.microsoft.com/office/spreadsheetml/2009/9/main" uri="{B025F937-C7B1-47D3-B67F-A62EFF666E3E}">
          <x14:id>{5EDC3C9A-F426-4B43-AF11-474794104A7A}</x14:id>
        </ext>
      </extLst>
    </cfRule>
  </conditionalFormatting>
  <conditionalFormatting sqref="C31:D31">
    <cfRule type="dataBar" priority="15">
      <dataBar>
        <cfvo type="min"/>
        <cfvo type="max"/>
        <color rgb="FF008AEF"/>
      </dataBar>
      <extLst>
        <ext xmlns:x14="http://schemas.microsoft.com/office/spreadsheetml/2009/9/main" uri="{B025F937-C7B1-47D3-B67F-A62EFF666E3E}">
          <x14:id>{36ED5899-0129-4F26-8C8A-E3247BB69C15}</x14:id>
        </ext>
      </extLst>
    </cfRule>
  </conditionalFormatting>
  <conditionalFormatting sqref="C32:D32">
    <cfRule type="dataBar" priority="14">
      <dataBar>
        <cfvo type="min"/>
        <cfvo type="max"/>
        <color rgb="FF008AEF"/>
      </dataBar>
      <extLst>
        <ext xmlns:x14="http://schemas.microsoft.com/office/spreadsheetml/2009/9/main" uri="{B025F937-C7B1-47D3-B67F-A62EFF666E3E}">
          <x14:id>{CB8AF96A-0DD9-4D7B-B435-DDCACAFAA258}</x14:id>
        </ext>
      </extLst>
    </cfRule>
  </conditionalFormatting>
  <conditionalFormatting sqref="C33:D33">
    <cfRule type="dataBar" priority="13">
      <dataBar>
        <cfvo type="min"/>
        <cfvo type="max"/>
        <color rgb="FF008AEF"/>
      </dataBar>
      <extLst>
        <ext xmlns:x14="http://schemas.microsoft.com/office/spreadsheetml/2009/9/main" uri="{B025F937-C7B1-47D3-B67F-A62EFF666E3E}">
          <x14:id>{AD54DDD5-B6CC-4D83-8190-8C297B304FB6}</x14:id>
        </ext>
      </extLst>
    </cfRule>
  </conditionalFormatting>
  <conditionalFormatting sqref="E3:F29 E30:O33">
    <cfRule type="cellIs" dxfId="19" priority="1" operator="greaterThan">
      <formula>0</formula>
    </cfRule>
  </conditionalFormatting>
  <conditionalFormatting sqref="G6:O29">
    <cfRule type="cellIs" dxfId="18" priority="11" operator="greaterThan">
      <formula>0</formula>
    </cfRule>
  </conditionalFormatting>
  <conditionalFormatting sqref="G3:P5">
    <cfRule type="cellIs" dxfId="17" priority="2"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2F50E7D0-63E0-4156-8BF5-FB3916A039A4}">
            <x14:dataBar minLength="0" maxLength="100" gradient="0">
              <x14:cfvo type="autoMin"/>
              <x14:cfvo type="autoMax"/>
              <x14:negativeFillColor rgb="FFFF0000"/>
              <x14:axisColor rgb="FF000000"/>
            </x14:dataBar>
          </x14:cfRule>
          <xm:sqref>C3:D3 D4:D5</xm:sqref>
        </x14:conditionalFormatting>
        <x14:conditionalFormatting xmlns:xm="http://schemas.microsoft.com/office/excel/2006/main">
          <x14:cfRule type="dataBar" id="{5A058D0D-8E47-43D0-9D71-FA1FDAC0406B}">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56EF16A8-D4B5-405D-B3DA-83E4D5CED836}">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0FF5C333-7859-4F39-B460-784FC533870C}">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FB4EFC2C-EA5E-413C-B818-A3FFFFF1FECA}">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D9A67D30-C058-42B0-A9E7-BDEF27C669F2}">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3E0C67B1-F1A2-4274-AEF1-76E5980E3692}">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EEEB5600-1C73-4DC4-9A02-02C1948FD299}">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CD50BA85-0348-49E5-9646-8AD340C58C2B}">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403698EA-71A2-4223-A830-43D5257D6351}">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6472EB68-3B6B-424E-B2DF-37217ADAC0D9}">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2A15EE23-47D8-4715-AD78-725FE190FA66}">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CDAB2CE6-D37F-4027-BC48-EA4DD0DE4C7A}">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B19F928C-6EEC-4F6F-B712-89977560C817}">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95A69AC1-113A-4208-82CD-0693E3B3BF5C}">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CA33B526-6E89-49CE-9A83-0CCF178D797C}">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642F182A-94DA-44ED-8F11-7B48EE044B1F}">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6DD93778-8484-48BD-8D53-D3EE76136E7A}">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288768A8-8D90-411E-87E2-EC650BF4A847}">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AE7FD98E-FE6B-43B8-8CE1-AB99FFFA1CDA}">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DB6E53B9-9FB1-4776-AD45-A4018EF70C03}">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0D2F3C34-329E-4DAB-941F-017407AF7CE9}">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5B9C6D93-6B5C-4E83-8C3D-4F3F8B0BD126}">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F61BCD34-5AB3-447F-8E86-625D6B035A13}">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C52149D4-F7A3-4050-8BB6-7A3A8CD9D540}">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A6547B11-DF82-42C7-A235-EBC28DFAA42F}">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A2EFAE9C-5EE8-4785-BB79-224A1B83E9C5}">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5EDC3C9A-F426-4B43-AF11-474794104A7A}">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36ED5899-0129-4F26-8C8A-E3247BB69C15}">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CB8AF96A-0DD9-4D7B-B435-DDCACAFAA258}">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AD54DDD5-B6CC-4D83-8190-8C297B304FB6}">
            <x14:dataBar minLength="0" maxLength="100" gradient="0">
              <x14:cfvo type="autoMin"/>
              <x14:cfvo type="autoMax"/>
              <x14:negativeFillColor rgb="FFFF0000"/>
              <x14:axisColor rgb="FF000000"/>
            </x14:dataBar>
          </x14:cfRule>
          <xm:sqref>C33:D33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P37"/>
  <sheetViews>
    <sheetView zoomScale="80" zoomScaleNormal="80" workbookViewId="0">
      <selection activeCell="M24" sqref="M24"/>
    </sheetView>
  </sheetViews>
  <sheetFormatPr baseColWidth="10" defaultColWidth="11.42578125" defaultRowHeight="15" x14ac:dyDescent="0.25"/>
  <cols>
    <col min="1" max="1" width="7.85546875" style="1" customWidth="1"/>
    <col min="2" max="2" width="89.7109375" style="1" customWidth="1"/>
    <col min="3" max="3" width="11.42578125" style="1"/>
    <col min="4" max="4" width="22.42578125" style="1" customWidth="1"/>
    <col min="5" max="9" width="17.28515625" style="1" customWidth="1"/>
    <col min="10" max="16384" width="11.42578125" style="1"/>
  </cols>
  <sheetData>
    <row r="1" spans="1:16" ht="61.5" customHeight="1" x14ac:dyDescent="0.25">
      <c r="A1" s="52" t="s">
        <v>1</v>
      </c>
      <c r="B1" s="27" t="s">
        <v>28</v>
      </c>
      <c r="C1" s="12" t="s">
        <v>2</v>
      </c>
      <c r="D1" s="12" t="s">
        <v>3</v>
      </c>
      <c r="E1" s="12" t="s">
        <v>4</v>
      </c>
      <c r="F1" s="12" t="s">
        <v>5</v>
      </c>
      <c r="G1" s="12" t="s">
        <v>6</v>
      </c>
      <c r="H1" s="12" t="s">
        <v>7</v>
      </c>
      <c r="I1" s="12" t="s">
        <v>8</v>
      </c>
      <c r="J1" s="12" t="s">
        <v>9</v>
      </c>
      <c r="K1" s="12" t="s">
        <v>10</v>
      </c>
      <c r="L1" s="12" t="s">
        <v>11</v>
      </c>
      <c r="M1" s="12" t="s">
        <v>12</v>
      </c>
      <c r="N1" s="12" t="s">
        <v>13</v>
      </c>
      <c r="O1" s="12" t="s">
        <v>14</v>
      </c>
      <c r="P1" s="12" t="s">
        <v>15</v>
      </c>
    </row>
    <row r="2" spans="1:16" s="3" customFormat="1" ht="15.75" thickBot="1" x14ac:dyDescent="0.3">
      <c r="A2" s="53"/>
      <c r="B2" s="27"/>
      <c r="C2" s="2">
        <v>2026</v>
      </c>
      <c r="D2" s="2" t="s">
        <v>16</v>
      </c>
      <c r="E2" s="30"/>
      <c r="F2" s="30"/>
      <c r="G2" s="30"/>
      <c r="H2" s="30"/>
      <c r="I2" s="30"/>
      <c r="J2" s="30"/>
      <c r="K2" s="30"/>
      <c r="L2" s="30"/>
      <c r="M2" s="30"/>
      <c r="N2" s="30"/>
      <c r="O2" s="30"/>
      <c r="P2" s="30"/>
    </row>
    <row r="3" spans="1:16" ht="81" customHeight="1" x14ac:dyDescent="0.25">
      <c r="A3" s="47" t="s">
        <v>18</v>
      </c>
      <c r="B3" s="16" t="s">
        <v>17</v>
      </c>
      <c r="C3" s="6">
        <v>2</v>
      </c>
      <c r="D3" s="28">
        <f t="shared" ref="D3:D7" si="0">SUM(E3:P3)</f>
        <v>1</v>
      </c>
      <c r="E3" s="32"/>
      <c r="F3" s="32"/>
      <c r="G3" s="32"/>
      <c r="H3" s="32"/>
      <c r="I3" s="32"/>
      <c r="J3" s="32">
        <v>1</v>
      </c>
      <c r="K3" s="32"/>
      <c r="L3" s="32"/>
      <c r="M3" s="32"/>
      <c r="N3" s="32"/>
      <c r="O3" s="32"/>
      <c r="P3" s="32"/>
    </row>
    <row r="4" spans="1:16" ht="81" customHeight="1" x14ac:dyDescent="0.25">
      <c r="A4" s="48" t="s">
        <v>20</v>
      </c>
      <c r="B4" s="17" t="s">
        <v>19</v>
      </c>
      <c r="C4" s="34">
        <v>2</v>
      </c>
      <c r="D4" s="28">
        <f t="shared" si="0"/>
        <v>1</v>
      </c>
      <c r="E4" s="32">
        <v>0</v>
      </c>
      <c r="F4" s="32">
        <v>0</v>
      </c>
      <c r="G4" s="32">
        <v>0</v>
      </c>
      <c r="H4" s="32">
        <v>1</v>
      </c>
      <c r="I4" s="32"/>
      <c r="J4" s="32"/>
      <c r="K4" s="32"/>
      <c r="L4" s="32"/>
      <c r="M4" s="32"/>
      <c r="N4" s="32"/>
      <c r="O4" s="32"/>
      <c r="P4" s="32"/>
    </row>
    <row r="5" spans="1:16" ht="81" customHeight="1" x14ac:dyDescent="0.25">
      <c r="A5" s="49" t="s">
        <v>22</v>
      </c>
      <c r="B5" s="15" t="s">
        <v>21</v>
      </c>
      <c r="C5" s="35">
        <v>2</v>
      </c>
      <c r="D5" s="28">
        <f t="shared" si="0"/>
        <v>0</v>
      </c>
      <c r="E5" s="32">
        <v>0</v>
      </c>
      <c r="F5" s="32">
        <v>0</v>
      </c>
      <c r="G5" s="32">
        <v>0</v>
      </c>
      <c r="H5" s="32">
        <v>0</v>
      </c>
      <c r="I5" s="32"/>
      <c r="J5" s="32"/>
      <c r="K5" s="32"/>
      <c r="L5" s="32"/>
      <c r="M5" s="32"/>
      <c r="N5" s="32"/>
      <c r="O5" s="32"/>
      <c r="P5" s="32"/>
    </row>
    <row r="6" spans="1:16" ht="81" customHeight="1" x14ac:dyDescent="0.25">
      <c r="A6" s="47" t="s">
        <v>18</v>
      </c>
      <c r="B6" s="16" t="s">
        <v>24</v>
      </c>
      <c r="C6" s="37">
        <v>2</v>
      </c>
      <c r="D6" s="28">
        <f t="shared" si="0"/>
        <v>0</v>
      </c>
      <c r="E6" s="32"/>
      <c r="F6" s="32"/>
      <c r="G6" s="32"/>
      <c r="H6" s="32"/>
      <c r="I6" s="32"/>
      <c r="J6" s="32"/>
      <c r="K6" s="32"/>
      <c r="L6" s="32"/>
      <c r="M6" s="32"/>
      <c r="N6" s="32"/>
      <c r="O6" s="32"/>
      <c r="P6" s="32"/>
    </row>
    <row r="7" spans="1:16" ht="81" customHeight="1" x14ac:dyDescent="0.25">
      <c r="A7" s="47" t="s">
        <v>18</v>
      </c>
      <c r="B7" s="16" t="s">
        <v>25</v>
      </c>
      <c r="C7" s="37">
        <v>2</v>
      </c>
      <c r="D7" s="28">
        <f t="shared" si="0"/>
        <v>1</v>
      </c>
      <c r="E7" s="32"/>
      <c r="F7" s="32"/>
      <c r="G7" s="32"/>
      <c r="H7" s="32"/>
      <c r="I7" s="32"/>
      <c r="J7" s="32">
        <v>1</v>
      </c>
      <c r="K7" s="32"/>
      <c r="L7" s="32"/>
      <c r="M7" s="32"/>
      <c r="N7" s="32"/>
      <c r="O7" s="32"/>
      <c r="P7" s="32"/>
    </row>
    <row r="8" spans="1:16" ht="28.5" customHeight="1" x14ac:dyDescent="0.25">
      <c r="A8" s="54" t="s">
        <v>55</v>
      </c>
      <c r="B8" s="38" t="s">
        <v>56</v>
      </c>
      <c r="C8" s="37">
        <v>3</v>
      </c>
      <c r="D8" s="28">
        <f t="shared" ref="D8:D35" si="1">SUM(E8:O8)</f>
        <v>0</v>
      </c>
      <c r="E8" s="32"/>
      <c r="F8" s="32"/>
      <c r="G8" s="32"/>
      <c r="H8" s="32"/>
      <c r="I8" s="32"/>
      <c r="J8" s="32"/>
      <c r="K8" s="32"/>
      <c r="L8" s="32"/>
      <c r="M8" s="32"/>
      <c r="N8" s="32"/>
      <c r="O8" s="32"/>
      <c r="P8" s="39"/>
    </row>
    <row r="9" spans="1:16" ht="28.5" customHeight="1" x14ac:dyDescent="0.25">
      <c r="A9" s="55"/>
      <c r="B9" s="38" t="s">
        <v>57</v>
      </c>
      <c r="C9" s="37">
        <v>2</v>
      </c>
      <c r="D9" s="28">
        <f t="shared" si="1"/>
        <v>0</v>
      </c>
      <c r="E9" s="32"/>
      <c r="F9" s="32"/>
      <c r="G9" s="32"/>
      <c r="H9" s="32"/>
      <c r="I9" s="32"/>
      <c r="J9" s="32"/>
      <c r="K9" s="32"/>
      <c r="L9" s="32"/>
      <c r="M9" s="32"/>
      <c r="N9" s="32"/>
      <c r="O9" s="32"/>
      <c r="P9" s="39"/>
    </row>
    <row r="10" spans="1:16" ht="28.5" customHeight="1" x14ac:dyDescent="0.25">
      <c r="A10" s="55"/>
      <c r="B10" s="38" t="s">
        <v>58</v>
      </c>
      <c r="C10" s="37">
        <v>41</v>
      </c>
      <c r="D10" s="28">
        <f t="shared" si="1"/>
        <v>12</v>
      </c>
      <c r="E10" s="32"/>
      <c r="F10" s="32"/>
      <c r="G10" s="32">
        <v>6</v>
      </c>
      <c r="H10" s="32"/>
      <c r="I10" s="32"/>
      <c r="J10" s="32">
        <v>6</v>
      </c>
      <c r="K10" s="32"/>
      <c r="L10" s="32"/>
      <c r="M10" s="32"/>
      <c r="N10" s="32"/>
      <c r="O10" s="32"/>
      <c r="P10" s="39"/>
    </row>
    <row r="11" spans="1:16" ht="28.5" customHeight="1" x14ac:dyDescent="0.25">
      <c r="A11" s="55"/>
      <c r="B11" s="38" t="s">
        <v>59</v>
      </c>
      <c r="C11" s="37">
        <v>16</v>
      </c>
      <c r="D11" s="28">
        <f t="shared" si="1"/>
        <v>7</v>
      </c>
      <c r="E11" s="32"/>
      <c r="F11" s="32"/>
      <c r="G11" s="32">
        <v>5</v>
      </c>
      <c r="H11" s="32"/>
      <c r="I11" s="32"/>
      <c r="J11" s="32">
        <v>2</v>
      </c>
      <c r="K11" s="32"/>
      <c r="L11" s="32"/>
      <c r="M11" s="32"/>
      <c r="N11" s="32"/>
      <c r="O11" s="32"/>
      <c r="P11" s="39"/>
    </row>
    <row r="12" spans="1:16" ht="28.5" customHeight="1" x14ac:dyDescent="0.25">
      <c r="A12" s="55"/>
      <c r="B12" s="38" t="s">
        <v>60</v>
      </c>
      <c r="C12" s="37">
        <v>1</v>
      </c>
      <c r="D12" s="28">
        <f t="shared" si="1"/>
        <v>0</v>
      </c>
      <c r="E12" s="32"/>
      <c r="F12" s="32"/>
      <c r="G12" s="32"/>
      <c r="H12" s="32"/>
      <c r="I12" s="32"/>
      <c r="J12" s="32"/>
      <c r="K12" s="32"/>
      <c r="L12" s="32"/>
      <c r="M12" s="32"/>
      <c r="N12" s="32"/>
      <c r="O12" s="32"/>
      <c r="P12" s="39"/>
    </row>
    <row r="13" spans="1:16" ht="28.5" customHeight="1" x14ac:dyDescent="0.25">
      <c r="A13" s="55"/>
      <c r="B13" s="38" t="s">
        <v>61</v>
      </c>
      <c r="C13" s="37">
        <v>9</v>
      </c>
      <c r="D13" s="28">
        <f t="shared" si="1"/>
        <v>2</v>
      </c>
      <c r="E13" s="32"/>
      <c r="F13" s="32"/>
      <c r="G13" s="32">
        <v>1</v>
      </c>
      <c r="H13" s="32"/>
      <c r="I13" s="32">
        <v>1</v>
      </c>
      <c r="J13" s="32"/>
      <c r="K13" s="32"/>
      <c r="L13" s="32"/>
      <c r="M13" s="32"/>
      <c r="N13" s="32"/>
      <c r="O13" s="32"/>
      <c r="P13" s="39"/>
    </row>
    <row r="14" spans="1:16" ht="28.5" customHeight="1" x14ac:dyDescent="0.25">
      <c r="A14" s="55"/>
      <c r="B14" s="38" t="s">
        <v>62</v>
      </c>
      <c r="C14" s="37">
        <v>1</v>
      </c>
      <c r="D14" s="28">
        <f t="shared" si="1"/>
        <v>0</v>
      </c>
      <c r="E14" s="32"/>
      <c r="F14" s="32"/>
      <c r="G14" s="32"/>
      <c r="H14" s="32"/>
      <c r="I14" s="32"/>
      <c r="J14" s="32"/>
      <c r="K14" s="32"/>
      <c r="L14" s="32"/>
      <c r="M14" s="32"/>
      <c r="N14" s="32"/>
      <c r="O14" s="32"/>
      <c r="P14" s="39"/>
    </row>
    <row r="15" spans="1:16" ht="28.5" customHeight="1" x14ac:dyDescent="0.25">
      <c r="A15" s="55"/>
      <c r="B15" s="38" t="s">
        <v>63</v>
      </c>
      <c r="C15" s="37">
        <v>6</v>
      </c>
      <c r="D15" s="28">
        <f t="shared" si="1"/>
        <v>3</v>
      </c>
      <c r="E15" s="32"/>
      <c r="F15" s="32"/>
      <c r="G15" s="32">
        <v>1</v>
      </c>
      <c r="H15" s="32"/>
      <c r="I15" s="32">
        <v>1</v>
      </c>
      <c r="J15" s="32">
        <v>1</v>
      </c>
      <c r="K15" s="32"/>
      <c r="L15" s="32"/>
      <c r="M15" s="32"/>
      <c r="N15" s="32"/>
      <c r="O15" s="32"/>
      <c r="P15" s="39"/>
    </row>
    <row r="16" spans="1:16" ht="28.5" customHeight="1" x14ac:dyDescent="0.25">
      <c r="A16" s="55"/>
      <c r="B16" s="38" t="s">
        <v>64</v>
      </c>
      <c r="C16" s="37">
        <v>0</v>
      </c>
      <c r="D16" s="28">
        <f t="shared" si="1"/>
        <v>0</v>
      </c>
      <c r="E16" s="32"/>
      <c r="F16" s="32"/>
      <c r="G16" s="32"/>
      <c r="H16" s="32"/>
      <c r="I16" s="32"/>
      <c r="J16" s="32"/>
      <c r="K16" s="32"/>
      <c r="L16" s="32"/>
      <c r="M16" s="32"/>
      <c r="N16" s="32"/>
      <c r="O16" s="32"/>
      <c r="P16" s="39"/>
    </row>
    <row r="17" spans="1:16" ht="28.5" customHeight="1" x14ac:dyDescent="0.25">
      <c r="A17" s="55"/>
      <c r="B17" s="38" t="s">
        <v>65</v>
      </c>
      <c r="C17" s="37">
        <v>0</v>
      </c>
      <c r="D17" s="28">
        <f t="shared" si="1"/>
        <v>0</v>
      </c>
      <c r="E17" s="32"/>
      <c r="F17" s="32"/>
      <c r="G17" s="32"/>
      <c r="H17" s="32"/>
      <c r="I17" s="32"/>
      <c r="J17" s="32"/>
      <c r="K17" s="32"/>
      <c r="L17" s="32"/>
      <c r="M17" s="32"/>
      <c r="N17" s="32"/>
      <c r="O17" s="32"/>
      <c r="P17" s="39"/>
    </row>
    <row r="18" spans="1:16" ht="28.5" customHeight="1" x14ac:dyDescent="0.25">
      <c r="A18" s="55"/>
      <c r="B18" s="38" t="s">
        <v>66</v>
      </c>
      <c r="C18" s="37">
        <v>1</v>
      </c>
      <c r="D18" s="28">
        <f t="shared" si="1"/>
        <v>1</v>
      </c>
      <c r="E18" s="32"/>
      <c r="F18" s="32"/>
      <c r="G18" s="32">
        <v>1</v>
      </c>
      <c r="H18" s="32"/>
      <c r="I18" s="32"/>
      <c r="J18" s="32"/>
      <c r="K18" s="32"/>
      <c r="L18" s="32"/>
      <c r="M18" s="32"/>
      <c r="N18" s="32"/>
      <c r="O18" s="32"/>
      <c r="P18" s="39"/>
    </row>
    <row r="19" spans="1:16" ht="28.5" customHeight="1" x14ac:dyDescent="0.25">
      <c r="A19" s="55"/>
      <c r="B19" s="38" t="s">
        <v>67</v>
      </c>
      <c r="C19" s="37">
        <v>0</v>
      </c>
      <c r="D19" s="28">
        <f t="shared" si="1"/>
        <v>0</v>
      </c>
      <c r="E19" s="32"/>
      <c r="F19" s="32"/>
      <c r="G19" s="32"/>
      <c r="H19" s="32"/>
      <c r="I19" s="32"/>
      <c r="J19" s="32"/>
      <c r="K19" s="32"/>
      <c r="L19" s="32"/>
      <c r="M19" s="32"/>
      <c r="N19" s="32"/>
      <c r="O19" s="32"/>
      <c r="P19" s="39"/>
    </row>
    <row r="20" spans="1:16" ht="28.5" customHeight="1" x14ac:dyDescent="0.25">
      <c r="A20" s="55"/>
      <c r="B20" s="38" t="s">
        <v>68</v>
      </c>
      <c r="C20" s="37">
        <v>0</v>
      </c>
      <c r="D20" s="28">
        <f t="shared" si="1"/>
        <v>0</v>
      </c>
      <c r="E20" s="32"/>
      <c r="F20" s="32"/>
      <c r="G20" s="32"/>
      <c r="H20" s="32"/>
      <c r="I20" s="32"/>
      <c r="J20" s="32"/>
      <c r="K20" s="32"/>
      <c r="L20" s="32"/>
      <c r="M20" s="32"/>
      <c r="N20" s="32"/>
      <c r="O20" s="32"/>
      <c r="P20" s="39"/>
    </row>
    <row r="21" spans="1:16" ht="28.5" customHeight="1" x14ac:dyDescent="0.25">
      <c r="A21" s="55"/>
      <c r="B21" s="38" t="s">
        <v>69</v>
      </c>
      <c r="C21" s="37">
        <v>0</v>
      </c>
      <c r="D21" s="28">
        <f t="shared" si="1"/>
        <v>0</v>
      </c>
      <c r="E21" s="32"/>
      <c r="F21" s="32"/>
      <c r="G21" s="32"/>
      <c r="H21" s="32"/>
      <c r="I21" s="32"/>
      <c r="J21" s="32"/>
      <c r="K21" s="32"/>
      <c r="L21" s="32"/>
      <c r="M21" s="32"/>
      <c r="N21" s="32"/>
      <c r="O21" s="32"/>
      <c r="P21" s="39"/>
    </row>
    <row r="22" spans="1:16" ht="28.5" customHeight="1" x14ac:dyDescent="0.25">
      <c r="A22" s="55"/>
      <c r="B22" s="38" t="s">
        <v>70</v>
      </c>
      <c r="C22" s="37">
        <v>65</v>
      </c>
      <c r="D22" s="28">
        <f t="shared" si="1"/>
        <v>34</v>
      </c>
      <c r="E22" s="32"/>
      <c r="F22" s="32">
        <v>15</v>
      </c>
      <c r="G22" s="32">
        <v>1</v>
      </c>
      <c r="H22" s="32"/>
      <c r="I22" s="32">
        <v>16</v>
      </c>
      <c r="J22" s="32">
        <v>2</v>
      </c>
      <c r="K22" s="32"/>
      <c r="L22" s="32"/>
      <c r="M22" s="32"/>
      <c r="N22" s="32"/>
      <c r="O22" s="32"/>
      <c r="P22" s="39"/>
    </row>
    <row r="23" spans="1:16" ht="28.5" customHeight="1" x14ac:dyDescent="0.25">
      <c r="A23" s="55"/>
      <c r="B23" s="38" t="s">
        <v>71</v>
      </c>
      <c r="C23" s="37">
        <v>4</v>
      </c>
      <c r="D23" s="28">
        <f t="shared" si="1"/>
        <v>1</v>
      </c>
      <c r="E23" s="32"/>
      <c r="F23" s="32"/>
      <c r="G23" s="32">
        <v>1</v>
      </c>
      <c r="H23" s="32"/>
      <c r="I23" s="32"/>
      <c r="J23" s="32"/>
      <c r="K23" s="32"/>
      <c r="L23" s="32"/>
      <c r="M23" s="32"/>
      <c r="N23" s="32"/>
      <c r="O23" s="32"/>
      <c r="P23" s="39"/>
    </row>
    <row r="24" spans="1:16" ht="24" customHeight="1" x14ac:dyDescent="0.25">
      <c r="A24" s="55"/>
      <c r="B24" s="40" t="s">
        <v>72</v>
      </c>
      <c r="C24" s="37">
        <v>5</v>
      </c>
      <c r="D24" s="28">
        <f t="shared" si="1"/>
        <v>5</v>
      </c>
      <c r="E24" s="32"/>
      <c r="F24" s="32"/>
      <c r="G24" s="32"/>
      <c r="H24" s="32">
        <v>5</v>
      </c>
      <c r="I24" s="32"/>
      <c r="J24" s="32"/>
      <c r="K24" s="32"/>
      <c r="L24" s="32"/>
      <c r="M24" s="32"/>
      <c r="N24" s="32"/>
      <c r="O24" s="32"/>
      <c r="P24" s="39"/>
    </row>
    <row r="25" spans="1:16" ht="24" customHeight="1" x14ac:dyDescent="0.25">
      <c r="A25" s="55"/>
      <c r="B25" s="40" t="s">
        <v>73</v>
      </c>
      <c r="C25" s="37">
        <v>5</v>
      </c>
      <c r="D25" s="28">
        <f t="shared" si="1"/>
        <v>5</v>
      </c>
      <c r="E25" s="32"/>
      <c r="F25" s="32"/>
      <c r="G25" s="32"/>
      <c r="H25" s="32">
        <v>5</v>
      </c>
      <c r="I25" s="32"/>
      <c r="J25" s="32"/>
      <c r="K25" s="32"/>
      <c r="L25" s="32"/>
      <c r="M25" s="32"/>
      <c r="N25" s="32"/>
      <c r="O25" s="32"/>
      <c r="P25" s="39"/>
    </row>
    <row r="26" spans="1:16" ht="24" customHeight="1" x14ac:dyDescent="0.25">
      <c r="A26" s="55"/>
      <c r="B26" s="40" t="s">
        <v>74</v>
      </c>
      <c r="C26" s="37">
        <v>5</v>
      </c>
      <c r="D26" s="28">
        <f t="shared" si="1"/>
        <v>5</v>
      </c>
      <c r="E26" s="32"/>
      <c r="F26" s="32"/>
      <c r="G26" s="32"/>
      <c r="H26" s="32">
        <v>5</v>
      </c>
      <c r="I26" s="32"/>
      <c r="J26" s="32"/>
      <c r="K26" s="32"/>
      <c r="L26" s="32"/>
      <c r="M26" s="32"/>
      <c r="N26" s="32"/>
      <c r="O26" s="32"/>
      <c r="P26" s="39"/>
    </row>
    <row r="27" spans="1:16" ht="24" customHeight="1" x14ac:dyDescent="0.25">
      <c r="A27" s="55"/>
      <c r="B27" s="40" t="s">
        <v>75</v>
      </c>
      <c r="C27" s="37">
        <v>5</v>
      </c>
      <c r="D27" s="28">
        <f t="shared" si="1"/>
        <v>1</v>
      </c>
      <c r="E27" s="32"/>
      <c r="F27" s="32"/>
      <c r="G27" s="32"/>
      <c r="H27" s="32"/>
      <c r="I27" s="32"/>
      <c r="J27" s="32">
        <v>1</v>
      </c>
      <c r="K27" s="32"/>
      <c r="L27" s="32"/>
      <c r="M27" s="32"/>
      <c r="N27" s="32"/>
      <c r="O27" s="32"/>
      <c r="P27" s="39"/>
    </row>
    <row r="28" spans="1:16" ht="24" customHeight="1" x14ac:dyDescent="0.25">
      <c r="A28" s="55"/>
      <c r="B28" s="40" t="s">
        <v>76</v>
      </c>
      <c r="C28" s="37">
        <v>5</v>
      </c>
      <c r="D28" s="28">
        <f t="shared" si="1"/>
        <v>0</v>
      </c>
      <c r="E28" s="32"/>
      <c r="F28" s="32"/>
      <c r="G28" s="32"/>
      <c r="H28" s="32"/>
      <c r="I28" s="32"/>
      <c r="J28" s="32"/>
      <c r="K28" s="32"/>
      <c r="L28" s="32"/>
      <c r="M28" s="32"/>
      <c r="N28" s="32"/>
      <c r="O28" s="32"/>
      <c r="P28" s="39"/>
    </row>
    <row r="29" spans="1:16" ht="24" customHeight="1" x14ac:dyDescent="0.25">
      <c r="A29" s="55"/>
      <c r="B29" s="40" t="s">
        <v>77</v>
      </c>
      <c r="C29" s="37">
        <v>1</v>
      </c>
      <c r="D29" s="28">
        <f t="shared" si="1"/>
        <v>0</v>
      </c>
      <c r="E29" s="32"/>
      <c r="F29" s="32"/>
      <c r="G29" s="32"/>
      <c r="H29" s="32"/>
      <c r="I29" s="32"/>
      <c r="J29" s="32"/>
      <c r="K29" s="32"/>
      <c r="L29" s="32"/>
      <c r="M29" s="32"/>
      <c r="N29" s="32"/>
      <c r="O29" s="32"/>
      <c r="P29" s="39"/>
    </row>
    <row r="30" spans="1:16" ht="24" customHeight="1" x14ac:dyDescent="0.25">
      <c r="A30" s="55"/>
      <c r="B30" s="40" t="s">
        <v>78</v>
      </c>
      <c r="C30" s="37">
        <v>1</v>
      </c>
      <c r="D30" s="28">
        <f t="shared" si="1"/>
        <v>0</v>
      </c>
      <c r="E30" s="32"/>
      <c r="F30" s="32"/>
      <c r="G30" s="32"/>
      <c r="H30" s="32"/>
      <c r="I30" s="32"/>
      <c r="J30" s="32"/>
      <c r="K30" s="32"/>
      <c r="L30" s="32"/>
      <c r="M30" s="32"/>
      <c r="N30" s="32"/>
      <c r="O30" s="32"/>
      <c r="P30" s="39"/>
    </row>
    <row r="31" spans="1:16" ht="24" customHeight="1" x14ac:dyDescent="0.25">
      <c r="A31" s="55"/>
      <c r="B31" s="40" t="s">
        <v>79</v>
      </c>
      <c r="C31" s="37">
        <v>1</v>
      </c>
      <c r="D31" s="28">
        <f t="shared" si="1"/>
        <v>0</v>
      </c>
      <c r="E31" s="32"/>
      <c r="F31" s="32"/>
      <c r="G31" s="32"/>
      <c r="H31" s="32"/>
      <c r="I31" s="32"/>
      <c r="J31" s="32"/>
      <c r="K31" s="32"/>
      <c r="L31" s="32"/>
      <c r="M31" s="32"/>
      <c r="N31" s="32"/>
      <c r="O31" s="32"/>
      <c r="P31" s="39"/>
    </row>
    <row r="32" spans="1:16" ht="24" customHeight="1" x14ac:dyDescent="0.25">
      <c r="A32" s="55"/>
      <c r="B32" s="40" t="s">
        <v>80</v>
      </c>
      <c r="C32" s="37">
        <v>1</v>
      </c>
      <c r="D32" s="28">
        <f t="shared" si="1"/>
        <v>0</v>
      </c>
      <c r="E32" s="32"/>
      <c r="F32" s="32"/>
      <c r="G32" s="32"/>
      <c r="H32" s="32"/>
      <c r="I32" s="32"/>
      <c r="J32" s="32"/>
      <c r="K32" s="32"/>
      <c r="L32" s="32"/>
      <c r="M32" s="32"/>
      <c r="N32" s="32"/>
      <c r="O32" s="32"/>
      <c r="P32" s="39"/>
    </row>
    <row r="33" spans="1:16" ht="24" customHeight="1" x14ac:dyDescent="0.25">
      <c r="A33" s="55"/>
      <c r="B33" s="40" t="s">
        <v>81</v>
      </c>
      <c r="C33" s="37">
        <v>1</v>
      </c>
      <c r="D33" s="28">
        <f t="shared" si="1"/>
        <v>0</v>
      </c>
      <c r="E33" s="32"/>
      <c r="F33" s="32"/>
      <c r="G33" s="32"/>
      <c r="H33" s="32"/>
      <c r="I33" s="32"/>
      <c r="J33" s="32"/>
      <c r="K33" s="32"/>
      <c r="L33" s="32"/>
      <c r="M33" s="32"/>
      <c r="N33" s="32"/>
      <c r="O33" s="32"/>
      <c r="P33" s="39"/>
    </row>
    <row r="34" spans="1:16" ht="24" customHeight="1" x14ac:dyDescent="0.25">
      <c r="A34" s="55"/>
      <c r="B34" s="40" t="s">
        <v>82</v>
      </c>
      <c r="C34" s="37">
        <v>1</v>
      </c>
      <c r="D34" s="28">
        <f t="shared" si="1"/>
        <v>0</v>
      </c>
      <c r="E34" s="32"/>
      <c r="F34" s="32"/>
      <c r="G34" s="32"/>
      <c r="H34" s="32"/>
      <c r="I34" s="32"/>
      <c r="J34" s="32"/>
      <c r="K34" s="32"/>
      <c r="L34" s="32"/>
      <c r="M34" s="32"/>
      <c r="N34" s="32"/>
      <c r="O34" s="32"/>
      <c r="P34" s="39"/>
    </row>
    <row r="35" spans="1:16" ht="24" customHeight="1" thickBot="1" x14ac:dyDescent="0.3">
      <c r="A35" s="56"/>
      <c r="B35" s="41" t="s">
        <v>83</v>
      </c>
      <c r="C35" s="37">
        <v>1</v>
      </c>
      <c r="D35" s="28">
        <f t="shared" si="1"/>
        <v>0</v>
      </c>
      <c r="E35" s="32"/>
      <c r="F35" s="32"/>
      <c r="G35" s="32"/>
      <c r="H35" s="32"/>
      <c r="I35" s="32"/>
      <c r="J35" s="32"/>
      <c r="K35" s="32"/>
      <c r="L35" s="32"/>
      <c r="M35" s="32"/>
      <c r="N35" s="32"/>
      <c r="O35" s="32"/>
      <c r="P35" s="39"/>
    </row>
    <row r="36" spans="1:16" x14ac:dyDescent="0.25">
      <c r="C36" s="42">
        <f>SUM(C3:C35)</f>
        <v>191</v>
      </c>
      <c r="D36" s="43">
        <f>SUM(D3:D35)</f>
        <v>79</v>
      </c>
    </row>
    <row r="37" spans="1:16" x14ac:dyDescent="0.25">
      <c r="C37" s="11"/>
      <c r="D37" s="44">
        <f>D36/C36</f>
        <v>0.41361256544502617</v>
      </c>
    </row>
  </sheetData>
  <sheetProtection algorithmName="SHA-512" hashValue="tbFr7TvEfdY9Nt4Hpf8HJ25tpNTMuCYXDAj0SL3TtJo32WtoSmuZdHZMlOcFP+qUX+6oNim+YjJf0Gblcz9EPA==" saltValue="xiUxIB5S7EIm2rjAESvm5g==" spinCount="100000" sheet="1" objects="1" scenarios="1" autoFilter="0"/>
  <mergeCells count="2">
    <mergeCell ref="A1:A2"/>
    <mergeCell ref="A8:A35"/>
  </mergeCells>
  <conditionalFormatting sqref="C3:D3 D4:D7">
    <cfRule type="dataBar" priority="47">
      <dataBar>
        <cfvo type="min"/>
        <cfvo type="max"/>
        <color rgb="FF008AEF"/>
      </dataBar>
      <extLst>
        <ext xmlns:x14="http://schemas.microsoft.com/office/spreadsheetml/2009/9/main" uri="{B025F937-C7B1-47D3-B67F-A62EFF666E3E}">
          <x14:id>{391B1A77-EC41-4CDE-99B9-1077C9C9BBCB}</x14:id>
        </ext>
      </extLst>
    </cfRule>
  </conditionalFormatting>
  <conditionalFormatting sqref="C4:D4">
    <cfRule type="dataBar" priority="4">
      <dataBar>
        <cfvo type="min"/>
        <cfvo type="max"/>
        <color rgb="FF008AEF"/>
      </dataBar>
      <extLst>
        <ext xmlns:x14="http://schemas.microsoft.com/office/spreadsheetml/2009/9/main" uri="{B025F937-C7B1-47D3-B67F-A62EFF666E3E}">
          <x14:id>{0D312FB4-78FF-4CC5-A387-74DF3FCDF533}</x14:id>
        </ext>
      </extLst>
    </cfRule>
  </conditionalFormatting>
  <conditionalFormatting sqref="C5:D5">
    <cfRule type="dataBar" priority="5">
      <dataBar>
        <cfvo type="min"/>
        <cfvo type="max"/>
        <color rgb="FF008AEF"/>
      </dataBar>
      <extLst>
        <ext xmlns:x14="http://schemas.microsoft.com/office/spreadsheetml/2009/9/main" uri="{B025F937-C7B1-47D3-B67F-A62EFF666E3E}">
          <x14:id>{E31C3E08-C632-43F4-A143-0812BC7EC1F4}</x14:id>
        </ext>
      </extLst>
    </cfRule>
  </conditionalFormatting>
  <conditionalFormatting sqref="C6:D6">
    <cfRule type="dataBar" priority="6">
      <dataBar>
        <cfvo type="min"/>
        <cfvo type="max"/>
        <color rgb="FF008AEF"/>
      </dataBar>
      <extLst>
        <ext xmlns:x14="http://schemas.microsoft.com/office/spreadsheetml/2009/9/main" uri="{B025F937-C7B1-47D3-B67F-A62EFF666E3E}">
          <x14:id>{B7BB09EB-AFF1-4859-86D9-6223B9F0FA59}</x14:id>
        </ext>
      </extLst>
    </cfRule>
  </conditionalFormatting>
  <conditionalFormatting sqref="C7:D7">
    <cfRule type="dataBar" priority="7">
      <dataBar>
        <cfvo type="min"/>
        <cfvo type="max"/>
        <color rgb="FF008AEF"/>
      </dataBar>
      <extLst>
        <ext xmlns:x14="http://schemas.microsoft.com/office/spreadsheetml/2009/9/main" uri="{B025F937-C7B1-47D3-B67F-A62EFF666E3E}">
          <x14:id>{CC5CC550-729F-49AF-B109-66EB89128055}</x14:id>
        </ext>
      </extLst>
    </cfRule>
  </conditionalFormatting>
  <conditionalFormatting sqref="C8:D8">
    <cfRule type="dataBar" priority="12">
      <dataBar>
        <cfvo type="min"/>
        <cfvo type="max"/>
        <color rgb="FF008AEF"/>
      </dataBar>
      <extLst>
        <ext xmlns:x14="http://schemas.microsoft.com/office/spreadsheetml/2009/9/main" uri="{B025F937-C7B1-47D3-B67F-A62EFF666E3E}">
          <x14:id>{16F1E7CF-7F05-4A96-B85D-37EFAC0C022B}</x14:id>
        </ext>
      </extLst>
    </cfRule>
  </conditionalFormatting>
  <conditionalFormatting sqref="C9:D9">
    <cfRule type="dataBar" priority="39">
      <dataBar>
        <cfvo type="min"/>
        <cfvo type="max"/>
        <color rgb="FF008AEF"/>
      </dataBar>
      <extLst>
        <ext xmlns:x14="http://schemas.microsoft.com/office/spreadsheetml/2009/9/main" uri="{B025F937-C7B1-47D3-B67F-A62EFF666E3E}">
          <x14:id>{62B3B68D-230A-4F8C-94DA-AE1CA2E682F8}</x14:id>
        </ext>
      </extLst>
    </cfRule>
  </conditionalFormatting>
  <conditionalFormatting sqref="C10:D10">
    <cfRule type="dataBar" priority="38">
      <dataBar>
        <cfvo type="min"/>
        <cfvo type="max"/>
        <color rgb="FF008AEF"/>
      </dataBar>
      <extLst>
        <ext xmlns:x14="http://schemas.microsoft.com/office/spreadsheetml/2009/9/main" uri="{B025F937-C7B1-47D3-B67F-A62EFF666E3E}">
          <x14:id>{276308DD-461C-45F5-A473-49A2337B7935}</x14:id>
        </ext>
      </extLst>
    </cfRule>
  </conditionalFormatting>
  <conditionalFormatting sqref="C11:D11">
    <cfRule type="dataBar" priority="37">
      <dataBar>
        <cfvo type="min"/>
        <cfvo type="max"/>
        <color rgb="FF008AEF"/>
      </dataBar>
      <extLst>
        <ext xmlns:x14="http://schemas.microsoft.com/office/spreadsheetml/2009/9/main" uri="{B025F937-C7B1-47D3-B67F-A62EFF666E3E}">
          <x14:id>{F845E39E-79B4-4905-BBD1-52FCB22717F7}</x14:id>
        </ext>
      </extLst>
    </cfRule>
  </conditionalFormatting>
  <conditionalFormatting sqref="C12:D12">
    <cfRule type="dataBar" priority="36">
      <dataBar>
        <cfvo type="min"/>
        <cfvo type="max"/>
        <color rgb="FF008AEF"/>
      </dataBar>
      <extLst>
        <ext xmlns:x14="http://schemas.microsoft.com/office/spreadsheetml/2009/9/main" uri="{B025F937-C7B1-47D3-B67F-A62EFF666E3E}">
          <x14:id>{4768B926-3B96-4DFA-80CA-AB1434D75FF6}</x14:id>
        </ext>
      </extLst>
    </cfRule>
  </conditionalFormatting>
  <conditionalFormatting sqref="C13:D13">
    <cfRule type="dataBar" priority="35">
      <dataBar>
        <cfvo type="min"/>
        <cfvo type="max"/>
        <color rgb="FF008AEF"/>
      </dataBar>
      <extLst>
        <ext xmlns:x14="http://schemas.microsoft.com/office/spreadsheetml/2009/9/main" uri="{B025F937-C7B1-47D3-B67F-A62EFF666E3E}">
          <x14:id>{2FAD95D3-542E-49B9-A473-6E916FB8BF6C}</x14:id>
        </ext>
      </extLst>
    </cfRule>
  </conditionalFormatting>
  <conditionalFormatting sqref="C14:D14">
    <cfRule type="dataBar" priority="34">
      <dataBar>
        <cfvo type="min"/>
        <cfvo type="max"/>
        <color rgb="FF008AEF"/>
      </dataBar>
      <extLst>
        <ext xmlns:x14="http://schemas.microsoft.com/office/spreadsheetml/2009/9/main" uri="{B025F937-C7B1-47D3-B67F-A62EFF666E3E}">
          <x14:id>{181025F0-F5EB-4F15-9954-F824FD3A7C42}</x14:id>
        </ext>
      </extLst>
    </cfRule>
  </conditionalFormatting>
  <conditionalFormatting sqref="C15:D15">
    <cfRule type="dataBar" priority="33">
      <dataBar>
        <cfvo type="min"/>
        <cfvo type="max"/>
        <color rgb="FF008AEF"/>
      </dataBar>
      <extLst>
        <ext xmlns:x14="http://schemas.microsoft.com/office/spreadsheetml/2009/9/main" uri="{B025F937-C7B1-47D3-B67F-A62EFF666E3E}">
          <x14:id>{CC6B8145-297C-4D31-B2C0-96A891E40CAF}</x14:id>
        </ext>
      </extLst>
    </cfRule>
  </conditionalFormatting>
  <conditionalFormatting sqref="C16:D16">
    <cfRule type="dataBar" priority="32">
      <dataBar>
        <cfvo type="min"/>
        <cfvo type="max"/>
        <color rgb="FF008AEF"/>
      </dataBar>
      <extLst>
        <ext xmlns:x14="http://schemas.microsoft.com/office/spreadsheetml/2009/9/main" uri="{B025F937-C7B1-47D3-B67F-A62EFF666E3E}">
          <x14:id>{29046E98-5BC6-4FC5-A77F-7B8ACC5EA5A9}</x14:id>
        </ext>
      </extLst>
    </cfRule>
  </conditionalFormatting>
  <conditionalFormatting sqref="C17:D17">
    <cfRule type="dataBar" priority="31">
      <dataBar>
        <cfvo type="min"/>
        <cfvo type="max"/>
        <color rgb="FF008AEF"/>
      </dataBar>
      <extLst>
        <ext xmlns:x14="http://schemas.microsoft.com/office/spreadsheetml/2009/9/main" uri="{B025F937-C7B1-47D3-B67F-A62EFF666E3E}">
          <x14:id>{F718BC24-6C8C-4EC2-8387-A7885E209953}</x14:id>
        </ext>
      </extLst>
    </cfRule>
  </conditionalFormatting>
  <conditionalFormatting sqref="C18:D18">
    <cfRule type="dataBar" priority="30">
      <dataBar>
        <cfvo type="min"/>
        <cfvo type="max"/>
        <color rgb="FF008AEF"/>
      </dataBar>
      <extLst>
        <ext xmlns:x14="http://schemas.microsoft.com/office/spreadsheetml/2009/9/main" uri="{B025F937-C7B1-47D3-B67F-A62EFF666E3E}">
          <x14:id>{C6D7C47B-EA54-435B-8D91-88355210D1F3}</x14:id>
        </ext>
      </extLst>
    </cfRule>
  </conditionalFormatting>
  <conditionalFormatting sqref="C19:D19">
    <cfRule type="dataBar" priority="29">
      <dataBar>
        <cfvo type="min"/>
        <cfvo type="max"/>
        <color rgb="FF008AEF"/>
      </dataBar>
      <extLst>
        <ext xmlns:x14="http://schemas.microsoft.com/office/spreadsheetml/2009/9/main" uri="{B025F937-C7B1-47D3-B67F-A62EFF666E3E}">
          <x14:id>{DE2A3DA8-D0CD-4077-B53A-E52A5D25B358}</x14:id>
        </ext>
      </extLst>
    </cfRule>
  </conditionalFormatting>
  <conditionalFormatting sqref="C20:D20">
    <cfRule type="dataBar" priority="28">
      <dataBar>
        <cfvo type="min"/>
        <cfvo type="max"/>
        <color rgb="FF008AEF"/>
      </dataBar>
      <extLst>
        <ext xmlns:x14="http://schemas.microsoft.com/office/spreadsheetml/2009/9/main" uri="{B025F937-C7B1-47D3-B67F-A62EFF666E3E}">
          <x14:id>{9603CABD-6A2F-45F6-920D-0F36181CA5F4}</x14:id>
        </ext>
      </extLst>
    </cfRule>
  </conditionalFormatting>
  <conditionalFormatting sqref="C21:D21">
    <cfRule type="dataBar" priority="27">
      <dataBar>
        <cfvo type="min"/>
        <cfvo type="max"/>
        <color rgb="FF008AEF"/>
      </dataBar>
      <extLst>
        <ext xmlns:x14="http://schemas.microsoft.com/office/spreadsheetml/2009/9/main" uri="{B025F937-C7B1-47D3-B67F-A62EFF666E3E}">
          <x14:id>{80E85F3C-EAEE-4066-84F8-F43B2DECE2B7}</x14:id>
        </ext>
      </extLst>
    </cfRule>
  </conditionalFormatting>
  <conditionalFormatting sqref="C22:D22">
    <cfRule type="dataBar" priority="26">
      <dataBar>
        <cfvo type="min"/>
        <cfvo type="max"/>
        <color rgb="FF008AEF"/>
      </dataBar>
      <extLst>
        <ext xmlns:x14="http://schemas.microsoft.com/office/spreadsheetml/2009/9/main" uri="{B025F937-C7B1-47D3-B67F-A62EFF666E3E}">
          <x14:id>{98C75FBB-AF31-4503-8AC6-0C74B32ACB7E}</x14:id>
        </ext>
      </extLst>
    </cfRule>
  </conditionalFormatting>
  <conditionalFormatting sqref="C23:D23">
    <cfRule type="dataBar" priority="25">
      <dataBar>
        <cfvo type="min"/>
        <cfvo type="max"/>
        <color rgb="FF008AEF"/>
      </dataBar>
      <extLst>
        <ext xmlns:x14="http://schemas.microsoft.com/office/spreadsheetml/2009/9/main" uri="{B025F937-C7B1-47D3-B67F-A62EFF666E3E}">
          <x14:id>{9DE10F26-0A5D-49A7-93EB-A2DD475A5FE5}</x14:id>
        </ext>
      </extLst>
    </cfRule>
  </conditionalFormatting>
  <conditionalFormatting sqref="C24:D24">
    <cfRule type="dataBar" priority="24">
      <dataBar>
        <cfvo type="min"/>
        <cfvo type="max"/>
        <color rgb="FF008AEF"/>
      </dataBar>
      <extLst>
        <ext xmlns:x14="http://schemas.microsoft.com/office/spreadsheetml/2009/9/main" uri="{B025F937-C7B1-47D3-B67F-A62EFF666E3E}">
          <x14:id>{1E51F4EE-BE5D-4EE8-B96E-1551C4841AE7}</x14:id>
        </ext>
      </extLst>
    </cfRule>
  </conditionalFormatting>
  <conditionalFormatting sqref="C25:D25">
    <cfRule type="dataBar" priority="23">
      <dataBar>
        <cfvo type="min"/>
        <cfvo type="max"/>
        <color rgb="FF008AEF"/>
      </dataBar>
      <extLst>
        <ext xmlns:x14="http://schemas.microsoft.com/office/spreadsheetml/2009/9/main" uri="{B025F937-C7B1-47D3-B67F-A62EFF666E3E}">
          <x14:id>{F40B7CF2-C948-47CC-AC91-9F3A783D2CC4}</x14:id>
        </ext>
      </extLst>
    </cfRule>
  </conditionalFormatting>
  <conditionalFormatting sqref="C26:D26">
    <cfRule type="dataBar" priority="22">
      <dataBar>
        <cfvo type="min"/>
        <cfvo type="max"/>
        <color rgb="FF008AEF"/>
      </dataBar>
      <extLst>
        <ext xmlns:x14="http://schemas.microsoft.com/office/spreadsheetml/2009/9/main" uri="{B025F937-C7B1-47D3-B67F-A62EFF666E3E}">
          <x14:id>{82F4E658-1647-4044-A9A0-EB47A02D50EE}</x14:id>
        </ext>
      </extLst>
    </cfRule>
  </conditionalFormatting>
  <conditionalFormatting sqref="C27:D27">
    <cfRule type="dataBar" priority="21">
      <dataBar>
        <cfvo type="min"/>
        <cfvo type="max"/>
        <color rgb="FF008AEF"/>
      </dataBar>
      <extLst>
        <ext xmlns:x14="http://schemas.microsoft.com/office/spreadsheetml/2009/9/main" uri="{B025F937-C7B1-47D3-B67F-A62EFF666E3E}">
          <x14:id>{036CF806-6895-4DAC-B246-21AB76FCE500}</x14:id>
        </ext>
      </extLst>
    </cfRule>
  </conditionalFormatting>
  <conditionalFormatting sqref="C28:D28">
    <cfRule type="dataBar" priority="20">
      <dataBar>
        <cfvo type="min"/>
        <cfvo type="max"/>
        <color rgb="FF008AEF"/>
      </dataBar>
      <extLst>
        <ext xmlns:x14="http://schemas.microsoft.com/office/spreadsheetml/2009/9/main" uri="{B025F937-C7B1-47D3-B67F-A62EFF666E3E}">
          <x14:id>{30A14130-13BC-4D2D-A6BD-95E8C2826ED9}</x14:id>
        </ext>
      </extLst>
    </cfRule>
  </conditionalFormatting>
  <conditionalFormatting sqref="C29:D29">
    <cfRule type="dataBar" priority="19">
      <dataBar>
        <cfvo type="min"/>
        <cfvo type="max"/>
        <color rgb="FF008AEF"/>
      </dataBar>
      <extLst>
        <ext xmlns:x14="http://schemas.microsoft.com/office/spreadsheetml/2009/9/main" uri="{B025F937-C7B1-47D3-B67F-A62EFF666E3E}">
          <x14:id>{9A278E8E-06C6-4709-8993-B1FB77754245}</x14:id>
        </ext>
      </extLst>
    </cfRule>
  </conditionalFormatting>
  <conditionalFormatting sqref="C30:D30">
    <cfRule type="dataBar" priority="18">
      <dataBar>
        <cfvo type="min"/>
        <cfvo type="max"/>
        <color rgb="FF008AEF"/>
      </dataBar>
      <extLst>
        <ext xmlns:x14="http://schemas.microsoft.com/office/spreadsheetml/2009/9/main" uri="{B025F937-C7B1-47D3-B67F-A62EFF666E3E}">
          <x14:id>{9AF25B5F-C7A6-4EB5-BD5A-25CFF5A1EAED}</x14:id>
        </ext>
      </extLst>
    </cfRule>
  </conditionalFormatting>
  <conditionalFormatting sqref="C31:D31">
    <cfRule type="dataBar" priority="17">
      <dataBar>
        <cfvo type="min"/>
        <cfvo type="max"/>
        <color rgb="FF008AEF"/>
      </dataBar>
      <extLst>
        <ext xmlns:x14="http://schemas.microsoft.com/office/spreadsheetml/2009/9/main" uri="{B025F937-C7B1-47D3-B67F-A62EFF666E3E}">
          <x14:id>{54F5EE03-C065-4557-8D53-965D9D65A7E5}</x14:id>
        </ext>
      </extLst>
    </cfRule>
  </conditionalFormatting>
  <conditionalFormatting sqref="C32:D32">
    <cfRule type="dataBar" priority="16">
      <dataBar>
        <cfvo type="min"/>
        <cfvo type="max"/>
        <color rgb="FF008AEF"/>
      </dataBar>
      <extLst>
        <ext xmlns:x14="http://schemas.microsoft.com/office/spreadsheetml/2009/9/main" uri="{B025F937-C7B1-47D3-B67F-A62EFF666E3E}">
          <x14:id>{B9902F2B-0ADD-4D87-973A-4E1A42FF8A43}</x14:id>
        </ext>
      </extLst>
    </cfRule>
  </conditionalFormatting>
  <conditionalFormatting sqref="C33:D33">
    <cfRule type="dataBar" priority="15">
      <dataBar>
        <cfvo type="min"/>
        <cfvo type="max"/>
        <color rgb="FF008AEF"/>
      </dataBar>
      <extLst>
        <ext xmlns:x14="http://schemas.microsoft.com/office/spreadsheetml/2009/9/main" uri="{B025F937-C7B1-47D3-B67F-A62EFF666E3E}">
          <x14:id>{E8C569BD-4EBB-4770-8087-F3365D49E137}</x14:id>
        </ext>
      </extLst>
    </cfRule>
  </conditionalFormatting>
  <conditionalFormatting sqref="C34:D34">
    <cfRule type="dataBar" priority="14">
      <dataBar>
        <cfvo type="min"/>
        <cfvo type="max"/>
        <color rgb="FF008AEF"/>
      </dataBar>
      <extLst>
        <ext xmlns:x14="http://schemas.microsoft.com/office/spreadsheetml/2009/9/main" uri="{B025F937-C7B1-47D3-B67F-A62EFF666E3E}">
          <x14:id>{C70818CA-CBF3-4EDE-9CD1-6410E169FF4D}</x14:id>
        </ext>
      </extLst>
    </cfRule>
  </conditionalFormatting>
  <conditionalFormatting sqref="C35:D35">
    <cfRule type="dataBar" priority="13">
      <dataBar>
        <cfvo type="min"/>
        <cfvo type="max"/>
        <color rgb="FF008AEF"/>
      </dataBar>
      <extLst>
        <ext xmlns:x14="http://schemas.microsoft.com/office/spreadsheetml/2009/9/main" uri="{B025F937-C7B1-47D3-B67F-A62EFF666E3E}">
          <x14:id>{A41B0278-AB3E-4B09-A280-DF9FECDBD455}</x14:id>
        </ext>
      </extLst>
    </cfRule>
  </conditionalFormatting>
  <conditionalFormatting sqref="E3:F31 E32:O35">
    <cfRule type="cellIs" dxfId="16" priority="1" operator="greaterThan">
      <formula>0</formula>
    </cfRule>
  </conditionalFormatting>
  <conditionalFormatting sqref="G8:O31">
    <cfRule type="cellIs" dxfId="15" priority="11" operator="greaterThan">
      <formula>0</formula>
    </cfRule>
  </conditionalFormatting>
  <conditionalFormatting sqref="G3:P7">
    <cfRule type="cellIs" dxfId="14" priority="2" operator="greaterThan">
      <formula>0</formula>
    </cfRule>
  </conditionalFormatting>
  <pageMargins left="0.7" right="0.7" top="0.75" bottom="0.75" header="0.3" footer="0.3"/>
  <pageSetup paperSize="9" orientation="portrait"/>
  <extLst>
    <ext xmlns:x14="http://schemas.microsoft.com/office/spreadsheetml/2009/9/main" uri="{78C0D931-6437-407d-A8EE-F0AAD7539E65}">
      <x14:conditionalFormattings>
        <x14:conditionalFormatting xmlns:xm="http://schemas.microsoft.com/office/excel/2006/main">
          <x14:cfRule type="dataBar" id="{391B1A77-EC41-4CDE-99B9-1077C9C9BBCB}">
            <x14:dataBar minLength="0" maxLength="100" gradient="0">
              <x14:cfvo type="autoMin"/>
              <x14:cfvo type="autoMax"/>
              <x14:negativeFillColor rgb="FFFF0000"/>
              <x14:axisColor rgb="FF000000"/>
            </x14:dataBar>
          </x14:cfRule>
          <xm:sqref>C3:D3 D4:D7</xm:sqref>
        </x14:conditionalFormatting>
        <x14:conditionalFormatting xmlns:xm="http://schemas.microsoft.com/office/excel/2006/main">
          <x14:cfRule type="dataBar" id="{0D312FB4-78FF-4CC5-A387-74DF3FCDF533}">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E31C3E08-C632-43F4-A143-0812BC7EC1F4}">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B7BB09EB-AFF1-4859-86D9-6223B9F0FA59}">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CC5CC550-729F-49AF-B109-66EB89128055}">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16F1E7CF-7F05-4A96-B85D-37EFAC0C022B}">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62B3B68D-230A-4F8C-94DA-AE1CA2E682F8}">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276308DD-461C-45F5-A473-49A2337B7935}">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F845E39E-79B4-4905-BBD1-52FCB22717F7}">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4768B926-3B96-4DFA-80CA-AB1434D75FF6}">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2FAD95D3-542E-49B9-A473-6E916FB8BF6C}">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181025F0-F5EB-4F15-9954-F824FD3A7C42}">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CC6B8145-297C-4D31-B2C0-96A891E40CAF}">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29046E98-5BC6-4FC5-A77F-7B8ACC5EA5A9}">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F718BC24-6C8C-4EC2-8387-A7885E209953}">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C6D7C47B-EA54-435B-8D91-88355210D1F3}">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DE2A3DA8-D0CD-4077-B53A-E52A5D25B358}">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9603CABD-6A2F-45F6-920D-0F36181CA5F4}">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80E85F3C-EAEE-4066-84F8-F43B2DECE2B7}">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98C75FBB-AF31-4503-8AC6-0C74B32ACB7E}">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9DE10F26-0A5D-49A7-93EB-A2DD475A5FE5}">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1E51F4EE-BE5D-4EE8-B96E-1551C4841AE7}">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F40B7CF2-C948-47CC-AC91-9F3A783D2CC4}">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82F4E658-1647-4044-A9A0-EB47A02D50EE}">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036CF806-6895-4DAC-B246-21AB76FCE500}">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30A14130-13BC-4D2D-A6BD-95E8C2826ED9}">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9A278E8E-06C6-4709-8993-B1FB77754245}">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9AF25B5F-C7A6-4EB5-BD5A-25CFF5A1EAED}">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54F5EE03-C065-4557-8D53-965D9D65A7E5}">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B9902F2B-0ADD-4D87-973A-4E1A42FF8A43}">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E8C569BD-4EBB-4770-8087-F3365D49E137}">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C70818CA-CBF3-4EDE-9CD1-6410E169FF4D}">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A41B0278-AB3E-4B09-A280-DF9FECDBD455}">
            <x14:dataBar minLength="0" maxLength="100" gradient="0">
              <x14:cfvo type="autoMin"/>
              <x14:cfvo type="autoMax"/>
              <x14:negativeFillColor rgb="FFFF0000"/>
              <x14:axisColor rgb="FF000000"/>
            </x14:dataBar>
          </x14:cfRule>
          <xm:sqref>C35:D35</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P37"/>
  <sheetViews>
    <sheetView topLeftCell="B1" zoomScale="92" zoomScaleNormal="92" workbookViewId="0">
      <selection activeCell="H6" sqref="H6"/>
    </sheetView>
  </sheetViews>
  <sheetFormatPr baseColWidth="10" defaultColWidth="11.42578125" defaultRowHeight="15" x14ac:dyDescent="0.25"/>
  <cols>
    <col min="1" max="1" width="7.85546875" style="1" customWidth="1"/>
    <col min="2" max="2" width="87.42578125" style="1" customWidth="1"/>
    <col min="3" max="3" width="11.42578125" style="1"/>
    <col min="4" max="4" width="22.42578125" style="1" customWidth="1"/>
    <col min="5" max="9" width="17.28515625" style="1" customWidth="1"/>
    <col min="10" max="16384" width="11.42578125" style="1"/>
  </cols>
  <sheetData>
    <row r="1" spans="1:16" ht="61.5" customHeight="1" x14ac:dyDescent="0.25">
      <c r="A1" s="52" t="s">
        <v>1</v>
      </c>
      <c r="B1" s="27" t="s">
        <v>29</v>
      </c>
      <c r="C1" s="12" t="s">
        <v>2</v>
      </c>
      <c r="D1" s="12" t="s">
        <v>3</v>
      </c>
      <c r="E1" s="12" t="s">
        <v>4</v>
      </c>
      <c r="F1" s="12" t="s">
        <v>5</v>
      </c>
      <c r="G1" s="12" t="s">
        <v>6</v>
      </c>
      <c r="H1" s="12" t="s">
        <v>7</v>
      </c>
      <c r="I1" s="12" t="s">
        <v>8</v>
      </c>
      <c r="J1" s="12" t="s">
        <v>9</v>
      </c>
      <c r="K1" s="12" t="s">
        <v>10</v>
      </c>
      <c r="L1" s="12" t="s">
        <v>11</v>
      </c>
      <c r="M1" s="12" t="s">
        <v>12</v>
      </c>
      <c r="N1" s="12" t="s">
        <v>13</v>
      </c>
      <c r="O1" s="12" t="s">
        <v>14</v>
      </c>
      <c r="P1" s="12" t="s">
        <v>15</v>
      </c>
    </row>
    <row r="2" spans="1:16" s="3" customFormat="1" ht="15.75" thickBot="1" x14ac:dyDescent="0.3">
      <c r="A2" s="53"/>
      <c r="B2" s="27"/>
      <c r="C2" s="2">
        <v>2026</v>
      </c>
      <c r="D2" s="2" t="s">
        <v>16</v>
      </c>
      <c r="E2" s="30"/>
      <c r="F2" s="30"/>
      <c r="G2" s="30"/>
      <c r="H2" s="30"/>
      <c r="I2" s="30"/>
      <c r="J2" s="30"/>
      <c r="K2" s="30"/>
      <c r="L2" s="30"/>
      <c r="M2" s="30"/>
      <c r="N2" s="30"/>
      <c r="O2" s="30"/>
      <c r="P2" s="30"/>
    </row>
    <row r="3" spans="1:16" ht="81" customHeight="1" x14ac:dyDescent="0.25">
      <c r="A3" s="31" t="s">
        <v>18</v>
      </c>
      <c r="B3" s="13" t="s">
        <v>17</v>
      </c>
      <c r="C3" s="6">
        <v>2</v>
      </c>
      <c r="D3" s="28">
        <f t="shared" ref="D3:D7" si="0">SUM(E3:P3)</f>
        <v>1</v>
      </c>
      <c r="E3" s="32"/>
      <c r="F3" s="32"/>
      <c r="G3" s="32"/>
      <c r="H3" s="32"/>
      <c r="I3" s="32">
        <v>1</v>
      </c>
      <c r="J3" s="32"/>
      <c r="K3" s="32"/>
      <c r="L3" s="32"/>
      <c r="M3" s="32"/>
      <c r="N3" s="32"/>
      <c r="O3" s="32"/>
      <c r="P3" s="32"/>
    </row>
    <row r="4" spans="1:16" ht="81" customHeight="1" x14ac:dyDescent="0.25">
      <c r="A4" s="33" t="s">
        <v>20</v>
      </c>
      <c r="B4" s="14" t="s">
        <v>19</v>
      </c>
      <c r="C4" s="34">
        <v>2</v>
      </c>
      <c r="D4" s="28">
        <f t="shared" si="0"/>
        <v>1</v>
      </c>
      <c r="E4" s="32">
        <v>0</v>
      </c>
      <c r="F4" s="32">
        <v>0</v>
      </c>
      <c r="G4" s="32">
        <v>0</v>
      </c>
      <c r="H4" s="32">
        <v>0</v>
      </c>
      <c r="I4" s="32">
        <v>1</v>
      </c>
      <c r="J4" s="32"/>
      <c r="K4" s="32"/>
      <c r="L4" s="32"/>
      <c r="M4" s="32"/>
      <c r="N4" s="32"/>
      <c r="O4" s="32"/>
      <c r="P4" s="32"/>
    </row>
    <row r="5" spans="1:16" ht="81" customHeight="1" x14ac:dyDescent="0.25">
      <c r="A5" s="36" t="s">
        <v>22</v>
      </c>
      <c r="B5" s="15" t="s">
        <v>21</v>
      </c>
      <c r="C5" s="35">
        <v>2</v>
      </c>
      <c r="D5" s="28">
        <f t="shared" si="0"/>
        <v>0</v>
      </c>
      <c r="E5" s="32">
        <v>0</v>
      </c>
      <c r="F5" s="32">
        <v>0</v>
      </c>
      <c r="G5" s="32">
        <v>0</v>
      </c>
      <c r="H5" s="32">
        <v>0</v>
      </c>
      <c r="I5" s="32"/>
      <c r="J5" s="32"/>
      <c r="K5" s="32"/>
      <c r="L5" s="32"/>
      <c r="M5" s="32"/>
      <c r="N5" s="32"/>
      <c r="O5" s="32"/>
      <c r="P5" s="32"/>
    </row>
    <row r="6" spans="1:16" ht="81" customHeight="1" x14ac:dyDescent="0.25">
      <c r="A6" s="31" t="s">
        <v>18</v>
      </c>
      <c r="B6" s="13" t="s">
        <v>24</v>
      </c>
      <c r="C6" s="37">
        <v>2</v>
      </c>
      <c r="D6" s="28">
        <f t="shared" si="0"/>
        <v>1</v>
      </c>
      <c r="E6" s="32"/>
      <c r="F6" s="32"/>
      <c r="G6" s="32"/>
      <c r="H6" s="32"/>
      <c r="I6" s="32"/>
      <c r="J6" s="32">
        <v>1</v>
      </c>
      <c r="K6" s="32"/>
      <c r="L6" s="32"/>
      <c r="M6" s="32"/>
      <c r="N6" s="32"/>
      <c r="O6" s="32"/>
      <c r="P6" s="32"/>
    </row>
    <row r="7" spans="1:16" ht="81" customHeight="1" x14ac:dyDescent="0.25">
      <c r="A7" s="31" t="s">
        <v>18</v>
      </c>
      <c r="B7" s="13" t="s">
        <v>25</v>
      </c>
      <c r="C7" s="37">
        <v>2</v>
      </c>
      <c r="D7" s="28">
        <f t="shared" si="0"/>
        <v>0</v>
      </c>
      <c r="E7" s="32"/>
      <c r="F7" s="32"/>
      <c r="G7" s="32"/>
      <c r="H7" s="32"/>
      <c r="I7" s="32"/>
      <c r="J7" s="32"/>
      <c r="K7" s="32"/>
      <c r="L7" s="32"/>
      <c r="M7" s="32"/>
      <c r="N7" s="32"/>
      <c r="O7" s="32"/>
      <c r="P7" s="32"/>
    </row>
    <row r="8" spans="1:16" ht="28.5" customHeight="1" x14ac:dyDescent="0.25">
      <c r="A8" s="54" t="s">
        <v>55</v>
      </c>
      <c r="B8" s="38" t="s">
        <v>56</v>
      </c>
      <c r="C8" s="37">
        <v>1</v>
      </c>
      <c r="D8" s="28">
        <f t="shared" ref="D8:D35" si="1">SUM(E8:O8)</f>
        <v>2</v>
      </c>
      <c r="E8" s="32">
        <v>1</v>
      </c>
      <c r="F8" s="32"/>
      <c r="G8" s="32"/>
      <c r="H8" s="32"/>
      <c r="I8" s="32">
        <v>1</v>
      </c>
      <c r="J8" s="32"/>
      <c r="K8" s="32"/>
      <c r="L8" s="32"/>
      <c r="M8" s="32"/>
      <c r="N8" s="32"/>
      <c r="O8" s="32"/>
      <c r="P8" s="39"/>
    </row>
    <row r="9" spans="1:16" ht="28.5" customHeight="1" x14ac:dyDescent="0.25">
      <c r="A9" s="55"/>
      <c r="B9" s="38" t="s">
        <v>57</v>
      </c>
      <c r="C9" s="37">
        <v>2</v>
      </c>
      <c r="D9" s="28">
        <f t="shared" si="1"/>
        <v>0</v>
      </c>
      <c r="E9" s="32"/>
      <c r="F9" s="32"/>
      <c r="G9" s="32"/>
      <c r="H9" s="32"/>
      <c r="I9" s="32"/>
      <c r="J9" s="32"/>
      <c r="K9" s="32"/>
      <c r="L9" s="32"/>
      <c r="M9" s="32"/>
      <c r="N9" s="32"/>
      <c r="O9" s="32"/>
      <c r="P9" s="39"/>
    </row>
    <row r="10" spans="1:16" ht="28.5" customHeight="1" x14ac:dyDescent="0.25">
      <c r="A10" s="55"/>
      <c r="B10" s="38" t="s">
        <v>58</v>
      </c>
      <c r="C10" s="37">
        <v>92</v>
      </c>
      <c r="D10" s="28">
        <f t="shared" si="1"/>
        <v>39</v>
      </c>
      <c r="E10" s="32">
        <v>3</v>
      </c>
      <c r="F10" s="32">
        <v>9</v>
      </c>
      <c r="G10" s="32">
        <v>11</v>
      </c>
      <c r="H10" s="32">
        <v>5</v>
      </c>
      <c r="I10" s="32">
        <v>11</v>
      </c>
      <c r="J10" s="32"/>
      <c r="K10" s="32"/>
      <c r="L10" s="32"/>
      <c r="M10" s="32"/>
      <c r="N10" s="32"/>
      <c r="O10" s="32"/>
      <c r="P10" s="39"/>
    </row>
    <row r="11" spans="1:16" ht="28.5" customHeight="1" x14ac:dyDescent="0.25">
      <c r="A11" s="55"/>
      <c r="B11" s="38" t="s">
        <v>59</v>
      </c>
      <c r="C11" s="37">
        <v>80</v>
      </c>
      <c r="D11" s="28">
        <f t="shared" si="1"/>
        <v>40</v>
      </c>
      <c r="E11" s="32"/>
      <c r="F11" s="32"/>
      <c r="G11" s="32">
        <v>40</v>
      </c>
      <c r="H11" s="32"/>
      <c r="I11" s="32"/>
      <c r="J11" s="32"/>
      <c r="K11" s="32"/>
      <c r="L11" s="32"/>
      <c r="M11" s="32"/>
      <c r="N11" s="32"/>
      <c r="O11" s="32"/>
      <c r="P11" s="39"/>
    </row>
    <row r="12" spans="1:16" ht="28.5" customHeight="1" x14ac:dyDescent="0.25">
      <c r="A12" s="55"/>
      <c r="B12" s="38" t="s">
        <v>60</v>
      </c>
      <c r="C12" s="37">
        <v>0</v>
      </c>
      <c r="D12" s="28">
        <f t="shared" si="1"/>
        <v>0</v>
      </c>
      <c r="E12" s="32"/>
      <c r="F12" s="32"/>
      <c r="G12" s="32"/>
      <c r="H12" s="32"/>
      <c r="I12" s="32"/>
      <c r="J12" s="32"/>
      <c r="K12" s="32"/>
      <c r="L12" s="32"/>
      <c r="M12" s="32"/>
      <c r="N12" s="32"/>
      <c r="O12" s="32"/>
      <c r="P12" s="39"/>
    </row>
    <row r="13" spans="1:16" ht="28.5" customHeight="1" x14ac:dyDescent="0.25">
      <c r="A13" s="55"/>
      <c r="B13" s="38" t="s">
        <v>61</v>
      </c>
      <c r="C13" s="37">
        <v>0</v>
      </c>
      <c r="D13" s="28">
        <f t="shared" si="1"/>
        <v>0</v>
      </c>
      <c r="E13" s="32"/>
      <c r="F13" s="32"/>
      <c r="G13" s="32"/>
      <c r="H13" s="32"/>
      <c r="I13" s="32"/>
      <c r="J13" s="32"/>
      <c r="K13" s="32"/>
      <c r="L13" s="32"/>
      <c r="M13" s="32"/>
      <c r="N13" s="32"/>
      <c r="O13" s="32"/>
      <c r="P13" s="39"/>
    </row>
    <row r="14" spans="1:16" ht="28.5" customHeight="1" x14ac:dyDescent="0.25">
      <c r="A14" s="55"/>
      <c r="B14" s="38" t="s">
        <v>62</v>
      </c>
      <c r="C14" s="37">
        <v>0</v>
      </c>
      <c r="D14" s="28">
        <f t="shared" si="1"/>
        <v>0</v>
      </c>
      <c r="E14" s="32"/>
      <c r="F14" s="32"/>
      <c r="G14" s="32"/>
      <c r="H14" s="32"/>
      <c r="I14" s="32"/>
      <c r="J14" s="32"/>
      <c r="K14" s="32"/>
      <c r="L14" s="32"/>
      <c r="M14" s="32"/>
      <c r="N14" s="32"/>
      <c r="O14" s="32"/>
      <c r="P14" s="39"/>
    </row>
    <row r="15" spans="1:16" ht="28.5" customHeight="1" x14ac:dyDescent="0.25">
      <c r="A15" s="55"/>
      <c r="B15" s="38" t="s">
        <v>63</v>
      </c>
      <c r="C15" s="37">
        <v>0</v>
      </c>
      <c r="D15" s="28">
        <f t="shared" si="1"/>
        <v>0</v>
      </c>
      <c r="E15" s="32"/>
      <c r="F15" s="32"/>
      <c r="G15" s="32"/>
      <c r="H15" s="32"/>
      <c r="I15" s="32"/>
      <c r="J15" s="32"/>
      <c r="K15" s="32"/>
      <c r="L15" s="32"/>
      <c r="M15" s="32"/>
      <c r="N15" s="32"/>
      <c r="O15" s="32"/>
      <c r="P15" s="39"/>
    </row>
    <row r="16" spans="1:16" ht="28.5" customHeight="1" x14ac:dyDescent="0.25">
      <c r="A16" s="55"/>
      <c r="B16" s="38" t="s">
        <v>64</v>
      </c>
      <c r="C16" s="37">
        <v>0</v>
      </c>
      <c r="D16" s="28">
        <f t="shared" si="1"/>
        <v>0</v>
      </c>
      <c r="E16" s="32"/>
      <c r="F16" s="32"/>
      <c r="G16" s="32"/>
      <c r="H16" s="32"/>
      <c r="I16" s="32"/>
      <c r="J16" s="32"/>
      <c r="K16" s="32"/>
      <c r="L16" s="32"/>
      <c r="M16" s="32"/>
      <c r="N16" s="32"/>
      <c r="O16" s="32"/>
      <c r="P16" s="39"/>
    </row>
    <row r="17" spans="1:16" ht="28.5" customHeight="1" x14ac:dyDescent="0.25">
      <c r="A17" s="55"/>
      <c r="B17" s="38" t="s">
        <v>65</v>
      </c>
      <c r="C17" s="37">
        <v>0</v>
      </c>
      <c r="D17" s="28">
        <f t="shared" si="1"/>
        <v>0</v>
      </c>
      <c r="E17" s="32"/>
      <c r="F17" s="32"/>
      <c r="G17" s="32"/>
      <c r="H17" s="32"/>
      <c r="I17" s="32"/>
      <c r="J17" s="32"/>
      <c r="K17" s="32"/>
      <c r="L17" s="32"/>
      <c r="M17" s="32"/>
      <c r="N17" s="32"/>
      <c r="O17" s="32"/>
      <c r="P17" s="39"/>
    </row>
    <row r="18" spans="1:16" ht="28.5" customHeight="1" x14ac:dyDescent="0.25">
      <c r="A18" s="55"/>
      <c r="B18" s="38" t="s">
        <v>66</v>
      </c>
      <c r="C18" s="37">
        <v>0</v>
      </c>
      <c r="D18" s="28">
        <f t="shared" si="1"/>
        <v>0</v>
      </c>
      <c r="E18" s="32"/>
      <c r="F18" s="32"/>
      <c r="G18" s="32"/>
      <c r="H18" s="32"/>
      <c r="I18" s="32"/>
      <c r="J18" s="32"/>
      <c r="K18" s="32"/>
      <c r="L18" s="32"/>
      <c r="M18" s="32"/>
      <c r="N18" s="32"/>
      <c r="O18" s="32"/>
      <c r="P18" s="39"/>
    </row>
    <row r="19" spans="1:16" ht="28.5" customHeight="1" x14ac:dyDescent="0.25">
      <c r="A19" s="55"/>
      <c r="B19" s="38" t="s">
        <v>67</v>
      </c>
      <c r="C19" s="37">
        <v>0</v>
      </c>
      <c r="D19" s="28">
        <f t="shared" si="1"/>
        <v>0</v>
      </c>
      <c r="E19" s="32"/>
      <c r="F19" s="32"/>
      <c r="G19" s="32"/>
      <c r="H19" s="32"/>
      <c r="I19" s="32"/>
      <c r="J19" s="32"/>
      <c r="K19" s="32"/>
      <c r="L19" s="32"/>
      <c r="M19" s="32"/>
      <c r="N19" s="32"/>
      <c r="O19" s="32"/>
      <c r="P19" s="39"/>
    </row>
    <row r="20" spans="1:16" ht="28.5" customHeight="1" x14ac:dyDescent="0.25">
      <c r="A20" s="55"/>
      <c r="B20" s="38" t="s">
        <v>68</v>
      </c>
      <c r="C20" s="37">
        <v>0</v>
      </c>
      <c r="D20" s="28">
        <f t="shared" si="1"/>
        <v>0</v>
      </c>
      <c r="E20" s="32"/>
      <c r="F20" s="32"/>
      <c r="G20" s="32"/>
      <c r="H20" s="32"/>
      <c r="I20" s="32"/>
      <c r="J20" s="32"/>
      <c r="K20" s="32"/>
      <c r="L20" s="32"/>
      <c r="M20" s="32"/>
      <c r="N20" s="32"/>
      <c r="O20" s="32"/>
      <c r="P20" s="39"/>
    </row>
    <row r="21" spans="1:16" ht="28.5" customHeight="1" x14ac:dyDescent="0.25">
      <c r="A21" s="55"/>
      <c r="B21" s="38" t="s">
        <v>69</v>
      </c>
      <c r="C21" s="37">
        <v>0</v>
      </c>
      <c r="D21" s="28">
        <f t="shared" si="1"/>
        <v>0</v>
      </c>
      <c r="E21" s="32"/>
      <c r="F21" s="32"/>
      <c r="G21" s="32"/>
      <c r="H21" s="32"/>
      <c r="I21" s="32"/>
      <c r="J21" s="32"/>
      <c r="K21" s="32"/>
      <c r="L21" s="32"/>
      <c r="M21" s="32"/>
      <c r="N21" s="32"/>
      <c r="O21" s="32"/>
      <c r="P21" s="39"/>
    </row>
    <row r="22" spans="1:16" ht="28.5" customHeight="1" x14ac:dyDescent="0.25">
      <c r="A22" s="55"/>
      <c r="B22" s="38" t="s">
        <v>70</v>
      </c>
      <c r="C22" s="37">
        <v>80</v>
      </c>
      <c r="D22" s="28">
        <f t="shared" si="1"/>
        <v>0</v>
      </c>
      <c r="E22" s="32"/>
      <c r="F22" s="32"/>
      <c r="G22" s="32"/>
      <c r="H22" s="32"/>
      <c r="I22" s="32"/>
      <c r="J22" s="32"/>
      <c r="K22" s="32"/>
      <c r="L22" s="32"/>
      <c r="M22" s="32"/>
      <c r="N22" s="32"/>
      <c r="O22" s="32"/>
      <c r="P22" s="39"/>
    </row>
    <row r="23" spans="1:16" ht="28.5" customHeight="1" x14ac:dyDescent="0.25">
      <c r="A23" s="55"/>
      <c r="B23" s="38" t="s">
        <v>71</v>
      </c>
      <c r="C23" s="37">
        <v>0</v>
      </c>
      <c r="D23" s="28">
        <f t="shared" si="1"/>
        <v>0</v>
      </c>
      <c r="E23" s="32"/>
      <c r="F23" s="32"/>
      <c r="G23" s="32"/>
      <c r="H23" s="32"/>
      <c r="I23" s="32"/>
      <c r="J23" s="32"/>
      <c r="K23" s="32"/>
      <c r="L23" s="32"/>
      <c r="M23" s="32"/>
      <c r="N23" s="32"/>
      <c r="O23" s="32"/>
      <c r="P23" s="39"/>
    </row>
    <row r="24" spans="1:16" ht="24" customHeight="1" x14ac:dyDescent="0.25">
      <c r="A24" s="55"/>
      <c r="B24" s="40" t="s">
        <v>72</v>
      </c>
      <c r="C24" s="37">
        <v>4</v>
      </c>
      <c r="D24" s="28">
        <f t="shared" si="1"/>
        <v>0</v>
      </c>
      <c r="E24" s="32"/>
      <c r="F24" s="32"/>
      <c r="G24" s="32"/>
      <c r="H24" s="32"/>
      <c r="I24" s="32"/>
      <c r="J24" s="32"/>
      <c r="K24" s="32"/>
      <c r="L24" s="32"/>
      <c r="M24" s="32"/>
      <c r="N24" s="32"/>
      <c r="O24" s="32"/>
      <c r="P24" s="39"/>
    </row>
    <row r="25" spans="1:16" ht="24" customHeight="1" x14ac:dyDescent="0.25">
      <c r="A25" s="55"/>
      <c r="B25" s="40" t="s">
        <v>73</v>
      </c>
      <c r="C25" s="37">
        <v>4</v>
      </c>
      <c r="D25" s="28">
        <f t="shared" si="1"/>
        <v>4</v>
      </c>
      <c r="E25" s="32"/>
      <c r="F25" s="32"/>
      <c r="G25" s="32"/>
      <c r="H25" s="32">
        <v>4</v>
      </c>
      <c r="I25" s="32"/>
      <c r="J25" s="32"/>
      <c r="K25" s="32"/>
      <c r="L25" s="32"/>
      <c r="M25" s="32"/>
      <c r="N25" s="32"/>
      <c r="O25" s="32"/>
      <c r="P25" s="39"/>
    </row>
    <row r="26" spans="1:16" ht="24" customHeight="1" x14ac:dyDescent="0.25">
      <c r="A26" s="55"/>
      <c r="B26" s="40" t="s">
        <v>74</v>
      </c>
      <c r="C26" s="37">
        <v>4</v>
      </c>
      <c r="D26" s="28">
        <f t="shared" si="1"/>
        <v>4</v>
      </c>
      <c r="E26" s="32"/>
      <c r="F26" s="32"/>
      <c r="G26" s="32"/>
      <c r="H26" s="32"/>
      <c r="I26" s="32">
        <v>4</v>
      </c>
      <c r="J26" s="32"/>
      <c r="K26" s="32"/>
      <c r="L26" s="32"/>
      <c r="M26" s="32"/>
      <c r="N26" s="32"/>
      <c r="O26" s="32"/>
      <c r="P26" s="39"/>
    </row>
    <row r="27" spans="1:16" ht="24" customHeight="1" x14ac:dyDescent="0.25">
      <c r="A27" s="55"/>
      <c r="B27" s="40" t="s">
        <v>75</v>
      </c>
      <c r="C27" s="37">
        <v>4</v>
      </c>
      <c r="D27" s="28">
        <f t="shared" si="1"/>
        <v>2</v>
      </c>
      <c r="E27" s="32"/>
      <c r="F27" s="32"/>
      <c r="G27" s="32"/>
      <c r="H27" s="32"/>
      <c r="I27" s="32"/>
      <c r="J27" s="32">
        <v>2</v>
      </c>
      <c r="K27" s="32"/>
      <c r="L27" s="32"/>
      <c r="M27" s="32"/>
      <c r="N27" s="32"/>
      <c r="O27" s="32"/>
      <c r="P27" s="39"/>
    </row>
    <row r="28" spans="1:16" ht="24" customHeight="1" x14ac:dyDescent="0.25">
      <c r="A28" s="55"/>
      <c r="B28" s="40" t="s">
        <v>76</v>
      </c>
      <c r="C28" s="37">
        <v>4</v>
      </c>
      <c r="D28" s="28">
        <f t="shared" si="1"/>
        <v>0</v>
      </c>
      <c r="E28" s="32"/>
      <c r="F28" s="32"/>
      <c r="G28" s="32"/>
      <c r="H28" s="32"/>
      <c r="I28" s="32"/>
      <c r="J28" s="32"/>
      <c r="K28" s="32"/>
      <c r="L28" s="32"/>
      <c r="M28" s="32"/>
      <c r="N28" s="32"/>
      <c r="O28" s="32"/>
      <c r="P28" s="39"/>
    </row>
    <row r="29" spans="1:16" ht="24" customHeight="1" x14ac:dyDescent="0.25">
      <c r="A29" s="55"/>
      <c r="B29" s="40" t="s">
        <v>77</v>
      </c>
      <c r="C29" s="37">
        <v>1</v>
      </c>
      <c r="D29" s="28">
        <f t="shared" si="1"/>
        <v>0</v>
      </c>
      <c r="E29" s="32"/>
      <c r="F29" s="32"/>
      <c r="G29" s="32"/>
      <c r="H29" s="32"/>
      <c r="I29" s="32"/>
      <c r="J29" s="32"/>
      <c r="K29" s="32"/>
      <c r="L29" s="32"/>
      <c r="M29" s="32"/>
      <c r="N29" s="32"/>
      <c r="O29" s="32"/>
      <c r="P29" s="39"/>
    </row>
    <row r="30" spans="1:16" ht="24" customHeight="1" x14ac:dyDescent="0.25">
      <c r="A30" s="55"/>
      <c r="B30" s="40" t="s">
        <v>78</v>
      </c>
      <c r="C30" s="37">
        <v>1</v>
      </c>
      <c r="D30" s="28">
        <f t="shared" si="1"/>
        <v>0</v>
      </c>
      <c r="E30" s="32"/>
      <c r="F30" s="32"/>
      <c r="G30" s="32"/>
      <c r="H30" s="32"/>
      <c r="I30" s="32"/>
      <c r="J30" s="32"/>
      <c r="K30" s="32"/>
      <c r="L30" s="32"/>
      <c r="M30" s="32"/>
      <c r="N30" s="32"/>
      <c r="O30" s="32"/>
      <c r="P30" s="39"/>
    </row>
    <row r="31" spans="1:16" ht="24" customHeight="1" x14ac:dyDescent="0.25">
      <c r="A31" s="55"/>
      <c r="B31" s="40" t="s">
        <v>79</v>
      </c>
      <c r="C31" s="37">
        <v>1</v>
      </c>
      <c r="D31" s="28">
        <f t="shared" si="1"/>
        <v>0</v>
      </c>
      <c r="E31" s="32"/>
      <c r="F31" s="32"/>
      <c r="G31" s="32"/>
      <c r="H31" s="32"/>
      <c r="I31" s="32"/>
      <c r="J31" s="32"/>
      <c r="K31" s="32"/>
      <c r="L31" s="32"/>
      <c r="M31" s="32"/>
      <c r="N31" s="32"/>
      <c r="O31" s="32"/>
      <c r="P31" s="39"/>
    </row>
    <row r="32" spans="1:16" ht="24" customHeight="1" x14ac:dyDescent="0.25">
      <c r="A32" s="55"/>
      <c r="B32" s="40" t="s">
        <v>80</v>
      </c>
      <c r="C32" s="37">
        <v>1</v>
      </c>
      <c r="D32" s="28">
        <f t="shared" si="1"/>
        <v>0</v>
      </c>
      <c r="E32" s="32"/>
      <c r="F32" s="32"/>
      <c r="G32" s="32"/>
      <c r="H32" s="32"/>
      <c r="I32" s="32"/>
      <c r="J32" s="32"/>
      <c r="K32" s="32"/>
      <c r="L32" s="32"/>
      <c r="M32" s="32"/>
      <c r="N32" s="32"/>
      <c r="O32" s="32"/>
      <c r="P32" s="39"/>
    </row>
    <row r="33" spans="1:16" ht="24" customHeight="1" x14ac:dyDescent="0.25">
      <c r="A33" s="55"/>
      <c r="B33" s="40" t="s">
        <v>81</v>
      </c>
      <c r="C33" s="37">
        <v>1</v>
      </c>
      <c r="D33" s="28">
        <f t="shared" si="1"/>
        <v>0</v>
      </c>
      <c r="E33" s="32"/>
      <c r="F33" s="32"/>
      <c r="G33" s="32"/>
      <c r="H33" s="32"/>
      <c r="I33" s="32"/>
      <c r="J33" s="32"/>
      <c r="K33" s="32"/>
      <c r="L33" s="32"/>
      <c r="M33" s="32"/>
      <c r="N33" s="32"/>
      <c r="O33" s="32"/>
      <c r="P33" s="39"/>
    </row>
    <row r="34" spans="1:16" ht="24" customHeight="1" x14ac:dyDescent="0.25">
      <c r="A34" s="55"/>
      <c r="B34" s="40" t="s">
        <v>82</v>
      </c>
      <c r="C34" s="37">
        <v>1</v>
      </c>
      <c r="D34" s="28">
        <f t="shared" si="1"/>
        <v>0</v>
      </c>
      <c r="E34" s="32"/>
      <c r="F34" s="32"/>
      <c r="G34" s="32"/>
      <c r="H34" s="32"/>
      <c r="I34" s="32"/>
      <c r="J34" s="32"/>
      <c r="K34" s="32"/>
      <c r="L34" s="32"/>
      <c r="M34" s="32"/>
      <c r="N34" s="32"/>
      <c r="O34" s="32"/>
      <c r="P34" s="39"/>
    </row>
    <row r="35" spans="1:16" ht="24" customHeight="1" thickBot="1" x14ac:dyDescent="0.3">
      <c r="A35" s="56"/>
      <c r="B35" s="41" t="s">
        <v>83</v>
      </c>
      <c r="C35" s="37">
        <v>1</v>
      </c>
      <c r="D35" s="28">
        <f t="shared" si="1"/>
        <v>0</v>
      </c>
      <c r="E35" s="32"/>
      <c r="F35" s="32"/>
      <c r="G35" s="32"/>
      <c r="H35" s="32"/>
      <c r="I35" s="32"/>
      <c r="J35" s="32"/>
      <c r="K35" s="32"/>
      <c r="L35" s="32"/>
      <c r="M35" s="32"/>
      <c r="N35" s="32"/>
      <c r="O35" s="32"/>
      <c r="P35" s="39"/>
    </row>
    <row r="36" spans="1:16" x14ac:dyDescent="0.25">
      <c r="C36" s="42">
        <f>SUM(C3:C35)</f>
        <v>292</v>
      </c>
      <c r="D36" s="43">
        <f>SUM(D3:D35)</f>
        <v>94</v>
      </c>
    </row>
    <row r="37" spans="1:16" x14ac:dyDescent="0.25">
      <c r="C37" s="11"/>
      <c r="D37" s="44">
        <f>D36/C36</f>
        <v>0.32191780821917809</v>
      </c>
    </row>
  </sheetData>
  <sheetProtection algorithmName="SHA-512" hashValue="u/JZs2bEpUPemUalp2Evo94Oqd70LMtZVOOAVGERSzL5lyQK85pN4STgPeRzdPqOZUhdG7jqoLRy1KnuT1hOlw==" saltValue="2hnZGlsqqLnBACHz/94e3Q==" spinCount="100000" sheet="1" objects="1" scenarios="1" autoFilter="0"/>
  <mergeCells count="2">
    <mergeCell ref="A1:A2"/>
    <mergeCell ref="A8:A35"/>
  </mergeCells>
  <conditionalFormatting sqref="C3:D3 D4:D7">
    <cfRule type="dataBar" priority="48">
      <dataBar>
        <cfvo type="min"/>
        <cfvo type="max"/>
        <color rgb="FF008AEF"/>
      </dataBar>
      <extLst>
        <ext xmlns:x14="http://schemas.microsoft.com/office/spreadsheetml/2009/9/main" uri="{B025F937-C7B1-47D3-B67F-A62EFF666E3E}">
          <x14:id>{47EB6F17-00CA-4DDB-9319-9DDB8C0E44F7}</x14:id>
        </ext>
      </extLst>
    </cfRule>
  </conditionalFormatting>
  <conditionalFormatting sqref="C4:D4">
    <cfRule type="dataBar" priority="4">
      <dataBar>
        <cfvo type="min"/>
        <cfvo type="max"/>
        <color rgb="FF008AEF"/>
      </dataBar>
      <extLst>
        <ext xmlns:x14="http://schemas.microsoft.com/office/spreadsheetml/2009/9/main" uri="{B025F937-C7B1-47D3-B67F-A62EFF666E3E}">
          <x14:id>{3BF8FBDB-A962-4176-8458-84CD1B0EB71D}</x14:id>
        </ext>
      </extLst>
    </cfRule>
  </conditionalFormatting>
  <conditionalFormatting sqref="C5:D5">
    <cfRule type="dataBar" priority="5">
      <dataBar>
        <cfvo type="min"/>
        <cfvo type="max"/>
        <color rgb="FF008AEF"/>
      </dataBar>
      <extLst>
        <ext xmlns:x14="http://schemas.microsoft.com/office/spreadsheetml/2009/9/main" uri="{B025F937-C7B1-47D3-B67F-A62EFF666E3E}">
          <x14:id>{3AA9C7C6-4720-414F-8956-5E3F58EE4DB3}</x14:id>
        </ext>
      </extLst>
    </cfRule>
  </conditionalFormatting>
  <conditionalFormatting sqref="C6:D6">
    <cfRule type="dataBar" priority="6">
      <dataBar>
        <cfvo type="min"/>
        <cfvo type="max"/>
        <color rgb="FF008AEF"/>
      </dataBar>
      <extLst>
        <ext xmlns:x14="http://schemas.microsoft.com/office/spreadsheetml/2009/9/main" uri="{B025F937-C7B1-47D3-B67F-A62EFF666E3E}">
          <x14:id>{B47CD001-6C50-4850-92C2-D36C24DBFE57}</x14:id>
        </ext>
      </extLst>
    </cfRule>
  </conditionalFormatting>
  <conditionalFormatting sqref="C7:D7">
    <cfRule type="dataBar" priority="7">
      <dataBar>
        <cfvo type="min"/>
        <cfvo type="max"/>
        <color rgb="FF008AEF"/>
      </dataBar>
      <extLst>
        <ext xmlns:x14="http://schemas.microsoft.com/office/spreadsheetml/2009/9/main" uri="{B025F937-C7B1-47D3-B67F-A62EFF666E3E}">
          <x14:id>{91B76511-41CE-4650-84AF-5DA3647A0E1D}</x14:id>
        </ext>
      </extLst>
    </cfRule>
  </conditionalFormatting>
  <conditionalFormatting sqref="C8:D8">
    <cfRule type="dataBar" priority="12">
      <dataBar>
        <cfvo type="min"/>
        <cfvo type="max"/>
        <color rgb="FF008AEF"/>
      </dataBar>
      <extLst>
        <ext xmlns:x14="http://schemas.microsoft.com/office/spreadsheetml/2009/9/main" uri="{B025F937-C7B1-47D3-B67F-A62EFF666E3E}">
          <x14:id>{0ACD5489-3EE6-40B9-B908-18470DE88C5F}</x14:id>
        </ext>
      </extLst>
    </cfRule>
  </conditionalFormatting>
  <conditionalFormatting sqref="C9:D9">
    <cfRule type="dataBar" priority="39">
      <dataBar>
        <cfvo type="min"/>
        <cfvo type="max"/>
        <color rgb="FF008AEF"/>
      </dataBar>
      <extLst>
        <ext xmlns:x14="http://schemas.microsoft.com/office/spreadsheetml/2009/9/main" uri="{B025F937-C7B1-47D3-B67F-A62EFF666E3E}">
          <x14:id>{CC0FC9AF-1F39-4F2A-94D9-938A5AB925B4}</x14:id>
        </ext>
      </extLst>
    </cfRule>
  </conditionalFormatting>
  <conditionalFormatting sqref="C10:D10">
    <cfRule type="dataBar" priority="38">
      <dataBar>
        <cfvo type="min"/>
        <cfvo type="max"/>
        <color rgb="FF008AEF"/>
      </dataBar>
      <extLst>
        <ext xmlns:x14="http://schemas.microsoft.com/office/spreadsheetml/2009/9/main" uri="{B025F937-C7B1-47D3-B67F-A62EFF666E3E}">
          <x14:id>{E57C7C6F-804B-464F-A4F2-1F95EA85C4D1}</x14:id>
        </ext>
      </extLst>
    </cfRule>
  </conditionalFormatting>
  <conditionalFormatting sqref="C11:D11">
    <cfRule type="dataBar" priority="37">
      <dataBar>
        <cfvo type="min"/>
        <cfvo type="max"/>
        <color rgb="FF008AEF"/>
      </dataBar>
      <extLst>
        <ext xmlns:x14="http://schemas.microsoft.com/office/spreadsheetml/2009/9/main" uri="{B025F937-C7B1-47D3-B67F-A62EFF666E3E}">
          <x14:id>{BB874220-F8E4-4F0B-985F-9D55A0624E9B}</x14:id>
        </ext>
      </extLst>
    </cfRule>
  </conditionalFormatting>
  <conditionalFormatting sqref="C12:D12">
    <cfRule type="dataBar" priority="36">
      <dataBar>
        <cfvo type="min"/>
        <cfvo type="max"/>
        <color rgb="FF008AEF"/>
      </dataBar>
      <extLst>
        <ext xmlns:x14="http://schemas.microsoft.com/office/spreadsheetml/2009/9/main" uri="{B025F937-C7B1-47D3-B67F-A62EFF666E3E}">
          <x14:id>{672F6730-2F7B-4F40-9B9D-1B4E79B23D77}</x14:id>
        </ext>
      </extLst>
    </cfRule>
  </conditionalFormatting>
  <conditionalFormatting sqref="C13:D13">
    <cfRule type="dataBar" priority="35">
      <dataBar>
        <cfvo type="min"/>
        <cfvo type="max"/>
        <color rgb="FF008AEF"/>
      </dataBar>
      <extLst>
        <ext xmlns:x14="http://schemas.microsoft.com/office/spreadsheetml/2009/9/main" uri="{B025F937-C7B1-47D3-B67F-A62EFF666E3E}">
          <x14:id>{82DCCCF3-F05B-4402-81D4-221FB6DFA516}</x14:id>
        </ext>
      </extLst>
    </cfRule>
  </conditionalFormatting>
  <conditionalFormatting sqref="C14:D14">
    <cfRule type="dataBar" priority="34">
      <dataBar>
        <cfvo type="min"/>
        <cfvo type="max"/>
        <color rgb="FF008AEF"/>
      </dataBar>
      <extLst>
        <ext xmlns:x14="http://schemas.microsoft.com/office/spreadsheetml/2009/9/main" uri="{B025F937-C7B1-47D3-B67F-A62EFF666E3E}">
          <x14:id>{12FCFA0B-D53C-478E-9E1F-44CEA10DF248}</x14:id>
        </ext>
      </extLst>
    </cfRule>
  </conditionalFormatting>
  <conditionalFormatting sqref="C15:D15">
    <cfRule type="dataBar" priority="33">
      <dataBar>
        <cfvo type="min"/>
        <cfvo type="max"/>
        <color rgb="FF008AEF"/>
      </dataBar>
      <extLst>
        <ext xmlns:x14="http://schemas.microsoft.com/office/spreadsheetml/2009/9/main" uri="{B025F937-C7B1-47D3-B67F-A62EFF666E3E}">
          <x14:id>{BA301719-1131-46BA-B13A-0D299CEA960B}</x14:id>
        </ext>
      </extLst>
    </cfRule>
  </conditionalFormatting>
  <conditionalFormatting sqref="C16:D16">
    <cfRule type="dataBar" priority="32">
      <dataBar>
        <cfvo type="min"/>
        <cfvo type="max"/>
        <color rgb="FF008AEF"/>
      </dataBar>
      <extLst>
        <ext xmlns:x14="http://schemas.microsoft.com/office/spreadsheetml/2009/9/main" uri="{B025F937-C7B1-47D3-B67F-A62EFF666E3E}">
          <x14:id>{8BC619EB-15A6-47FF-A69D-C989F6DEF098}</x14:id>
        </ext>
      </extLst>
    </cfRule>
  </conditionalFormatting>
  <conditionalFormatting sqref="C17:D17">
    <cfRule type="dataBar" priority="31">
      <dataBar>
        <cfvo type="min"/>
        <cfvo type="max"/>
        <color rgb="FF008AEF"/>
      </dataBar>
      <extLst>
        <ext xmlns:x14="http://schemas.microsoft.com/office/spreadsheetml/2009/9/main" uri="{B025F937-C7B1-47D3-B67F-A62EFF666E3E}">
          <x14:id>{20508FE7-18CF-4DA8-892A-BF29A88E8F7A}</x14:id>
        </ext>
      </extLst>
    </cfRule>
  </conditionalFormatting>
  <conditionalFormatting sqref="C18:D18">
    <cfRule type="dataBar" priority="30">
      <dataBar>
        <cfvo type="min"/>
        <cfvo type="max"/>
        <color rgb="FF008AEF"/>
      </dataBar>
      <extLst>
        <ext xmlns:x14="http://schemas.microsoft.com/office/spreadsheetml/2009/9/main" uri="{B025F937-C7B1-47D3-B67F-A62EFF666E3E}">
          <x14:id>{2350762D-56D6-4614-BBE6-1AEAB8EA6DFE}</x14:id>
        </ext>
      </extLst>
    </cfRule>
  </conditionalFormatting>
  <conditionalFormatting sqref="C19:D19">
    <cfRule type="dataBar" priority="29">
      <dataBar>
        <cfvo type="min"/>
        <cfvo type="max"/>
        <color rgb="FF008AEF"/>
      </dataBar>
      <extLst>
        <ext xmlns:x14="http://schemas.microsoft.com/office/spreadsheetml/2009/9/main" uri="{B025F937-C7B1-47D3-B67F-A62EFF666E3E}">
          <x14:id>{3DB333AA-7717-4C06-8A7F-53721BA0592B}</x14:id>
        </ext>
      </extLst>
    </cfRule>
  </conditionalFormatting>
  <conditionalFormatting sqref="C20:D20">
    <cfRule type="dataBar" priority="28">
      <dataBar>
        <cfvo type="min"/>
        <cfvo type="max"/>
        <color rgb="FF008AEF"/>
      </dataBar>
      <extLst>
        <ext xmlns:x14="http://schemas.microsoft.com/office/spreadsheetml/2009/9/main" uri="{B025F937-C7B1-47D3-B67F-A62EFF666E3E}">
          <x14:id>{FEE083BD-370B-4A85-A17E-39715E9816BA}</x14:id>
        </ext>
      </extLst>
    </cfRule>
  </conditionalFormatting>
  <conditionalFormatting sqref="C21:D21">
    <cfRule type="dataBar" priority="27">
      <dataBar>
        <cfvo type="min"/>
        <cfvo type="max"/>
        <color rgb="FF008AEF"/>
      </dataBar>
      <extLst>
        <ext xmlns:x14="http://schemas.microsoft.com/office/spreadsheetml/2009/9/main" uri="{B025F937-C7B1-47D3-B67F-A62EFF666E3E}">
          <x14:id>{C9148144-33FC-42E3-9BB2-F1C9DF51503E}</x14:id>
        </ext>
      </extLst>
    </cfRule>
  </conditionalFormatting>
  <conditionalFormatting sqref="C22:D22">
    <cfRule type="dataBar" priority="26">
      <dataBar>
        <cfvo type="min"/>
        <cfvo type="max"/>
        <color rgb="FF008AEF"/>
      </dataBar>
      <extLst>
        <ext xmlns:x14="http://schemas.microsoft.com/office/spreadsheetml/2009/9/main" uri="{B025F937-C7B1-47D3-B67F-A62EFF666E3E}">
          <x14:id>{C91A07A2-8366-4EE5-85E0-9AE75FE5571A}</x14:id>
        </ext>
      </extLst>
    </cfRule>
  </conditionalFormatting>
  <conditionalFormatting sqref="C23:D23">
    <cfRule type="dataBar" priority="25">
      <dataBar>
        <cfvo type="min"/>
        <cfvo type="max"/>
        <color rgb="FF008AEF"/>
      </dataBar>
      <extLst>
        <ext xmlns:x14="http://schemas.microsoft.com/office/spreadsheetml/2009/9/main" uri="{B025F937-C7B1-47D3-B67F-A62EFF666E3E}">
          <x14:id>{D7FF5B10-412D-4D04-827F-17E4F837B4C8}</x14:id>
        </ext>
      </extLst>
    </cfRule>
  </conditionalFormatting>
  <conditionalFormatting sqref="C24:D24">
    <cfRule type="dataBar" priority="24">
      <dataBar>
        <cfvo type="min"/>
        <cfvo type="max"/>
        <color rgb="FF008AEF"/>
      </dataBar>
      <extLst>
        <ext xmlns:x14="http://schemas.microsoft.com/office/spreadsheetml/2009/9/main" uri="{B025F937-C7B1-47D3-B67F-A62EFF666E3E}">
          <x14:id>{54417F9D-F301-46DD-ACB4-32235D237E51}</x14:id>
        </ext>
      </extLst>
    </cfRule>
  </conditionalFormatting>
  <conditionalFormatting sqref="C25:D25">
    <cfRule type="dataBar" priority="23">
      <dataBar>
        <cfvo type="min"/>
        <cfvo type="max"/>
        <color rgb="FF008AEF"/>
      </dataBar>
      <extLst>
        <ext xmlns:x14="http://schemas.microsoft.com/office/spreadsheetml/2009/9/main" uri="{B025F937-C7B1-47D3-B67F-A62EFF666E3E}">
          <x14:id>{A16E9457-72D8-4A24-825E-D1C71FDE7E72}</x14:id>
        </ext>
      </extLst>
    </cfRule>
  </conditionalFormatting>
  <conditionalFormatting sqref="C26:D26">
    <cfRule type="dataBar" priority="22">
      <dataBar>
        <cfvo type="min"/>
        <cfvo type="max"/>
        <color rgb="FF008AEF"/>
      </dataBar>
      <extLst>
        <ext xmlns:x14="http://schemas.microsoft.com/office/spreadsheetml/2009/9/main" uri="{B025F937-C7B1-47D3-B67F-A62EFF666E3E}">
          <x14:id>{562CE94B-BB09-48AE-9773-7283902DDA41}</x14:id>
        </ext>
      </extLst>
    </cfRule>
  </conditionalFormatting>
  <conditionalFormatting sqref="C27:D27">
    <cfRule type="dataBar" priority="21">
      <dataBar>
        <cfvo type="min"/>
        <cfvo type="max"/>
        <color rgb="FF008AEF"/>
      </dataBar>
      <extLst>
        <ext xmlns:x14="http://schemas.microsoft.com/office/spreadsheetml/2009/9/main" uri="{B025F937-C7B1-47D3-B67F-A62EFF666E3E}">
          <x14:id>{F3F565D6-4D82-48F6-A488-4EC479E05111}</x14:id>
        </ext>
      </extLst>
    </cfRule>
  </conditionalFormatting>
  <conditionalFormatting sqref="C28:D28">
    <cfRule type="dataBar" priority="20">
      <dataBar>
        <cfvo type="min"/>
        <cfvo type="max"/>
        <color rgb="FF008AEF"/>
      </dataBar>
      <extLst>
        <ext xmlns:x14="http://schemas.microsoft.com/office/spreadsheetml/2009/9/main" uri="{B025F937-C7B1-47D3-B67F-A62EFF666E3E}">
          <x14:id>{702C916D-4B20-41F9-9D4F-2FC4B0623F6D}</x14:id>
        </ext>
      </extLst>
    </cfRule>
  </conditionalFormatting>
  <conditionalFormatting sqref="C29:D29">
    <cfRule type="dataBar" priority="19">
      <dataBar>
        <cfvo type="min"/>
        <cfvo type="max"/>
        <color rgb="FF008AEF"/>
      </dataBar>
      <extLst>
        <ext xmlns:x14="http://schemas.microsoft.com/office/spreadsheetml/2009/9/main" uri="{B025F937-C7B1-47D3-B67F-A62EFF666E3E}">
          <x14:id>{05F75A53-34A8-470E-8BA9-18F8F487FB45}</x14:id>
        </ext>
      </extLst>
    </cfRule>
  </conditionalFormatting>
  <conditionalFormatting sqref="C30:D30">
    <cfRule type="dataBar" priority="18">
      <dataBar>
        <cfvo type="min"/>
        <cfvo type="max"/>
        <color rgb="FF008AEF"/>
      </dataBar>
      <extLst>
        <ext xmlns:x14="http://schemas.microsoft.com/office/spreadsheetml/2009/9/main" uri="{B025F937-C7B1-47D3-B67F-A62EFF666E3E}">
          <x14:id>{FAD911E3-06D4-48F5-A434-22F00CD8AF29}</x14:id>
        </ext>
      </extLst>
    </cfRule>
  </conditionalFormatting>
  <conditionalFormatting sqref="C31:D31">
    <cfRule type="dataBar" priority="17">
      <dataBar>
        <cfvo type="min"/>
        <cfvo type="max"/>
        <color rgb="FF008AEF"/>
      </dataBar>
      <extLst>
        <ext xmlns:x14="http://schemas.microsoft.com/office/spreadsheetml/2009/9/main" uri="{B025F937-C7B1-47D3-B67F-A62EFF666E3E}">
          <x14:id>{321BCC8F-6658-479F-992A-86DE7B5088A7}</x14:id>
        </ext>
      </extLst>
    </cfRule>
  </conditionalFormatting>
  <conditionalFormatting sqref="C32:D32">
    <cfRule type="dataBar" priority="16">
      <dataBar>
        <cfvo type="min"/>
        <cfvo type="max"/>
        <color rgb="FF008AEF"/>
      </dataBar>
      <extLst>
        <ext xmlns:x14="http://schemas.microsoft.com/office/spreadsheetml/2009/9/main" uri="{B025F937-C7B1-47D3-B67F-A62EFF666E3E}">
          <x14:id>{D93E9E72-86F6-4B0C-A960-A2818A71B193}</x14:id>
        </ext>
      </extLst>
    </cfRule>
  </conditionalFormatting>
  <conditionalFormatting sqref="C33:D33">
    <cfRule type="dataBar" priority="15">
      <dataBar>
        <cfvo type="min"/>
        <cfvo type="max"/>
        <color rgb="FF008AEF"/>
      </dataBar>
      <extLst>
        <ext xmlns:x14="http://schemas.microsoft.com/office/spreadsheetml/2009/9/main" uri="{B025F937-C7B1-47D3-B67F-A62EFF666E3E}">
          <x14:id>{BA84A283-C8F0-4C73-B3B0-80A245C54F69}</x14:id>
        </ext>
      </extLst>
    </cfRule>
  </conditionalFormatting>
  <conditionalFormatting sqref="C34:D34">
    <cfRule type="dataBar" priority="14">
      <dataBar>
        <cfvo type="min"/>
        <cfvo type="max"/>
        <color rgb="FF008AEF"/>
      </dataBar>
      <extLst>
        <ext xmlns:x14="http://schemas.microsoft.com/office/spreadsheetml/2009/9/main" uri="{B025F937-C7B1-47D3-B67F-A62EFF666E3E}">
          <x14:id>{EC1EA8C8-5D7F-4954-B9F1-5D7A45167F73}</x14:id>
        </ext>
      </extLst>
    </cfRule>
  </conditionalFormatting>
  <conditionalFormatting sqref="C35:D35">
    <cfRule type="dataBar" priority="13">
      <dataBar>
        <cfvo type="min"/>
        <cfvo type="max"/>
        <color rgb="FF008AEF"/>
      </dataBar>
      <extLst>
        <ext xmlns:x14="http://schemas.microsoft.com/office/spreadsheetml/2009/9/main" uri="{B025F937-C7B1-47D3-B67F-A62EFF666E3E}">
          <x14:id>{39A3AAF0-2206-4157-B7EC-26F23935F5FF}</x14:id>
        </ext>
      </extLst>
    </cfRule>
  </conditionalFormatting>
  <conditionalFormatting sqref="E3:F31 E32:O35">
    <cfRule type="cellIs" dxfId="13" priority="1" operator="greaterThan">
      <formula>0</formula>
    </cfRule>
  </conditionalFormatting>
  <conditionalFormatting sqref="G8:O31">
    <cfRule type="cellIs" dxfId="12" priority="11" operator="greaterThan">
      <formula>0</formula>
    </cfRule>
  </conditionalFormatting>
  <conditionalFormatting sqref="G3:P7">
    <cfRule type="cellIs" dxfId="11" priority="2"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47EB6F17-00CA-4DDB-9319-9DDB8C0E44F7}">
            <x14:dataBar minLength="0" maxLength="100" gradient="0">
              <x14:cfvo type="autoMin"/>
              <x14:cfvo type="autoMax"/>
              <x14:negativeFillColor rgb="FFFF0000"/>
              <x14:axisColor rgb="FF000000"/>
            </x14:dataBar>
          </x14:cfRule>
          <xm:sqref>C3:D3 D4:D7</xm:sqref>
        </x14:conditionalFormatting>
        <x14:conditionalFormatting xmlns:xm="http://schemas.microsoft.com/office/excel/2006/main">
          <x14:cfRule type="dataBar" id="{3BF8FBDB-A962-4176-8458-84CD1B0EB71D}">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3AA9C7C6-4720-414F-8956-5E3F58EE4DB3}">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B47CD001-6C50-4850-92C2-D36C24DBFE57}">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91B76511-41CE-4650-84AF-5DA3647A0E1D}">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0ACD5489-3EE6-40B9-B908-18470DE88C5F}">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CC0FC9AF-1F39-4F2A-94D9-938A5AB925B4}">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E57C7C6F-804B-464F-A4F2-1F95EA85C4D1}">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BB874220-F8E4-4F0B-985F-9D55A0624E9B}">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672F6730-2F7B-4F40-9B9D-1B4E79B23D77}">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82DCCCF3-F05B-4402-81D4-221FB6DFA516}">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12FCFA0B-D53C-478E-9E1F-44CEA10DF248}">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BA301719-1131-46BA-B13A-0D299CEA960B}">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8BC619EB-15A6-47FF-A69D-C989F6DEF098}">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20508FE7-18CF-4DA8-892A-BF29A88E8F7A}">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2350762D-56D6-4614-BBE6-1AEAB8EA6DFE}">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3DB333AA-7717-4C06-8A7F-53721BA0592B}">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FEE083BD-370B-4A85-A17E-39715E9816BA}">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C9148144-33FC-42E3-9BB2-F1C9DF51503E}">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C91A07A2-8366-4EE5-85E0-9AE75FE5571A}">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D7FF5B10-412D-4D04-827F-17E4F837B4C8}">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54417F9D-F301-46DD-ACB4-32235D237E51}">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A16E9457-72D8-4A24-825E-D1C71FDE7E72}">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562CE94B-BB09-48AE-9773-7283902DDA41}">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F3F565D6-4D82-48F6-A488-4EC479E05111}">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702C916D-4B20-41F9-9D4F-2FC4B0623F6D}">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05F75A53-34A8-470E-8BA9-18F8F487FB45}">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FAD911E3-06D4-48F5-A434-22F00CD8AF29}">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321BCC8F-6658-479F-992A-86DE7B5088A7}">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D93E9E72-86F6-4B0C-A960-A2818A71B193}">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BA84A283-C8F0-4C73-B3B0-80A245C54F69}">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EC1EA8C8-5D7F-4954-B9F1-5D7A45167F73}">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39A3AAF0-2206-4157-B7EC-26F23935F5FF}">
            <x14:dataBar minLength="0" maxLength="100" gradient="0">
              <x14:cfvo type="autoMin"/>
              <x14:cfvo type="autoMax"/>
              <x14:negativeFillColor rgb="FFFF0000"/>
              <x14:axisColor rgb="FF000000"/>
            </x14:dataBar>
          </x14:cfRule>
          <xm:sqref>C35:D35</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1:P35"/>
  <sheetViews>
    <sheetView topLeftCell="A9" zoomScale="80" zoomScaleNormal="80" workbookViewId="0">
      <selection activeCell="M27" sqref="M27"/>
    </sheetView>
  </sheetViews>
  <sheetFormatPr baseColWidth="10" defaultColWidth="11.42578125" defaultRowHeight="15" x14ac:dyDescent="0.25"/>
  <cols>
    <col min="1" max="1" width="9.28515625" style="1" customWidth="1"/>
    <col min="2" max="2" width="89.85546875" style="1" customWidth="1"/>
    <col min="3" max="3" width="11.42578125" style="1"/>
    <col min="4" max="4" width="22.42578125" style="1" customWidth="1"/>
    <col min="5" max="9" width="17.28515625" style="1" customWidth="1"/>
    <col min="10" max="16384" width="11.42578125" style="1"/>
  </cols>
  <sheetData>
    <row r="1" spans="1:16" ht="61.5" customHeight="1" x14ac:dyDescent="0.25">
      <c r="A1" s="52" t="s">
        <v>1</v>
      </c>
      <c r="B1" s="27" t="s">
        <v>54</v>
      </c>
      <c r="C1" s="12" t="s">
        <v>2</v>
      </c>
      <c r="D1" s="12" t="s">
        <v>3</v>
      </c>
      <c r="E1" s="12" t="s">
        <v>4</v>
      </c>
      <c r="F1" s="12" t="s">
        <v>5</v>
      </c>
      <c r="G1" s="12" t="s">
        <v>6</v>
      </c>
      <c r="H1" s="12" t="s">
        <v>7</v>
      </c>
      <c r="I1" s="12" t="s">
        <v>8</v>
      </c>
      <c r="J1" s="12" t="s">
        <v>9</v>
      </c>
      <c r="K1" s="12" t="s">
        <v>10</v>
      </c>
      <c r="L1" s="12" t="s">
        <v>11</v>
      </c>
      <c r="M1" s="12" t="s">
        <v>12</v>
      </c>
      <c r="N1" s="12" t="s">
        <v>13</v>
      </c>
      <c r="O1" s="12" t="s">
        <v>14</v>
      </c>
      <c r="P1" s="12" t="s">
        <v>15</v>
      </c>
    </row>
    <row r="2" spans="1:16" s="3" customFormat="1" ht="15.75" thickBot="1" x14ac:dyDescent="0.3">
      <c r="A2" s="53"/>
      <c r="B2" s="27"/>
      <c r="C2" s="2">
        <v>2026</v>
      </c>
      <c r="D2" s="2" t="s">
        <v>16</v>
      </c>
      <c r="E2" s="30"/>
      <c r="F2" s="30"/>
      <c r="G2" s="30"/>
      <c r="H2" s="30"/>
      <c r="I2" s="30"/>
      <c r="J2" s="30"/>
      <c r="K2" s="30"/>
      <c r="L2" s="30"/>
      <c r="M2" s="30"/>
      <c r="N2" s="30"/>
      <c r="O2" s="30"/>
      <c r="P2" s="30"/>
    </row>
    <row r="3" spans="1:16" ht="81" customHeight="1" thickBot="1" x14ac:dyDescent="0.3">
      <c r="A3" s="45" t="s">
        <v>18</v>
      </c>
      <c r="B3" s="4" t="s">
        <v>17</v>
      </c>
      <c r="C3" s="6">
        <v>2</v>
      </c>
      <c r="D3" s="28">
        <f t="shared" ref="D3:D5" si="0">SUM(E3:P3)</f>
        <v>1</v>
      </c>
      <c r="E3" s="32"/>
      <c r="F3" s="32"/>
      <c r="G3" s="32"/>
      <c r="H3" s="32">
        <v>1</v>
      </c>
      <c r="I3" s="32"/>
      <c r="J3" s="32"/>
      <c r="K3" s="32"/>
      <c r="L3" s="32"/>
      <c r="M3" s="32"/>
      <c r="N3" s="32"/>
      <c r="O3" s="32"/>
      <c r="P3" s="32"/>
    </row>
    <row r="4" spans="1:16" ht="81" customHeight="1" thickBot="1" x14ac:dyDescent="0.3">
      <c r="A4" s="46" t="s">
        <v>20</v>
      </c>
      <c r="B4" s="7" t="s">
        <v>19</v>
      </c>
      <c r="C4" s="34">
        <v>2</v>
      </c>
      <c r="D4" s="28">
        <f t="shared" si="0"/>
        <v>0</v>
      </c>
      <c r="E4" s="32">
        <v>0</v>
      </c>
      <c r="F4" s="32">
        <v>0</v>
      </c>
      <c r="G4" s="32">
        <v>0</v>
      </c>
      <c r="H4" s="32">
        <v>0</v>
      </c>
      <c r="I4" s="32"/>
      <c r="J4" s="32"/>
      <c r="K4" s="32"/>
      <c r="L4" s="32"/>
      <c r="M4" s="32"/>
      <c r="N4" s="32"/>
      <c r="O4" s="32"/>
      <c r="P4" s="32"/>
    </row>
    <row r="5" spans="1:16" ht="81" customHeight="1" thickBot="1" x14ac:dyDescent="0.3">
      <c r="A5" s="36" t="s">
        <v>22</v>
      </c>
      <c r="B5" s="9" t="s">
        <v>21</v>
      </c>
      <c r="C5" s="35">
        <v>2</v>
      </c>
      <c r="D5" s="28">
        <f t="shared" si="0"/>
        <v>0</v>
      </c>
      <c r="E5" s="32">
        <v>0</v>
      </c>
      <c r="F5" s="32">
        <v>0</v>
      </c>
      <c r="G5" s="32">
        <v>0</v>
      </c>
      <c r="H5" s="32">
        <v>0</v>
      </c>
      <c r="I5" s="32"/>
      <c r="J5" s="32"/>
      <c r="K5" s="32"/>
      <c r="L5" s="32"/>
      <c r="M5" s="32"/>
      <c r="N5" s="32"/>
      <c r="O5" s="32"/>
      <c r="P5" s="32"/>
    </row>
    <row r="6" spans="1:16" ht="28.5" customHeight="1" x14ac:dyDescent="0.25">
      <c r="A6" s="54" t="s">
        <v>55</v>
      </c>
      <c r="B6" s="38" t="s">
        <v>56</v>
      </c>
      <c r="C6" s="37">
        <v>1</v>
      </c>
      <c r="D6" s="28">
        <f t="shared" ref="D6:D33" si="1">SUM(E6:O6)</f>
        <v>1</v>
      </c>
      <c r="E6" s="32"/>
      <c r="F6" s="32">
        <v>1</v>
      </c>
      <c r="G6" s="32"/>
      <c r="H6" s="32"/>
      <c r="I6" s="32"/>
      <c r="J6" s="32"/>
      <c r="K6" s="32"/>
      <c r="L6" s="32"/>
      <c r="M6" s="32"/>
      <c r="N6" s="32"/>
      <c r="O6" s="32"/>
      <c r="P6" s="39"/>
    </row>
    <row r="7" spans="1:16" ht="28.5" customHeight="1" x14ac:dyDescent="0.25">
      <c r="A7" s="55"/>
      <c r="B7" s="38" t="s">
        <v>57</v>
      </c>
      <c r="C7" s="37">
        <v>3</v>
      </c>
      <c r="D7" s="28">
        <f t="shared" si="1"/>
        <v>0</v>
      </c>
      <c r="E7" s="32"/>
      <c r="F7" s="32"/>
      <c r="G7" s="32"/>
      <c r="H7" s="32"/>
      <c r="I7" s="32"/>
      <c r="J7" s="32"/>
      <c r="K7" s="32"/>
      <c r="L7" s="32"/>
      <c r="M7" s="32"/>
      <c r="N7" s="32"/>
      <c r="O7" s="32"/>
      <c r="P7" s="39"/>
    </row>
    <row r="8" spans="1:16" ht="28.5" customHeight="1" x14ac:dyDescent="0.25">
      <c r="A8" s="55"/>
      <c r="B8" s="38" t="s">
        <v>58</v>
      </c>
      <c r="C8" s="37">
        <v>44</v>
      </c>
      <c r="D8" s="28">
        <f t="shared" si="1"/>
        <v>18</v>
      </c>
      <c r="E8" s="32">
        <v>4</v>
      </c>
      <c r="F8" s="32">
        <v>4</v>
      </c>
      <c r="G8" s="32">
        <v>2</v>
      </c>
      <c r="H8" s="32">
        <v>4</v>
      </c>
      <c r="I8" s="32">
        <v>4</v>
      </c>
      <c r="J8" s="32"/>
      <c r="K8" s="32"/>
      <c r="L8" s="32"/>
      <c r="M8" s="32"/>
      <c r="N8" s="32"/>
      <c r="O8" s="32"/>
      <c r="P8" s="39"/>
    </row>
    <row r="9" spans="1:16" ht="28.5" customHeight="1" x14ac:dyDescent="0.25">
      <c r="A9" s="55"/>
      <c r="B9" s="38" t="s">
        <v>59</v>
      </c>
      <c r="C9" s="37">
        <v>17</v>
      </c>
      <c r="D9" s="28">
        <f t="shared" si="1"/>
        <v>11</v>
      </c>
      <c r="E9" s="32"/>
      <c r="F9" s="32"/>
      <c r="G9" s="32">
        <v>5</v>
      </c>
      <c r="H9" s="32">
        <v>6</v>
      </c>
      <c r="I9" s="32"/>
      <c r="J9" s="32"/>
      <c r="K9" s="32"/>
      <c r="L9" s="32"/>
      <c r="M9" s="32"/>
      <c r="N9" s="32"/>
      <c r="O9" s="32"/>
      <c r="P9" s="39"/>
    </row>
    <row r="10" spans="1:16" ht="28.5" customHeight="1" x14ac:dyDescent="0.25">
      <c r="A10" s="55"/>
      <c r="B10" s="38" t="s">
        <v>60</v>
      </c>
      <c r="C10" s="37">
        <v>0</v>
      </c>
      <c r="D10" s="28">
        <f t="shared" si="1"/>
        <v>0</v>
      </c>
      <c r="E10" s="32"/>
      <c r="F10" s="32"/>
      <c r="G10" s="32"/>
      <c r="H10" s="32"/>
      <c r="I10" s="32"/>
      <c r="J10" s="32"/>
      <c r="K10" s="32"/>
      <c r="L10" s="32"/>
      <c r="M10" s="32"/>
      <c r="N10" s="32"/>
      <c r="O10" s="32"/>
      <c r="P10" s="39"/>
    </row>
    <row r="11" spans="1:16" ht="28.5" customHeight="1" x14ac:dyDescent="0.25">
      <c r="A11" s="55"/>
      <c r="B11" s="38" t="s">
        <v>61</v>
      </c>
      <c r="C11" s="37">
        <v>12</v>
      </c>
      <c r="D11" s="28">
        <f t="shared" si="1"/>
        <v>2</v>
      </c>
      <c r="E11" s="32"/>
      <c r="F11" s="32">
        <v>1</v>
      </c>
      <c r="G11" s="32">
        <v>1</v>
      </c>
      <c r="H11" s="32"/>
      <c r="I11" s="32"/>
      <c r="J11" s="32"/>
      <c r="K11" s="32"/>
      <c r="L11" s="32"/>
      <c r="M11" s="32"/>
      <c r="N11" s="32"/>
      <c r="O11" s="32"/>
      <c r="P11" s="39"/>
    </row>
    <row r="12" spans="1:16" ht="28.5" customHeight="1" x14ac:dyDescent="0.25">
      <c r="A12" s="55"/>
      <c r="B12" s="38" t="s">
        <v>62</v>
      </c>
      <c r="C12" s="37">
        <v>0</v>
      </c>
      <c r="D12" s="28">
        <f t="shared" si="1"/>
        <v>0</v>
      </c>
      <c r="E12" s="32"/>
      <c r="F12" s="32"/>
      <c r="G12" s="32"/>
      <c r="H12" s="32"/>
      <c r="I12" s="32"/>
      <c r="J12" s="32"/>
      <c r="K12" s="32"/>
      <c r="L12" s="32"/>
      <c r="M12" s="32"/>
      <c r="N12" s="32"/>
      <c r="O12" s="32"/>
      <c r="P12" s="39"/>
    </row>
    <row r="13" spans="1:16" ht="28.5" customHeight="1" x14ac:dyDescent="0.25">
      <c r="A13" s="55"/>
      <c r="B13" s="38" t="s">
        <v>63</v>
      </c>
      <c r="C13" s="37">
        <v>0</v>
      </c>
      <c r="D13" s="28">
        <f t="shared" si="1"/>
        <v>0</v>
      </c>
      <c r="E13" s="32"/>
      <c r="F13" s="32"/>
      <c r="G13" s="32"/>
      <c r="H13" s="32"/>
      <c r="I13" s="32"/>
      <c r="J13" s="32"/>
      <c r="K13" s="32"/>
      <c r="L13" s="32"/>
      <c r="M13" s="32"/>
      <c r="N13" s="32"/>
      <c r="O13" s="32"/>
      <c r="P13" s="39"/>
    </row>
    <row r="14" spans="1:16" ht="28.5" customHeight="1" x14ac:dyDescent="0.25">
      <c r="A14" s="55"/>
      <c r="B14" s="38" t="s">
        <v>64</v>
      </c>
      <c r="C14" s="37">
        <v>0</v>
      </c>
      <c r="D14" s="28">
        <f t="shared" si="1"/>
        <v>0</v>
      </c>
      <c r="E14" s="32"/>
      <c r="F14" s="32"/>
      <c r="G14" s="32"/>
      <c r="H14" s="32"/>
      <c r="I14" s="32"/>
      <c r="J14" s="32"/>
      <c r="K14" s="32"/>
      <c r="L14" s="32"/>
      <c r="M14" s="32"/>
      <c r="N14" s="32"/>
      <c r="O14" s="32"/>
      <c r="P14" s="39"/>
    </row>
    <row r="15" spans="1:16" ht="28.5" customHeight="1" x14ac:dyDescent="0.25">
      <c r="A15" s="55"/>
      <c r="B15" s="38" t="s">
        <v>65</v>
      </c>
      <c r="C15" s="37">
        <v>0</v>
      </c>
      <c r="D15" s="28">
        <f t="shared" si="1"/>
        <v>0</v>
      </c>
      <c r="E15" s="32"/>
      <c r="F15" s="32"/>
      <c r="G15" s="32"/>
      <c r="H15" s="32"/>
      <c r="I15" s="32"/>
      <c r="J15" s="32"/>
      <c r="K15" s="32"/>
      <c r="L15" s="32"/>
      <c r="M15" s="32"/>
      <c r="N15" s="32"/>
      <c r="O15" s="32"/>
      <c r="P15" s="39"/>
    </row>
    <row r="16" spans="1:16" ht="28.5" customHeight="1" x14ac:dyDescent="0.25">
      <c r="A16" s="55"/>
      <c r="B16" s="38" t="s">
        <v>66</v>
      </c>
      <c r="C16" s="37">
        <v>0</v>
      </c>
      <c r="D16" s="28">
        <f t="shared" si="1"/>
        <v>0</v>
      </c>
      <c r="E16" s="32"/>
      <c r="F16" s="32"/>
      <c r="G16" s="32"/>
      <c r="H16" s="32"/>
      <c r="I16" s="32"/>
      <c r="J16" s="32"/>
      <c r="K16" s="32"/>
      <c r="L16" s="32"/>
      <c r="M16" s="32"/>
      <c r="N16" s="32"/>
      <c r="O16" s="32"/>
      <c r="P16" s="39"/>
    </row>
    <row r="17" spans="1:16" ht="28.5" customHeight="1" x14ac:dyDescent="0.25">
      <c r="A17" s="55"/>
      <c r="B17" s="38" t="s">
        <v>67</v>
      </c>
      <c r="C17" s="37">
        <v>0</v>
      </c>
      <c r="D17" s="28">
        <f t="shared" si="1"/>
        <v>0</v>
      </c>
      <c r="E17" s="32"/>
      <c r="F17" s="32"/>
      <c r="G17" s="32"/>
      <c r="H17" s="32"/>
      <c r="I17" s="32"/>
      <c r="J17" s="32"/>
      <c r="K17" s="32"/>
      <c r="L17" s="32"/>
      <c r="M17" s="32"/>
      <c r="N17" s="32"/>
      <c r="O17" s="32"/>
      <c r="P17" s="39"/>
    </row>
    <row r="18" spans="1:16" ht="28.5" customHeight="1" x14ac:dyDescent="0.25">
      <c r="A18" s="55"/>
      <c r="B18" s="38" t="s">
        <v>68</v>
      </c>
      <c r="C18" s="37">
        <v>0</v>
      </c>
      <c r="D18" s="28">
        <f t="shared" si="1"/>
        <v>0</v>
      </c>
      <c r="E18" s="32"/>
      <c r="F18" s="32"/>
      <c r="G18" s="32"/>
      <c r="H18" s="32"/>
      <c r="I18" s="32"/>
      <c r="J18" s="32"/>
      <c r="K18" s="32"/>
      <c r="L18" s="32"/>
      <c r="M18" s="32"/>
      <c r="N18" s="32"/>
      <c r="O18" s="32"/>
      <c r="P18" s="39"/>
    </row>
    <row r="19" spans="1:16" ht="28.5" customHeight="1" x14ac:dyDescent="0.25">
      <c r="A19" s="55"/>
      <c r="B19" s="38" t="s">
        <v>69</v>
      </c>
      <c r="C19" s="37">
        <v>0</v>
      </c>
      <c r="D19" s="28">
        <f t="shared" si="1"/>
        <v>0</v>
      </c>
      <c r="E19" s="32"/>
      <c r="F19" s="32"/>
      <c r="G19" s="32"/>
      <c r="H19" s="32"/>
      <c r="I19" s="32"/>
      <c r="J19" s="32"/>
      <c r="K19" s="32"/>
      <c r="L19" s="32"/>
      <c r="M19" s="32"/>
      <c r="N19" s="32"/>
      <c r="O19" s="32"/>
      <c r="P19" s="39"/>
    </row>
    <row r="20" spans="1:16" ht="28.5" customHeight="1" x14ac:dyDescent="0.25">
      <c r="A20" s="55"/>
      <c r="B20" s="38" t="s">
        <v>70</v>
      </c>
      <c r="C20" s="37">
        <v>56</v>
      </c>
      <c r="D20" s="28">
        <f t="shared" si="1"/>
        <v>29</v>
      </c>
      <c r="E20" s="32"/>
      <c r="F20" s="32">
        <v>8</v>
      </c>
      <c r="G20" s="32">
        <v>6</v>
      </c>
      <c r="H20" s="32">
        <v>1</v>
      </c>
      <c r="I20" s="32">
        <v>6</v>
      </c>
      <c r="J20" s="32">
        <v>8</v>
      </c>
      <c r="K20" s="32"/>
      <c r="L20" s="32"/>
      <c r="M20" s="32"/>
      <c r="N20" s="32"/>
      <c r="O20" s="32"/>
      <c r="P20" s="39"/>
    </row>
    <row r="21" spans="1:16" ht="28.5" customHeight="1" x14ac:dyDescent="0.25">
      <c r="A21" s="55"/>
      <c r="B21" s="38" t="s">
        <v>71</v>
      </c>
      <c r="C21" s="37">
        <v>3</v>
      </c>
      <c r="D21" s="28">
        <f t="shared" si="1"/>
        <v>0</v>
      </c>
      <c r="E21" s="32"/>
      <c r="F21" s="32"/>
      <c r="G21" s="32"/>
      <c r="H21" s="32"/>
      <c r="I21" s="32"/>
      <c r="J21" s="32"/>
      <c r="K21" s="32"/>
      <c r="L21" s="32"/>
      <c r="M21" s="32"/>
      <c r="N21" s="32"/>
      <c r="O21" s="32"/>
      <c r="P21" s="39"/>
    </row>
    <row r="22" spans="1:16" ht="24" customHeight="1" x14ac:dyDescent="0.25">
      <c r="A22" s="55"/>
      <c r="B22" s="40" t="s">
        <v>72</v>
      </c>
      <c r="C22" s="37">
        <v>3</v>
      </c>
      <c r="D22" s="28">
        <f t="shared" si="1"/>
        <v>2</v>
      </c>
      <c r="E22" s="32"/>
      <c r="F22" s="32"/>
      <c r="G22" s="32">
        <v>2</v>
      </c>
      <c r="H22" s="32"/>
      <c r="I22" s="32"/>
      <c r="J22" s="32"/>
      <c r="K22" s="32"/>
      <c r="L22" s="32"/>
      <c r="M22" s="32"/>
      <c r="N22" s="32"/>
      <c r="O22" s="32"/>
      <c r="P22" s="39"/>
    </row>
    <row r="23" spans="1:16" ht="24" customHeight="1" x14ac:dyDescent="0.25">
      <c r="A23" s="55"/>
      <c r="B23" s="40" t="s">
        <v>73</v>
      </c>
      <c r="C23" s="37">
        <v>3</v>
      </c>
      <c r="D23" s="28">
        <f t="shared" si="1"/>
        <v>3</v>
      </c>
      <c r="E23" s="32"/>
      <c r="F23" s="32"/>
      <c r="G23" s="32"/>
      <c r="H23" s="32">
        <v>3</v>
      </c>
      <c r="I23" s="32"/>
      <c r="J23" s="32"/>
      <c r="K23" s="32"/>
      <c r="L23" s="32"/>
      <c r="M23" s="32"/>
      <c r="N23" s="32"/>
      <c r="O23" s="32"/>
      <c r="P23" s="39"/>
    </row>
    <row r="24" spans="1:16" ht="24" customHeight="1" x14ac:dyDescent="0.25">
      <c r="A24" s="55"/>
      <c r="B24" s="40" t="s">
        <v>74</v>
      </c>
      <c r="C24" s="37">
        <v>3</v>
      </c>
      <c r="D24" s="28">
        <f t="shared" si="1"/>
        <v>3</v>
      </c>
      <c r="E24" s="32"/>
      <c r="F24" s="32"/>
      <c r="G24" s="32"/>
      <c r="H24" s="32"/>
      <c r="I24" s="32">
        <v>3</v>
      </c>
      <c r="J24" s="32"/>
      <c r="K24" s="32"/>
      <c r="L24" s="32"/>
      <c r="M24" s="32"/>
      <c r="N24" s="32"/>
      <c r="O24" s="32"/>
      <c r="P24" s="39"/>
    </row>
    <row r="25" spans="1:16" ht="24" customHeight="1" x14ac:dyDescent="0.25">
      <c r="A25" s="55"/>
      <c r="B25" s="40" t="s">
        <v>75</v>
      </c>
      <c r="C25" s="37">
        <v>3</v>
      </c>
      <c r="D25" s="28">
        <f t="shared" si="1"/>
        <v>0</v>
      </c>
      <c r="E25" s="32"/>
      <c r="F25" s="32"/>
      <c r="G25" s="32"/>
      <c r="H25" s="32"/>
      <c r="I25" s="32"/>
      <c r="J25" s="32"/>
      <c r="K25" s="32"/>
      <c r="L25" s="32"/>
      <c r="M25" s="32"/>
      <c r="N25" s="32"/>
      <c r="O25" s="32"/>
      <c r="P25" s="39"/>
    </row>
    <row r="26" spans="1:16" ht="24" customHeight="1" x14ac:dyDescent="0.25">
      <c r="A26" s="55"/>
      <c r="B26" s="40" t="s">
        <v>76</v>
      </c>
      <c r="C26" s="37">
        <v>3</v>
      </c>
      <c r="D26" s="28">
        <f t="shared" si="1"/>
        <v>0</v>
      </c>
      <c r="E26" s="32"/>
      <c r="F26" s="32"/>
      <c r="G26" s="32"/>
      <c r="H26" s="32"/>
      <c r="I26" s="32"/>
      <c r="J26" s="32"/>
      <c r="K26" s="32"/>
      <c r="L26" s="32"/>
      <c r="M26" s="32"/>
      <c r="N26" s="32"/>
      <c r="O26" s="32"/>
      <c r="P26" s="39"/>
    </row>
    <row r="27" spans="1:16" ht="24" customHeight="1" x14ac:dyDescent="0.25">
      <c r="A27" s="55"/>
      <c r="B27" s="40" t="s">
        <v>77</v>
      </c>
      <c r="C27" s="37">
        <v>1</v>
      </c>
      <c r="D27" s="28">
        <f t="shared" si="1"/>
        <v>0</v>
      </c>
      <c r="E27" s="32"/>
      <c r="F27" s="32"/>
      <c r="G27" s="32"/>
      <c r="H27" s="32"/>
      <c r="I27" s="32"/>
      <c r="J27" s="32"/>
      <c r="K27" s="32"/>
      <c r="L27" s="32"/>
      <c r="M27" s="32"/>
      <c r="N27" s="32"/>
      <c r="O27" s="32"/>
      <c r="P27" s="39"/>
    </row>
    <row r="28" spans="1:16" ht="24" customHeight="1" x14ac:dyDescent="0.25">
      <c r="A28" s="55"/>
      <c r="B28" s="40" t="s">
        <v>78</v>
      </c>
      <c r="C28" s="37">
        <v>1</v>
      </c>
      <c r="D28" s="28">
        <f t="shared" si="1"/>
        <v>0</v>
      </c>
      <c r="E28" s="32"/>
      <c r="F28" s="32"/>
      <c r="G28" s="32"/>
      <c r="H28" s="32"/>
      <c r="I28" s="32"/>
      <c r="J28" s="32"/>
      <c r="K28" s="32"/>
      <c r="L28" s="32"/>
      <c r="M28" s="32"/>
      <c r="N28" s="32"/>
      <c r="O28" s="32"/>
      <c r="P28" s="39"/>
    </row>
    <row r="29" spans="1:16" ht="24" customHeight="1" x14ac:dyDescent="0.25">
      <c r="A29" s="55"/>
      <c r="B29" s="40" t="s">
        <v>79</v>
      </c>
      <c r="C29" s="37">
        <v>1</v>
      </c>
      <c r="D29" s="28">
        <f t="shared" si="1"/>
        <v>0</v>
      </c>
      <c r="E29" s="32"/>
      <c r="F29" s="32"/>
      <c r="G29" s="32"/>
      <c r="H29" s="32"/>
      <c r="I29" s="32"/>
      <c r="J29" s="32"/>
      <c r="K29" s="32"/>
      <c r="L29" s="32"/>
      <c r="M29" s="32"/>
      <c r="N29" s="32"/>
      <c r="O29" s="32"/>
      <c r="P29" s="39"/>
    </row>
    <row r="30" spans="1:16" ht="24" customHeight="1" x14ac:dyDescent="0.25">
      <c r="A30" s="55"/>
      <c r="B30" s="40" t="s">
        <v>80</v>
      </c>
      <c r="C30" s="37">
        <v>1</v>
      </c>
      <c r="D30" s="28">
        <f t="shared" si="1"/>
        <v>0</v>
      </c>
      <c r="E30" s="32"/>
      <c r="F30" s="32"/>
      <c r="G30" s="32"/>
      <c r="H30" s="32"/>
      <c r="I30" s="32"/>
      <c r="J30" s="32"/>
      <c r="K30" s="32"/>
      <c r="L30" s="32"/>
      <c r="M30" s="32"/>
      <c r="N30" s="32"/>
      <c r="O30" s="32"/>
      <c r="P30" s="39"/>
    </row>
    <row r="31" spans="1:16" ht="24" customHeight="1" x14ac:dyDescent="0.25">
      <c r="A31" s="55"/>
      <c r="B31" s="40" t="s">
        <v>81</v>
      </c>
      <c r="C31" s="37">
        <v>1</v>
      </c>
      <c r="D31" s="28">
        <f t="shared" si="1"/>
        <v>0</v>
      </c>
      <c r="E31" s="32"/>
      <c r="F31" s="32"/>
      <c r="G31" s="32"/>
      <c r="H31" s="32"/>
      <c r="I31" s="32"/>
      <c r="J31" s="32"/>
      <c r="K31" s="32"/>
      <c r="L31" s="32"/>
      <c r="M31" s="32"/>
      <c r="N31" s="32"/>
      <c r="O31" s="32"/>
      <c r="P31" s="39"/>
    </row>
    <row r="32" spans="1:16" ht="24" customHeight="1" x14ac:dyDescent="0.25">
      <c r="A32" s="55"/>
      <c r="B32" s="40" t="s">
        <v>82</v>
      </c>
      <c r="C32" s="37">
        <v>1</v>
      </c>
      <c r="D32" s="28">
        <f t="shared" si="1"/>
        <v>0</v>
      </c>
      <c r="E32" s="32"/>
      <c r="F32" s="32"/>
      <c r="G32" s="32"/>
      <c r="H32" s="32"/>
      <c r="I32" s="32"/>
      <c r="J32" s="32"/>
      <c r="K32" s="32"/>
      <c r="L32" s="32"/>
      <c r="M32" s="32"/>
      <c r="N32" s="32"/>
      <c r="O32" s="32"/>
      <c r="P32" s="39"/>
    </row>
    <row r="33" spans="1:16" ht="24" customHeight="1" thickBot="1" x14ac:dyDescent="0.3">
      <c r="A33" s="56"/>
      <c r="B33" s="41" t="s">
        <v>83</v>
      </c>
      <c r="C33" s="37">
        <v>1</v>
      </c>
      <c r="D33" s="28">
        <f t="shared" si="1"/>
        <v>0</v>
      </c>
      <c r="E33" s="32"/>
      <c r="F33" s="32"/>
      <c r="G33" s="32"/>
      <c r="H33" s="32"/>
      <c r="I33" s="32"/>
      <c r="J33" s="32"/>
      <c r="K33" s="32"/>
      <c r="L33" s="32"/>
      <c r="M33" s="32"/>
      <c r="N33" s="32"/>
      <c r="O33" s="32"/>
      <c r="P33" s="39"/>
    </row>
    <row r="34" spans="1:16" x14ac:dyDescent="0.25">
      <c r="C34" s="42">
        <f>SUM(C3:C33)</f>
        <v>164</v>
      </c>
      <c r="D34" s="43">
        <f>SUM(D3:D33)</f>
        <v>70</v>
      </c>
    </row>
    <row r="35" spans="1:16" x14ac:dyDescent="0.25">
      <c r="C35" s="11"/>
      <c r="D35" s="44">
        <f>D34/C34</f>
        <v>0.42682926829268292</v>
      </c>
    </row>
  </sheetData>
  <sheetProtection algorithmName="SHA-512" hashValue="qaXk2joLn90hieRKKYHjswAHS60OVZJ1bonN/jojkD/0RR5aUxP3FAd5F0K8d99FvjwWM1+fv7iRALzPfjbTOQ==" saltValue="bPOvNxmCHK4obLtinY5OhQ==" spinCount="100000" sheet="1" objects="1" scenarios="1" autoFilter="0"/>
  <mergeCells count="2">
    <mergeCell ref="A1:A2"/>
    <mergeCell ref="A6:A33"/>
  </mergeCells>
  <conditionalFormatting sqref="C3:D3 D4:D5">
    <cfRule type="dataBar" priority="49">
      <dataBar>
        <cfvo type="min"/>
        <cfvo type="max"/>
        <color rgb="FF008AEF"/>
      </dataBar>
      <extLst>
        <ext xmlns:x14="http://schemas.microsoft.com/office/spreadsheetml/2009/9/main" uri="{B025F937-C7B1-47D3-B67F-A62EFF666E3E}">
          <x14:id>{D290835A-0B3B-4B0E-80A3-16B118D1F4FC}</x14:id>
        </ext>
      </extLst>
    </cfRule>
  </conditionalFormatting>
  <conditionalFormatting sqref="C4:D4">
    <cfRule type="dataBar" priority="4">
      <dataBar>
        <cfvo type="min"/>
        <cfvo type="max"/>
        <color rgb="FF008AEF"/>
      </dataBar>
      <extLst>
        <ext xmlns:x14="http://schemas.microsoft.com/office/spreadsheetml/2009/9/main" uri="{B025F937-C7B1-47D3-B67F-A62EFF666E3E}">
          <x14:id>{7592CC3D-27E2-45C5-B4D8-C0D51BE0CCF2}</x14:id>
        </ext>
      </extLst>
    </cfRule>
  </conditionalFormatting>
  <conditionalFormatting sqref="C5:D5">
    <cfRule type="dataBar" priority="5">
      <dataBar>
        <cfvo type="min"/>
        <cfvo type="max"/>
        <color rgb="FF008AEF"/>
      </dataBar>
      <extLst>
        <ext xmlns:x14="http://schemas.microsoft.com/office/spreadsheetml/2009/9/main" uri="{B025F937-C7B1-47D3-B67F-A62EFF666E3E}">
          <x14:id>{6ABA2546-8D61-465A-BFCC-6032CB080432}</x14:id>
        </ext>
      </extLst>
    </cfRule>
  </conditionalFormatting>
  <conditionalFormatting sqref="C6:D6">
    <cfRule type="dataBar" priority="12">
      <dataBar>
        <cfvo type="min"/>
        <cfvo type="max"/>
        <color rgb="FF008AEF"/>
      </dataBar>
      <extLst>
        <ext xmlns:x14="http://schemas.microsoft.com/office/spreadsheetml/2009/9/main" uri="{B025F937-C7B1-47D3-B67F-A62EFF666E3E}">
          <x14:id>{8C55DD9B-FB45-48BB-99F5-1D3E99A9FA58}</x14:id>
        </ext>
      </extLst>
    </cfRule>
  </conditionalFormatting>
  <conditionalFormatting sqref="C7:D7">
    <cfRule type="dataBar" priority="39">
      <dataBar>
        <cfvo type="min"/>
        <cfvo type="max"/>
        <color rgb="FF008AEF"/>
      </dataBar>
      <extLst>
        <ext xmlns:x14="http://schemas.microsoft.com/office/spreadsheetml/2009/9/main" uri="{B025F937-C7B1-47D3-B67F-A62EFF666E3E}">
          <x14:id>{1DE3D5D0-072C-40D6-8D7A-742540153A54}</x14:id>
        </ext>
      </extLst>
    </cfRule>
  </conditionalFormatting>
  <conditionalFormatting sqref="C8:D8">
    <cfRule type="dataBar" priority="38">
      <dataBar>
        <cfvo type="min"/>
        <cfvo type="max"/>
        <color rgb="FF008AEF"/>
      </dataBar>
      <extLst>
        <ext xmlns:x14="http://schemas.microsoft.com/office/spreadsheetml/2009/9/main" uri="{B025F937-C7B1-47D3-B67F-A62EFF666E3E}">
          <x14:id>{CFCB02C4-0D4D-41CC-9F4B-A86F80404166}</x14:id>
        </ext>
      </extLst>
    </cfRule>
  </conditionalFormatting>
  <conditionalFormatting sqref="C9:D9">
    <cfRule type="dataBar" priority="37">
      <dataBar>
        <cfvo type="min"/>
        <cfvo type="max"/>
        <color rgb="FF008AEF"/>
      </dataBar>
      <extLst>
        <ext xmlns:x14="http://schemas.microsoft.com/office/spreadsheetml/2009/9/main" uri="{B025F937-C7B1-47D3-B67F-A62EFF666E3E}">
          <x14:id>{58DBE188-6A8A-48A8-B50E-FFB366865A69}</x14:id>
        </ext>
      </extLst>
    </cfRule>
  </conditionalFormatting>
  <conditionalFormatting sqref="C10:D10">
    <cfRule type="dataBar" priority="36">
      <dataBar>
        <cfvo type="min"/>
        <cfvo type="max"/>
        <color rgb="FF008AEF"/>
      </dataBar>
      <extLst>
        <ext xmlns:x14="http://schemas.microsoft.com/office/spreadsheetml/2009/9/main" uri="{B025F937-C7B1-47D3-B67F-A62EFF666E3E}">
          <x14:id>{89C45602-DC32-458A-9231-31B9B5914FA1}</x14:id>
        </ext>
      </extLst>
    </cfRule>
  </conditionalFormatting>
  <conditionalFormatting sqref="C11:D11">
    <cfRule type="dataBar" priority="35">
      <dataBar>
        <cfvo type="min"/>
        <cfvo type="max"/>
        <color rgb="FF008AEF"/>
      </dataBar>
      <extLst>
        <ext xmlns:x14="http://schemas.microsoft.com/office/spreadsheetml/2009/9/main" uri="{B025F937-C7B1-47D3-B67F-A62EFF666E3E}">
          <x14:id>{B1D3C518-0ADE-4175-8FB7-3007BC0E56AC}</x14:id>
        </ext>
      </extLst>
    </cfRule>
  </conditionalFormatting>
  <conditionalFormatting sqref="C12:D12">
    <cfRule type="dataBar" priority="34">
      <dataBar>
        <cfvo type="min"/>
        <cfvo type="max"/>
        <color rgb="FF008AEF"/>
      </dataBar>
      <extLst>
        <ext xmlns:x14="http://schemas.microsoft.com/office/spreadsheetml/2009/9/main" uri="{B025F937-C7B1-47D3-B67F-A62EFF666E3E}">
          <x14:id>{AADEA54D-797C-4EA5-BAEA-2D4084034979}</x14:id>
        </ext>
      </extLst>
    </cfRule>
  </conditionalFormatting>
  <conditionalFormatting sqref="C13:D13">
    <cfRule type="dataBar" priority="33">
      <dataBar>
        <cfvo type="min"/>
        <cfvo type="max"/>
        <color rgb="FF008AEF"/>
      </dataBar>
      <extLst>
        <ext xmlns:x14="http://schemas.microsoft.com/office/spreadsheetml/2009/9/main" uri="{B025F937-C7B1-47D3-B67F-A62EFF666E3E}">
          <x14:id>{F474AB7B-69AD-49AE-86DA-C4D8B1BECA6B}</x14:id>
        </ext>
      </extLst>
    </cfRule>
  </conditionalFormatting>
  <conditionalFormatting sqref="C14:D14">
    <cfRule type="dataBar" priority="32">
      <dataBar>
        <cfvo type="min"/>
        <cfvo type="max"/>
        <color rgb="FF008AEF"/>
      </dataBar>
      <extLst>
        <ext xmlns:x14="http://schemas.microsoft.com/office/spreadsheetml/2009/9/main" uri="{B025F937-C7B1-47D3-B67F-A62EFF666E3E}">
          <x14:id>{12513075-F909-4346-9DD4-A18D142681E8}</x14:id>
        </ext>
      </extLst>
    </cfRule>
  </conditionalFormatting>
  <conditionalFormatting sqref="C15:D15">
    <cfRule type="dataBar" priority="31">
      <dataBar>
        <cfvo type="min"/>
        <cfvo type="max"/>
        <color rgb="FF008AEF"/>
      </dataBar>
      <extLst>
        <ext xmlns:x14="http://schemas.microsoft.com/office/spreadsheetml/2009/9/main" uri="{B025F937-C7B1-47D3-B67F-A62EFF666E3E}">
          <x14:id>{CA312C6F-39D8-4D4F-BF5B-F738959C9929}</x14:id>
        </ext>
      </extLst>
    </cfRule>
  </conditionalFormatting>
  <conditionalFormatting sqref="C16:D16">
    <cfRule type="dataBar" priority="30">
      <dataBar>
        <cfvo type="min"/>
        <cfvo type="max"/>
        <color rgb="FF008AEF"/>
      </dataBar>
      <extLst>
        <ext xmlns:x14="http://schemas.microsoft.com/office/spreadsheetml/2009/9/main" uri="{B025F937-C7B1-47D3-B67F-A62EFF666E3E}">
          <x14:id>{359826D4-E845-4759-8E20-81009C139C75}</x14:id>
        </ext>
      </extLst>
    </cfRule>
  </conditionalFormatting>
  <conditionalFormatting sqref="C17:D17">
    <cfRule type="dataBar" priority="29">
      <dataBar>
        <cfvo type="min"/>
        <cfvo type="max"/>
        <color rgb="FF008AEF"/>
      </dataBar>
      <extLst>
        <ext xmlns:x14="http://schemas.microsoft.com/office/spreadsheetml/2009/9/main" uri="{B025F937-C7B1-47D3-B67F-A62EFF666E3E}">
          <x14:id>{B34CC504-2FAD-4EE8-B685-1B435E454F4C}</x14:id>
        </ext>
      </extLst>
    </cfRule>
  </conditionalFormatting>
  <conditionalFormatting sqref="C18:D18">
    <cfRule type="dataBar" priority="28">
      <dataBar>
        <cfvo type="min"/>
        <cfvo type="max"/>
        <color rgb="FF008AEF"/>
      </dataBar>
      <extLst>
        <ext xmlns:x14="http://schemas.microsoft.com/office/spreadsheetml/2009/9/main" uri="{B025F937-C7B1-47D3-B67F-A62EFF666E3E}">
          <x14:id>{6F010844-309E-49BB-9ED1-324D14BC8783}</x14:id>
        </ext>
      </extLst>
    </cfRule>
  </conditionalFormatting>
  <conditionalFormatting sqref="C19:D19">
    <cfRule type="dataBar" priority="27">
      <dataBar>
        <cfvo type="min"/>
        <cfvo type="max"/>
        <color rgb="FF008AEF"/>
      </dataBar>
      <extLst>
        <ext xmlns:x14="http://schemas.microsoft.com/office/spreadsheetml/2009/9/main" uri="{B025F937-C7B1-47D3-B67F-A62EFF666E3E}">
          <x14:id>{E364F50D-8A79-4D6B-91FC-EAA562CA7E3C}</x14:id>
        </ext>
      </extLst>
    </cfRule>
  </conditionalFormatting>
  <conditionalFormatting sqref="C20:D20">
    <cfRule type="dataBar" priority="26">
      <dataBar>
        <cfvo type="min"/>
        <cfvo type="max"/>
        <color rgb="FF008AEF"/>
      </dataBar>
      <extLst>
        <ext xmlns:x14="http://schemas.microsoft.com/office/spreadsheetml/2009/9/main" uri="{B025F937-C7B1-47D3-B67F-A62EFF666E3E}">
          <x14:id>{C7C19F7A-62B5-4F6B-8ADA-F6FBF7D42A3C}</x14:id>
        </ext>
      </extLst>
    </cfRule>
  </conditionalFormatting>
  <conditionalFormatting sqref="C21:D21">
    <cfRule type="dataBar" priority="25">
      <dataBar>
        <cfvo type="min"/>
        <cfvo type="max"/>
        <color rgb="FF008AEF"/>
      </dataBar>
      <extLst>
        <ext xmlns:x14="http://schemas.microsoft.com/office/spreadsheetml/2009/9/main" uri="{B025F937-C7B1-47D3-B67F-A62EFF666E3E}">
          <x14:id>{CACC81F2-A25A-4EEB-B25F-CC16837A7E8A}</x14:id>
        </ext>
      </extLst>
    </cfRule>
  </conditionalFormatting>
  <conditionalFormatting sqref="C22:D22">
    <cfRule type="dataBar" priority="24">
      <dataBar>
        <cfvo type="min"/>
        <cfvo type="max"/>
        <color rgb="FF008AEF"/>
      </dataBar>
      <extLst>
        <ext xmlns:x14="http://schemas.microsoft.com/office/spreadsheetml/2009/9/main" uri="{B025F937-C7B1-47D3-B67F-A62EFF666E3E}">
          <x14:id>{83937842-8877-44B9-B753-49FB5345A1EC}</x14:id>
        </ext>
      </extLst>
    </cfRule>
  </conditionalFormatting>
  <conditionalFormatting sqref="C23:D23">
    <cfRule type="dataBar" priority="23">
      <dataBar>
        <cfvo type="min"/>
        <cfvo type="max"/>
        <color rgb="FF008AEF"/>
      </dataBar>
      <extLst>
        <ext xmlns:x14="http://schemas.microsoft.com/office/spreadsheetml/2009/9/main" uri="{B025F937-C7B1-47D3-B67F-A62EFF666E3E}">
          <x14:id>{D626F65E-B28C-46E3-8741-2F2C84351285}</x14:id>
        </ext>
      </extLst>
    </cfRule>
  </conditionalFormatting>
  <conditionalFormatting sqref="C24:D24">
    <cfRule type="dataBar" priority="22">
      <dataBar>
        <cfvo type="min"/>
        <cfvo type="max"/>
        <color rgb="FF008AEF"/>
      </dataBar>
      <extLst>
        <ext xmlns:x14="http://schemas.microsoft.com/office/spreadsheetml/2009/9/main" uri="{B025F937-C7B1-47D3-B67F-A62EFF666E3E}">
          <x14:id>{8695A4D0-07F5-47F5-BF99-0F7CDF5CD178}</x14:id>
        </ext>
      </extLst>
    </cfRule>
  </conditionalFormatting>
  <conditionalFormatting sqref="C25:D25">
    <cfRule type="dataBar" priority="21">
      <dataBar>
        <cfvo type="min"/>
        <cfvo type="max"/>
        <color rgb="FF008AEF"/>
      </dataBar>
      <extLst>
        <ext xmlns:x14="http://schemas.microsoft.com/office/spreadsheetml/2009/9/main" uri="{B025F937-C7B1-47D3-B67F-A62EFF666E3E}">
          <x14:id>{BFF64C03-DD72-4403-A8FD-506B5AD77511}</x14:id>
        </ext>
      </extLst>
    </cfRule>
  </conditionalFormatting>
  <conditionalFormatting sqref="C26:D26">
    <cfRule type="dataBar" priority="20">
      <dataBar>
        <cfvo type="min"/>
        <cfvo type="max"/>
        <color rgb="FF008AEF"/>
      </dataBar>
      <extLst>
        <ext xmlns:x14="http://schemas.microsoft.com/office/spreadsheetml/2009/9/main" uri="{B025F937-C7B1-47D3-B67F-A62EFF666E3E}">
          <x14:id>{24F5E703-A2BA-4588-8646-71A311119F82}</x14:id>
        </ext>
      </extLst>
    </cfRule>
  </conditionalFormatting>
  <conditionalFormatting sqref="C27:D27">
    <cfRule type="dataBar" priority="19">
      <dataBar>
        <cfvo type="min"/>
        <cfvo type="max"/>
        <color rgb="FF008AEF"/>
      </dataBar>
      <extLst>
        <ext xmlns:x14="http://schemas.microsoft.com/office/spreadsheetml/2009/9/main" uri="{B025F937-C7B1-47D3-B67F-A62EFF666E3E}">
          <x14:id>{282AE03E-3EB5-40B2-BF80-87018C564A2F}</x14:id>
        </ext>
      </extLst>
    </cfRule>
  </conditionalFormatting>
  <conditionalFormatting sqref="C28:D28">
    <cfRule type="dataBar" priority="18">
      <dataBar>
        <cfvo type="min"/>
        <cfvo type="max"/>
        <color rgb="FF008AEF"/>
      </dataBar>
      <extLst>
        <ext xmlns:x14="http://schemas.microsoft.com/office/spreadsheetml/2009/9/main" uri="{B025F937-C7B1-47D3-B67F-A62EFF666E3E}">
          <x14:id>{FEB0C9BC-74F1-403D-9190-BBF57A7125E8}</x14:id>
        </ext>
      </extLst>
    </cfRule>
  </conditionalFormatting>
  <conditionalFormatting sqref="C29:D29">
    <cfRule type="dataBar" priority="17">
      <dataBar>
        <cfvo type="min"/>
        <cfvo type="max"/>
        <color rgb="FF008AEF"/>
      </dataBar>
      <extLst>
        <ext xmlns:x14="http://schemas.microsoft.com/office/spreadsheetml/2009/9/main" uri="{B025F937-C7B1-47D3-B67F-A62EFF666E3E}">
          <x14:id>{4AC566BC-797B-48DE-8937-5D8AF4FCB415}</x14:id>
        </ext>
      </extLst>
    </cfRule>
  </conditionalFormatting>
  <conditionalFormatting sqref="C30:D30">
    <cfRule type="dataBar" priority="16">
      <dataBar>
        <cfvo type="min"/>
        <cfvo type="max"/>
        <color rgb="FF008AEF"/>
      </dataBar>
      <extLst>
        <ext xmlns:x14="http://schemas.microsoft.com/office/spreadsheetml/2009/9/main" uri="{B025F937-C7B1-47D3-B67F-A62EFF666E3E}">
          <x14:id>{6AA3D7FA-3462-4FA4-A1E9-C8F3F3EA6BA7}</x14:id>
        </ext>
      </extLst>
    </cfRule>
  </conditionalFormatting>
  <conditionalFormatting sqref="C31:D31">
    <cfRule type="dataBar" priority="15">
      <dataBar>
        <cfvo type="min"/>
        <cfvo type="max"/>
        <color rgb="FF008AEF"/>
      </dataBar>
      <extLst>
        <ext xmlns:x14="http://schemas.microsoft.com/office/spreadsheetml/2009/9/main" uri="{B025F937-C7B1-47D3-B67F-A62EFF666E3E}">
          <x14:id>{6A7D1A7F-9161-4284-A976-49DBAEA7E7E8}</x14:id>
        </ext>
      </extLst>
    </cfRule>
  </conditionalFormatting>
  <conditionalFormatting sqref="C32:D32">
    <cfRule type="dataBar" priority="14">
      <dataBar>
        <cfvo type="min"/>
        <cfvo type="max"/>
        <color rgb="FF008AEF"/>
      </dataBar>
      <extLst>
        <ext xmlns:x14="http://schemas.microsoft.com/office/spreadsheetml/2009/9/main" uri="{B025F937-C7B1-47D3-B67F-A62EFF666E3E}">
          <x14:id>{57DDA7C2-8F4D-4371-90BB-E1FF00AB0D69}</x14:id>
        </ext>
      </extLst>
    </cfRule>
  </conditionalFormatting>
  <conditionalFormatting sqref="C33:D33">
    <cfRule type="dataBar" priority="13">
      <dataBar>
        <cfvo type="min"/>
        <cfvo type="max"/>
        <color rgb="FF008AEF"/>
      </dataBar>
      <extLst>
        <ext xmlns:x14="http://schemas.microsoft.com/office/spreadsheetml/2009/9/main" uri="{B025F937-C7B1-47D3-B67F-A62EFF666E3E}">
          <x14:id>{D0019EF9-DEBF-452C-8F5F-38488050D456}</x14:id>
        </ext>
      </extLst>
    </cfRule>
  </conditionalFormatting>
  <conditionalFormatting sqref="E3:F29 E30:O33">
    <cfRule type="cellIs" dxfId="10" priority="1" operator="greaterThan">
      <formula>0</formula>
    </cfRule>
  </conditionalFormatting>
  <conditionalFormatting sqref="G6:O29">
    <cfRule type="cellIs" dxfId="9" priority="11" operator="greaterThan">
      <formula>0</formula>
    </cfRule>
  </conditionalFormatting>
  <conditionalFormatting sqref="G3:P5">
    <cfRule type="cellIs" dxfId="8" priority="2"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D290835A-0B3B-4B0E-80A3-16B118D1F4FC}">
            <x14:dataBar minLength="0" maxLength="100" gradient="0">
              <x14:cfvo type="autoMin"/>
              <x14:cfvo type="autoMax"/>
              <x14:negativeFillColor rgb="FFFF0000"/>
              <x14:axisColor rgb="FF000000"/>
            </x14:dataBar>
          </x14:cfRule>
          <xm:sqref>C3:D3 D4:D5</xm:sqref>
        </x14:conditionalFormatting>
        <x14:conditionalFormatting xmlns:xm="http://schemas.microsoft.com/office/excel/2006/main">
          <x14:cfRule type="dataBar" id="{7592CC3D-27E2-45C5-B4D8-C0D51BE0CCF2}">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6ABA2546-8D61-465A-BFCC-6032CB080432}">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8C55DD9B-FB45-48BB-99F5-1D3E99A9FA58}">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1DE3D5D0-072C-40D6-8D7A-742540153A54}">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CFCB02C4-0D4D-41CC-9F4B-A86F80404166}">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58DBE188-6A8A-48A8-B50E-FFB366865A69}">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89C45602-DC32-458A-9231-31B9B5914FA1}">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B1D3C518-0ADE-4175-8FB7-3007BC0E56AC}">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AADEA54D-797C-4EA5-BAEA-2D4084034979}">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F474AB7B-69AD-49AE-86DA-C4D8B1BECA6B}">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12513075-F909-4346-9DD4-A18D142681E8}">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CA312C6F-39D8-4D4F-BF5B-F738959C9929}">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359826D4-E845-4759-8E20-81009C139C75}">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B34CC504-2FAD-4EE8-B685-1B435E454F4C}">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6F010844-309E-49BB-9ED1-324D14BC8783}">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E364F50D-8A79-4D6B-91FC-EAA562CA7E3C}">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C7C19F7A-62B5-4F6B-8ADA-F6FBF7D42A3C}">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CACC81F2-A25A-4EEB-B25F-CC16837A7E8A}">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83937842-8877-44B9-B753-49FB5345A1EC}">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D626F65E-B28C-46E3-8741-2F2C84351285}">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8695A4D0-07F5-47F5-BF99-0F7CDF5CD178}">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BFF64C03-DD72-4403-A8FD-506B5AD77511}">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24F5E703-A2BA-4588-8646-71A311119F82}">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282AE03E-3EB5-40B2-BF80-87018C564A2F}">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FEB0C9BC-74F1-403D-9190-BBF57A7125E8}">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4AC566BC-797B-48DE-8937-5D8AF4FCB415}">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6AA3D7FA-3462-4FA4-A1E9-C8F3F3EA6BA7}">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6A7D1A7F-9161-4284-A976-49DBAEA7E7E8}">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57DDA7C2-8F4D-4371-90BB-E1FF00AB0D69}">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D0019EF9-DEBF-452C-8F5F-38488050D456}">
            <x14:dataBar minLength="0" maxLength="100" gradient="0">
              <x14:cfvo type="autoMin"/>
              <x14:cfvo type="autoMax"/>
              <x14:negativeFillColor rgb="FFFF0000"/>
              <x14:axisColor rgb="FF000000"/>
            </x14:dataBar>
          </x14:cfRule>
          <xm:sqref>C33:D33</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dimension ref="A1:P34"/>
  <sheetViews>
    <sheetView zoomScale="80" zoomScaleNormal="80" workbookViewId="0">
      <selection activeCell="L23" sqref="L23"/>
    </sheetView>
  </sheetViews>
  <sheetFormatPr baseColWidth="10" defaultColWidth="11.42578125" defaultRowHeight="15" x14ac:dyDescent="0.25"/>
  <cols>
    <col min="1" max="1" width="4.85546875" style="1" customWidth="1"/>
    <col min="2" max="2" width="89" style="1" customWidth="1"/>
    <col min="3" max="3" width="11.42578125" style="1"/>
    <col min="4" max="4" width="22.42578125" style="1" customWidth="1"/>
    <col min="5" max="9" width="17.28515625" style="1" customWidth="1"/>
    <col min="10" max="16384" width="11.42578125" style="1"/>
  </cols>
  <sheetData>
    <row r="1" spans="1:16" ht="61.5" customHeight="1" x14ac:dyDescent="0.25">
      <c r="A1" s="52" t="s">
        <v>1</v>
      </c>
      <c r="B1" s="27" t="s">
        <v>30</v>
      </c>
      <c r="C1" s="12" t="s">
        <v>2</v>
      </c>
      <c r="D1" s="12" t="s">
        <v>3</v>
      </c>
      <c r="E1" s="12" t="s">
        <v>4</v>
      </c>
      <c r="F1" s="12" t="s">
        <v>5</v>
      </c>
      <c r="G1" s="12" t="s">
        <v>6</v>
      </c>
      <c r="H1" s="12" t="s">
        <v>7</v>
      </c>
      <c r="I1" s="12" t="s">
        <v>8</v>
      </c>
      <c r="J1" s="12" t="s">
        <v>9</v>
      </c>
      <c r="K1" s="12" t="s">
        <v>10</v>
      </c>
      <c r="L1" s="12" t="s">
        <v>11</v>
      </c>
      <c r="M1" s="12" t="s">
        <v>12</v>
      </c>
      <c r="N1" s="12" t="s">
        <v>13</v>
      </c>
      <c r="O1" s="12" t="s">
        <v>14</v>
      </c>
      <c r="P1" s="12" t="s">
        <v>15</v>
      </c>
    </row>
    <row r="2" spans="1:16" s="3" customFormat="1" ht="15.75" thickBot="1" x14ac:dyDescent="0.3">
      <c r="A2" s="53"/>
      <c r="B2" s="27"/>
      <c r="C2" s="2">
        <v>2026</v>
      </c>
      <c r="D2" s="2" t="s">
        <v>16</v>
      </c>
      <c r="E2" s="30"/>
      <c r="F2" s="30"/>
      <c r="G2" s="30"/>
      <c r="H2" s="30"/>
      <c r="I2" s="30"/>
      <c r="J2" s="30"/>
      <c r="K2" s="30"/>
      <c r="L2" s="30"/>
      <c r="M2" s="30"/>
      <c r="N2" s="30"/>
      <c r="O2" s="30"/>
      <c r="P2" s="30"/>
    </row>
    <row r="3" spans="1:16" ht="81" customHeight="1" x14ac:dyDescent="0.25">
      <c r="A3" s="31" t="s">
        <v>18</v>
      </c>
      <c r="B3" s="18" t="s">
        <v>17</v>
      </c>
      <c r="C3" s="6">
        <v>2</v>
      </c>
      <c r="D3" s="28">
        <f t="shared" ref="D3:D4" si="0">SUM(E3:P3)</f>
        <v>2</v>
      </c>
      <c r="E3" s="32"/>
      <c r="F3" s="32"/>
      <c r="G3" s="32"/>
      <c r="H3" s="32">
        <v>2</v>
      </c>
      <c r="I3" s="32"/>
      <c r="J3" s="32"/>
      <c r="K3" s="32"/>
      <c r="L3" s="32"/>
      <c r="M3" s="32"/>
      <c r="N3" s="32"/>
      <c r="O3" s="32"/>
      <c r="P3" s="32"/>
    </row>
    <row r="4" spans="1:16" ht="81" customHeight="1" x14ac:dyDescent="0.25">
      <c r="A4" s="33" t="s">
        <v>20</v>
      </c>
      <c r="B4" s="19" t="s">
        <v>19</v>
      </c>
      <c r="C4" s="34">
        <v>2</v>
      </c>
      <c r="D4" s="28">
        <f t="shared" si="0"/>
        <v>0</v>
      </c>
      <c r="E4" s="32">
        <v>0</v>
      </c>
      <c r="F4" s="32">
        <v>0</v>
      </c>
      <c r="G4" s="32">
        <v>0</v>
      </c>
      <c r="H4" s="32">
        <v>0</v>
      </c>
      <c r="I4" s="32"/>
      <c r="J4" s="32"/>
      <c r="K4" s="32"/>
      <c r="L4" s="32"/>
      <c r="M4" s="32"/>
      <c r="N4" s="32"/>
      <c r="O4" s="32"/>
      <c r="P4" s="32"/>
    </row>
    <row r="5" spans="1:16" ht="28.5" customHeight="1" x14ac:dyDescent="0.25">
      <c r="A5" s="54" t="s">
        <v>55</v>
      </c>
      <c r="B5" s="38" t="s">
        <v>56</v>
      </c>
      <c r="C5" s="37">
        <v>3</v>
      </c>
      <c r="D5" s="28">
        <f t="shared" ref="D5:D32" si="1">SUM(E5:O5)</f>
        <v>0</v>
      </c>
      <c r="E5" s="32"/>
      <c r="F5" s="32"/>
      <c r="G5" s="32"/>
      <c r="H5" s="32"/>
      <c r="I5" s="32"/>
      <c r="J5" s="32"/>
      <c r="K5" s="32"/>
      <c r="L5" s="32"/>
      <c r="M5" s="32"/>
      <c r="N5" s="32"/>
      <c r="O5" s="32"/>
      <c r="P5" s="39"/>
    </row>
    <row r="6" spans="1:16" ht="28.5" customHeight="1" x14ac:dyDescent="0.25">
      <c r="A6" s="55"/>
      <c r="B6" s="38" t="s">
        <v>57</v>
      </c>
      <c r="C6" s="37">
        <v>3</v>
      </c>
      <c r="D6" s="28">
        <f t="shared" si="1"/>
        <v>0</v>
      </c>
      <c r="E6" s="32"/>
      <c r="F6" s="32"/>
      <c r="G6" s="32"/>
      <c r="H6" s="32"/>
      <c r="I6" s="32"/>
      <c r="J6" s="32"/>
      <c r="K6" s="32"/>
      <c r="L6" s="32"/>
      <c r="M6" s="32"/>
      <c r="N6" s="32"/>
      <c r="O6" s="32"/>
      <c r="P6" s="39"/>
    </row>
    <row r="7" spans="1:16" ht="28.5" customHeight="1" x14ac:dyDescent="0.25">
      <c r="A7" s="55"/>
      <c r="B7" s="38" t="s">
        <v>58</v>
      </c>
      <c r="C7" s="37">
        <v>81</v>
      </c>
      <c r="D7" s="28">
        <f t="shared" si="1"/>
        <v>38</v>
      </c>
      <c r="E7" s="32">
        <v>3</v>
      </c>
      <c r="F7" s="32">
        <v>11</v>
      </c>
      <c r="G7" s="32">
        <v>7</v>
      </c>
      <c r="H7" s="32">
        <v>6</v>
      </c>
      <c r="I7" s="32">
        <v>8</v>
      </c>
      <c r="J7" s="32">
        <v>3</v>
      </c>
      <c r="K7" s="32"/>
      <c r="L7" s="32"/>
      <c r="M7" s="32"/>
      <c r="N7" s="32"/>
      <c r="O7" s="32"/>
      <c r="P7" s="39"/>
    </row>
    <row r="8" spans="1:16" ht="28.5" customHeight="1" x14ac:dyDescent="0.25">
      <c r="A8" s="55"/>
      <c r="B8" s="38" t="s">
        <v>59</v>
      </c>
      <c r="C8" s="37">
        <v>41</v>
      </c>
      <c r="D8" s="28">
        <f t="shared" si="1"/>
        <v>20</v>
      </c>
      <c r="E8" s="32"/>
      <c r="F8" s="32"/>
      <c r="G8" s="32">
        <v>20</v>
      </c>
      <c r="H8" s="32"/>
      <c r="I8" s="32"/>
      <c r="J8" s="32"/>
      <c r="K8" s="32"/>
      <c r="L8" s="32"/>
      <c r="M8" s="32"/>
      <c r="N8" s="32"/>
      <c r="O8" s="32"/>
      <c r="P8" s="39"/>
    </row>
    <row r="9" spans="1:16" ht="28.5" customHeight="1" x14ac:dyDescent="0.25">
      <c r="A9" s="55"/>
      <c r="B9" s="38" t="s">
        <v>60</v>
      </c>
      <c r="C9" s="37">
        <v>1</v>
      </c>
      <c r="D9" s="28">
        <f t="shared" si="1"/>
        <v>0</v>
      </c>
      <c r="E9" s="32"/>
      <c r="F9" s="32"/>
      <c r="G9" s="32"/>
      <c r="H9" s="32"/>
      <c r="I9" s="32"/>
      <c r="J9" s="32"/>
      <c r="K9" s="32"/>
      <c r="L9" s="32"/>
      <c r="M9" s="32"/>
      <c r="N9" s="32"/>
      <c r="O9" s="32"/>
      <c r="P9" s="39"/>
    </row>
    <row r="10" spans="1:16" ht="28.5" customHeight="1" x14ac:dyDescent="0.25">
      <c r="A10" s="55"/>
      <c r="B10" s="38" t="s">
        <v>61</v>
      </c>
      <c r="C10" s="37">
        <v>7</v>
      </c>
      <c r="D10" s="28">
        <f t="shared" si="1"/>
        <v>0</v>
      </c>
      <c r="E10" s="32"/>
      <c r="F10" s="32"/>
      <c r="G10" s="32"/>
      <c r="H10" s="32"/>
      <c r="I10" s="32"/>
      <c r="J10" s="32"/>
      <c r="K10" s="32"/>
      <c r="L10" s="32"/>
      <c r="M10" s="32"/>
      <c r="N10" s="32"/>
      <c r="O10" s="32"/>
      <c r="P10" s="39"/>
    </row>
    <row r="11" spans="1:16" ht="28.5" customHeight="1" x14ac:dyDescent="0.25">
      <c r="A11" s="55"/>
      <c r="B11" s="38" t="s">
        <v>62</v>
      </c>
      <c r="C11" s="37">
        <v>0</v>
      </c>
      <c r="D11" s="28">
        <f t="shared" si="1"/>
        <v>0</v>
      </c>
      <c r="E11" s="32"/>
      <c r="F11" s="32"/>
      <c r="G11" s="32"/>
      <c r="H11" s="32"/>
      <c r="I11" s="32"/>
      <c r="J11" s="32"/>
      <c r="K11" s="32"/>
      <c r="L11" s="32"/>
      <c r="M11" s="32"/>
      <c r="N11" s="32"/>
      <c r="O11" s="32"/>
      <c r="P11" s="39"/>
    </row>
    <row r="12" spans="1:16" ht="28.5" customHeight="1" x14ac:dyDescent="0.25">
      <c r="A12" s="55"/>
      <c r="B12" s="38" t="s">
        <v>63</v>
      </c>
      <c r="C12" s="37">
        <v>0</v>
      </c>
      <c r="D12" s="28">
        <f t="shared" si="1"/>
        <v>0</v>
      </c>
      <c r="E12" s="32"/>
      <c r="F12" s="32"/>
      <c r="G12" s="32"/>
      <c r="H12" s="32"/>
      <c r="I12" s="32"/>
      <c r="J12" s="32"/>
      <c r="K12" s="32"/>
      <c r="L12" s="32"/>
      <c r="M12" s="32"/>
      <c r="N12" s="32"/>
      <c r="O12" s="32"/>
      <c r="P12" s="39"/>
    </row>
    <row r="13" spans="1:16" ht="28.5" customHeight="1" x14ac:dyDescent="0.25">
      <c r="A13" s="55"/>
      <c r="B13" s="38" t="s">
        <v>64</v>
      </c>
      <c r="C13" s="37">
        <v>0</v>
      </c>
      <c r="D13" s="28">
        <f t="shared" si="1"/>
        <v>0</v>
      </c>
      <c r="E13" s="32"/>
      <c r="F13" s="32"/>
      <c r="G13" s="32"/>
      <c r="H13" s="32"/>
      <c r="I13" s="32"/>
      <c r="J13" s="32"/>
      <c r="K13" s="32"/>
      <c r="L13" s="32"/>
      <c r="M13" s="32"/>
      <c r="N13" s="32"/>
      <c r="O13" s="32"/>
      <c r="P13" s="39"/>
    </row>
    <row r="14" spans="1:16" ht="28.5" customHeight="1" x14ac:dyDescent="0.25">
      <c r="A14" s="55"/>
      <c r="B14" s="38" t="s">
        <v>65</v>
      </c>
      <c r="C14" s="37">
        <v>0</v>
      </c>
      <c r="D14" s="28">
        <f t="shared" si="1"/>
        <v>0</v>
      </c>
      <c r="E14" s="32"/>
      <c r="F14" s="32"/>
      <c r="G14" s="32"/>
      <c r="H14" s="32"/>
      <c r="I14" s="32"/>
      <c r="J14" s="32"/>
      <c r="K14" s="32"/>
      <c r="L14" s="32"/>
      <c r="M14" s="32"/>
      <c r="N14" s="32"/>
      <c r="O14" s="32"/>
      <c r="P14" s="39"/>
    </row>
    <row r="15" spans="1:16" ht="28.5" customHeight="1" x14ac:dyDescent="0.25">
      <c r="A15" s="55"/>
      <c r="B15" s="38" t="s">
        <v>66</v>
      </c>
      <c r="C15" s="37">
        <v>0</v>
      </c>
      <c r="D15" s="28">
        <f t="shared" si="1"/>
        <v>0</v>
      </c>
      <c r="E15" s="32"/>
      <c r="F15" s="32"/>
      <c r="G15" s="32"/>
      <c r="H15" s="32"/>
      <c r="I15" s="32"/>
      <c r="J15" s="32"/>
      <c r="K15" s="32"/>
      <c r="L15" s="32"/>
      <c r="M15" s="32"/>
      <c r="N15" s="32"/>
      <c r="O15" s="32"/>
      <c r="P15" s="39"/>
    </row>
    <row r="16" spans="1:16" ht="28.5" customHeight="1" x14ac:dyDescent="0.25">
      <c r="A16" s="55"/>
      <c r="B16" s="38" t="s">
        <v>67</v>
      </c>
      <c r="C16" s="37">
        <v>0</v>
      </c>
      <c r="D16" s="28">
        <f t="shared" si="1"/>
        <v>0</v>
      </c>
      <c r="E16" s="32"/>
      <c r="F16" s="32"/>
      <c r="G16" s="32"/>
      <c r="H16" s="32"/>
      <c r="I16" s="32"/>
      <c r="J16" s="32"/>
      <c r="K16" s="32"/>
      <c r="L16" s="32"/>
      <c r="M16" s="32"/>
      <c r="N16" s="32"/>
      <c r="O16" s="32"/>
      <c r="P16" s="39"/>
    </row>
    <row r="17" spans="1:16" ht="28.5" customHeight="1" x14ac:dyDescent="0.25">
      <c r="A17" s="55"/>
      <c r="B17" s="38" t="s">
        <v>68</v>
      </c>
      <c r="C17" s="37">
        <v>0</v>
      </c>
      <c r="D17" s="28">
        <f t="shared" si="1"/>
        <v>0</v>
      </c>
      <c r="E17" s="32"/>
      <c r="F17" s="32"/>
      <c r="G17" s="32"/>
      <c r="H17" s="32"/>
      <c r="I17" s="32"/>
      <c r="J17" s="32"/>
      <c r="K17" s="32"/>
      <c r="L17" s="32"/>
      <c r="M17" s="32"/>
      <c r="N17" s="32"/>
      <c r="O17" s="32"/>
      <c r="P17" s="39"/>
    </row>
    <row r="18" spans="1:16" ht="28.5" customHeight="1" x14ac:dyDescent="0.25">
      <c r="A18" s="55"/>
      <c r="B18" s="38" t="s">
        <v>69</v>
      </c>
      <c r="C18" s="37">
        <v>0</v>
      </c>
      <c r="D18" s="28">
        <f t="shared" si="1"/>
        <v>0</v>
      </c>
      <c r="E18" s="32"/>
      <c r="F18" s="32"/>
      <c r="G18" s="32"/>
      <c r="H18" s="32"/>
      <c r="I18" s="32"/>
      <c r="J18" s="32"/>
      <c r="K18" s="32"/>
      <c r="L18" s="32"/>
      <c r="M18" s="32"/>
      <c r="N18" s="32"/>
      <c r="O18" s="32"/>
      <c r="P18" s="39"/>
    </row>
    <row r="19" spans="1:16" ht="28.5" customHeight="1" x14ac:dyDescent="0.25">
      <c r="A19" s="55"/>
      <c r="B19" s="38" t="s">
        <v>70</v>
      </c>
      <c r="C19" s="37">
        <v>107</v>
      </c>
      <c r="D19" s="28">
        <f t="shared" si="1"/>
        <v>53</v>
      </c>
      <c r="E19" s="32"/>
      <c r="F19" s="32"/>
      <c r="G19" s="32">
        <v>17</v>
      </c>
      <c r="H19" s="32">
        <v>36</v>
      </c>
      <c r="I19" s="32"/>
      <c r="J19" s="32"/>
      <c r="K19" s="32"/>
      <c r="L19" s="32"/>
      <c r="M19" s="32"/>
      <c r="N19" s="32"/>
      <c r="O19" s="32"/>
      <c r="P19" s="39"/>
    </row>
    <row r="20" spans="1:16" ht="28.5" customHeight="1" x14ac:dyDescent="0.25">
      <c r="A20" s="55"/>
      <c r="B20" s="38" t="s">
        <v>71</v>
      </c>
      <c r="C20" s="37">
        <v>2</v>
      </c>
      <c r="D20" s="28">
        <f t="shared" si="1"/>
        <v>0</v>
      </c>
      <c r="E20" s="32"/>
      <c r="F20" s="32"/>
      <c r="G20" s="32"/>
      <c r="H20" s="32"/>
      <c r="I20" s="32"/>
      <c r="J20" s="32"/>
      <c r="K20" s="32"/>
      <c r="L20" s="32"/>
      <c r="M20" s="32"/>
      <c r="N20" s="32"/>
      <c r="O20" s="32"/>
      <c r="P20" s="39"/>
    </row>
    <row r="21" spans="1:16" ht="24" customHeight="1" x14ac:dyDescent="0.25">
      <c r="A21" s="55"/>
      <c r="B21" s="40" t="s">
        <v>72</v>
      </c>
      <c r="C21" s="37">
        <v>3</v>
      </c>
      <c r="D21" s="28">
        <f t="shared" si="1"/>
        <v>3</v>
      </c>
      <c r="E21" s="32"/>
      <c r="F21" s="32"/>
      <c r="G21" s="32">
        <v>3</v>
      </c>
      <c r="H21" s="32"/>
      <c r="I21" s="32"/>
      <c r="J21" s="32"/>
      <c r="K21" s="32"/>
      <c r="L21" s="32"/>
      <c r="M21" s="32"/>
      <c r="N21" s="32"/>
      <c r="O21" s="32"/>
      <c r="P21" s="39"/>
    </row>
    <row r="22" spans="1:16" ht="24" customHeight="1" x14ac:dyDescent="0.25">
      <c r="A22" s="55"/>
      <c r="B22" s="40" t="s">
        <v>73</v>
      </c>
      <c r="C22" s="37">
        <v>3</v>
      </c>
      <c r="D22" s="28">
        <f t="shared" si="1"/>
        <v>3</v>
      </c>
      <c r="E22" s="32"/>
      <c r="F22" s="32"/>
      <c r="G22" s="32"/>
      <c r="H22" s="32">
        <v>3</v>
      </c>
      <c r="I22" s="32"/>
      <c r="J22" s="32"/>
      <c r="K22" s="32"/>
      <c r="L22" s="32"/>
      <c r="M22" s="32"/>
      <c r="N22" s="32"/>
      <c r="O22" s="32"/>
      <c r="P22" s="39"/>
    </row>
    <row r="23" spans="1:16" ht="24" customHeight="1" x14ac:dyDescent="0.25">
      <c r="A23" s="55"/>
      <c r="B23" s="40" t="s">
        <v>74</v>
      </c>
      <c r="C23" s="37">
        <v>3</v>
      </c>
      <c r="D23" s="28">
        <f t="shared" si="1"/>
        <v>3</v>
      </c>
      <c r="E23" s="32"/>
      <c r="F23" s="32"/>
      <c r="G23" s="32"/>
      <c r="H23" s="32"/>
      <c r="I23" s="32">
        <v>3</v>
      </c>
      <c r="J23" s="32"/>
      <c r="K23" s="32"/>
      <c r="L23" s="32"/>
      <c r="M23" s="32"/>
      <c r="N23" s="32"/>
      <c r="O23" s="32"/>
      <c r="P23" s="39"/>
    </row>
    <row r="24" spans="1:16" ht="24" customHeight="1" x14ac:dyDescent="0.25">
      <c r="A24" s="55"/>
      <c r="B24" s="40" t="s">
        <v>75</v>
      </c>
      <c r="C24" s="37">
        <v>3</v>
      </c>
      <c r="D24" s="28">
        <f t="shared" si="1"/>
        <v>3</v>
      </c>
      <c r="E24" s="32"/>
      <c r="F24" s="32"/>
      <c r="G24" s="32"/>
      <c r="H24" s="32"/>
      <c r="I24" s="32"/>
      <c r="J24" s="32">
        <v>3</v>
      </c>
      <c r="K24" s="32"/>
      <c r="L24" s="32"/>
      <c r="M24" s="32"/>
      <c r="N24" s="32"/>
      <c r="O24" s="32"/>
      <c r="P24" s="39"/>
    </row>
    <row r="25" spans="1:16" ht="24" customHeight="1" x14ac:dyDescent="0.25">
      <c r="A25" s="55"/>
      <c r="B25" s="40" t="s">
        <v>76</v>
      </c>
      <c r="C25" s="37">
        <v>3</v>
      </c>
      <c r="D25" s="28">
        <f t="shared" si="1"/>
        <v>0</v>
      </c>
      <c r="E25" s="32"/>
      <c r="F25" s="32"/>
      <c r="G25" s="32"/>
      <c r="H25" s="32"/>
      <c r="I25" s="32"/>
      <c r="J25" s="32"/>
      <c r="K25" s="32"/>
      <c r="L25" s="32"/>
      <c r="M25" s="32"/>
      <c r="N25" s="32"/>
      <c r="O25" s="32"/>
      <c r="P25" s="39"/>
    </row>
    <row r="26" spans="1:16" ht="24" customHeight="1" x14ac:dyDescent="0.25">
      <c r="A26" s="55"/>
      <c r="B26" s="40" t="s">
        <v>77</v>
      </c>
      <c r="C26" s="37">
        <v>1</v>
      </c>
      <c r="D26" s="28">
        <f t="shared" si="1"/>
        <v>0</v>
      </c>
      <c r="E26" s="32"/>
      <c r="F26" s="32"/>
      <c r="G26" s="32"/>
      <c r="H26" s="32"/>
      <c r="I26" s="32"/>
      <c r="J26" s="32"/>
      <c r="K26" s="32"/>
      <c r="L26" s="32"/>
      <c r="M26" s="32"/>
      <c r="N26" s="32"/>
      <c r="O26" s="32"/>
      <c r="P26" s="39"/>
    </row>
    <row r="27" spans="1:16" ht="24" customHeight="1" x14ac:dyDescent="0.25">
      <c r="A27" s="55"/>
      <c r="B27" s="40" t="s">
        <v>78</v>
      </c>
      <c r="C27" s="37">
        <v>1</v>
      </c>
      <c r="D27" s="28">
        <f t="shared" si="1"/>
        <v>0</v>
      </c>
      <c r="E27" s="32"/>
      <c r="F27" s="32"/>
      <c r="G27" s="32"/>
      <c r="H27" s="32"/>
      <c r="I27" s="32"/>
      <c r="J27" s="32"/>
      <c r="K27" s="32"/>
      <c r="L27" s="32"/>
      <c r="M27" s="32"/>
      <c r="N27" s="32"/>
      <c r="O27" s="32"/>
      <c r="P27" s="39"/>
    </row>
    <row r="28" spans="1:16" ht="24" customHeight="1" x14ac:dyDescent="0.25">
      <c r="A28" s="55"/>
      <c r="B28" s="40" t="s">
        <v>79</v>
      </c>
      <c r="C28" s="37">
        <v>1</v>
      </c>
      <c r="D28" s="28">
        <f t="shared" si="1"/>
        <v>0</v>
      </c>
      <c r="E28" s="32"/>
      <c r="F28" s="32"/>
      <c r="G28" s="32"/>
      <c r="H28" s="32"/>
      <c r="I28" s="32"/>
      <c r="J28" s="32"/>
      <c r="K28" s="32"/>
      <c r="L28" s="32"/>
      <c r="M28" s="32"/>
      <c r="N28" s="32"/>
      <c r="O28" s="32"/>
      <c r="P28" s="39"/>
    </row>
    <row r="29" spans="1:16" ht="24" customHeight="1" x14ac:dyDescent="0.25">
      <c r="A29" s="55"/>
      <c r="B29" s="40" t="s">
        <v>80</v>
      </c>
      <c r="C29" s="37">
        <v>1</v>
      </c>
      <c r="D29" s="28">
        <f t="shared" si="1"/>
        <v>0</v>
      </c>
      <c r="E29" s="32"/>
      <c r="F29" s="32"/>
      <c r="G29" s="32"/>
      <c r="H29" s="32"/>
      <c r="I29" s="32"/>
      <c r="J29" s="32"/>
      <c r="K29" s="32"/>
      <c r="L29" s="32"/>
      <c r="M29" s="32"/>
      <c r="N29" s="32"/>
      <c r="O29" s="32"/>
      <c r="P29" s="39"/>
    </row>
    <row r="30" spans="1:16" ht="24" customHeight="1" x14ac:dyDescent="0.25">
      <c r="A30" s="55"/>
      <c r="B30" s="40" t="s">
        <v>81</v>
      </c>
      <c r="C30" s="37">
        <v>1</v>
      </c>
      <c r="D30" s="28">
        <f t="shared" si="1"/>
        <v>0</v>
      </c>
      <c r="E30" s="32"/>
      <c r="F30" s="32"/>
      <c r="G30" s="32"/>
      <c r="H30" s="32"/>
      <c r="I30" s="32"/>
      <c r="J30" s="32"/>
      <c r="K30" s="32"/>
      <c r="L30" s="32"/>
      <c r="M30" s="32"/>
      <c r="N30" s="32"/>
      <c r="O30" s="32"/>
      <c r="P30" s="39"/>
    </row>
    <row r="31" spans="1:16" ht="24" customHeight="1" x14ac:dyDescent="0.25">
      <c r="A31" s="55"/>
      <c r="B31" s="40" t="s">
        <v>82</v>
      </c>
      <c r="C31" s="37">
        <v>1</v>
      </c>
      <c r="D31" s="28">
        <f t="shared" si="1"/>
        <v>0</v>
      </c>
      <c r="E31" s="32"/>
      <c r="F31" s="32"/>
      <c r="G31" s="32"/>
      <c r="H31" s="32"/>
      <c r="I31" s="32"/>
      <c r="J31" s="32"/>
      <c r="K31" s="32"/>
      <c r="L31" s="32"/>
      <c r="M31" s="32"/>
      <c r="N31" s="32"/>
      <c r="O31" s="32"/>
      <c r="P31" s="39"/>
    </row>
    <row r="32" spans="1:16" ht="24" customHeight="1" thickBot="1" x14ac:dyDescent="0.3">
      <c r="A32" s="56"/>
      <c r="B32" s="41" t="s">
        <v>83</v>
      </c>
      <c r="C32" s="37">
        <v>1</v>
      </c>
      <c r="D32" s="28">
        <f t="shared" si="1"/>
        <v>0</v>
      </c>
      <c r="E32" s="32"/>
      <c r="F32" s="32"/>
      <c r="G32" s="32"/>
      <c r="H32" s="32"/>
      <c r="I32" s="32"/>
      <c r="J32" s="32"/>
      <c r="K32" s="32"/>
      <c r="L32" s="32"/>
      <c r="M32" s="32"/>
      <c r="N32" s="32"/>
      <c r="O32" s="32"/>
      <c r="P32" s="39"/>
    </row>
    <row r="33" spans="3:4" x14ac:dyDescent="0.25">
      <c r="C33" s="42">
        <f>SUM(C3:C32)</f>
        <v>271</v>
      </c>
      <c r="D33" s="43">
        <f>SUM(D3:D32)</f>
        <v>125</v>
      </c>
    </row>
    <row r="34" spans="3:4" x14ac:dyDescent="0.25">
      <c r="C34" s="11"/>
      <c r="D34" s="44">
        <f>D33/C33</f>
        <v>0.46125461254612549</v>
      </c>
    </row>
  </sheetData>
  <sheetProtection algorithmName="SHA-512" hashValue="xv4lMhB26g+bW4t4GtEApYUnUEWzUebmtIgb/grMdbv1w5RbpqtI6f84cBjEig+6j6o2/QmRj9m8OY1dd9m1Qg==" saltValue="y9N3GhRAdiQFM0m+t3zR2A==" spinCount="100000" sheet="1" objects="1" scenarios="1" autoFilter="0"/>
  <mergeCells count="2">
    <mergeCell ref="A1:A2"/>
    <mergeCell ref="A5:A32"/>
  </mergeCells>
  <conditionalFormatting sqref="C3:D3 D4">
    <cfRule type="dataBar" priority="50">
      <dataBar>
        <cfvo type="min"/>
        <cfvo type="max"/>
        <color rgb="FF008AEF"/>
      </dataBar>
      <extLst>
        <ext xmlns:x14="http://schemas.microsoft.com/office/spreadsheetml/2009/9/main" uri="{B025F937-C7B1-47D3-B67F-A62EFF666E3E}">
          <x14:id>{69976513-3BBD-4F9A-983B-F35B7B5698C9}</x14:id>
        </ext>
      </extLst>
    </cfRule>
  </conditionalFormatting>
  <conditionalFormatting sqref="C4:D4">
    <cfRule type="dataBar" priority="4">
      <dataBar>
        <cfvo type="min"/>
        <cfvo type="max"/>
        <color rgb="FF008AEF"/>
      </dataBar>
      <extLst>
        <ext xmlns:x14="http://schemas.microsoft.com/office/spreadsheetml/2009/9/main" uri="{B025F937-C7B1-47D3-B67F-A62EFF666E3E}">
          <x14:id>{D9129E5F-C53C-4D30-94AB-2CC5F859653A}</x14:id>
        </ext>
      </extLst>
    </cfRule>
  </conditionalFormatting>
  <conditionalFormatting sqref="C5:D5">
    <cfRule type="dataBar" priority="12">
      <dataBar>
        <cfvo type="min"/>
        <cfvo type="max"/>
        <color rgb="FF008AEF"/>
      </dataBar>
      <extLst>
        <ext xmlns:x14="http://schemas.microsoft.com/office/spreadsheetml/2009/9/main" uri="{B025F937-C7B1-47D3-B67F-A62EFF666E3E}">
          <x14:id>{B2028A6D-820D-4EF2-9D9C-143A2D4EAC79}</x14:id>
        </ext>
      </extLst>
    </cfRule>
  </conditionalFormatting>
  <conditionalFormatting sqref="C6:D6">
    <cfRule type="dataBar" priority="39">
      <dataBar>
        <cfvo type="min"/>
        <cfvo type="max"/>
        <color rgb="FF008AEF"/>
      </dataBar>
      <extLst>
        <ext xmlns:x14="http://schemas.microsoft.com/office/spreadsheetml/2009/9/main" uri="{B025F937-C7B1-47D3-B67F-A62EFF666E3E}">
          <x14:id>{9676277C-B624-40CF-8483-A93E18A60577}</x14:id>
        </ext>
      </extLst>
    </cfRule>
  </conditionalFormatting>
  <conditionalFormatting sqref="C7:D7">
    <cfRule type="dataBar" priority="38">
      <dataBar>
        <cfvo type="min"/>
        <cfvo type="max"/>
        <color rgb="FF008AEF"/>
      </dataBar>
      <extLst>
        <ext xmlns:x14="http://schemas.microsoft.com/office/spreadsheetml/2009/9/main" uri="{B025F937-C7B1-47D3-B67F-A62EFF666E3E}">
          <x14:id>{54EB90D9-EABB-421F-A36B-69A671671AF3}</x14:id>
        </ext>
      </extLst>
    </cfRule>
  </conditionalFormatting>
  <conditionalFormatting sqref="C8:D8">
    <cfRule type="dataBar" priority="37">
      <dataBar>
        <cfvo type="min"/>
        <cfvo type="max"/>
        <color rgb="FF008AEF"/>
      </dataBar>
      <extLst>
        <ext xmlns:x14="http://schemas.microsoft.com/office/spreadsheetml/2009/9/main" uri="{B025F937-C7B1-47D3-B67F-A62EFF666E3E}">
          <x14:id>{C8A2F7F9-718E-4630-BBB7-3B452DC18060}</x14:id>
        </ext>
      </extLst>
    </cfRule>
  </conditionalFormatting>
  <conditionalFormatting sqref="C9:D9">
    <cfRule type="dataBar" priority="36">
      <dataBar>
        <cfvo type="min"/>
        <cfvo type="max"/>
        <color rgb="FF008AEF"/>
      </dataBar>
      <extLst>
        <ext xmlns:x14="http://schemas.microsoft.com/office/spreadsheetml/2009/9/main" uri="{B025F937-C7B1-47D3-B67F-A62EFF666E3E}">
          <x14:id>{A95996EA-2C74-4F4A-9EF4-4CD5678BBF59}</x14:id>
        </ext>
      </extLst>
    </cfRule>
  </conditionalFormatting>
  <conditionalFormatting sqref="C10:D10">
    <cfRule type="dataBar" priority="35">
      <dataBar>
        <cfvo type="min"/>
        <cfvo type="max"/>
        <color rgb="FF008AEF"/>
      </dataBar>
      <extLst>
        <ext xmlns:x14="http://schemas.microsoft.com/office/spreadsheetml/2009/9/main" uri="{B025F937-C7B1-47D3-B67F-A62EFF666E3E}">
          <x14:id>{77227216-C3B5-4E0B-8B50-1A21A8B392AF}</x14:id>
        </ext>
      </extLst>
    </cfRule>
  </conditionalFormatting>
  <conditionalFormatting sqref="C11:D11">
    <cfRule type="dataBar" priority="34">
      <dataBar>
        <cfvo type="min"/>
        <cfvo type="max"/>
        <color rgb="FF008AEF"/>
      </dataBar>
      <extLst>
        <ext xmlns:x14="http://schemas.microsoft.com/office/spreadsheetml/2009/9/main" uri="{B025F937-C7B1-47D3-B67F-A62EFF666E3E}">
          <x14:id>{AFCFD8E6-5E1C-4B4E-90CE-144B3688F64E}</x14:id>
        </ext>
      </extLst>
    </cfRule>
  </conditionalFormatting>
  <conditionalFormatting sqref="C12:D12">
    <cfRule type="dataBar" priority="33">
      <dataBar>
        <cfvo type="min"/>
        <cfvo type="max"/>
        <color rgb="FF008AEF"/>
      </dataBar>
      <extLst>
        <ext xmlns:x14="http://schemas.microsoft.com/office/spreadsheetml/2009/9/main" uri="{B025F937-C7B1-47D3-B67F-A62EFF666E3E}">
          <x14:id>{0DE5482B-CCF7-4214-941C-22D0397B6B28}</x14:id>
        </ext>
      </extLst>
    </cfRule>
  </conditionalFormatting>
  <conditionalFormatting sqref="C13:D13">
    <cfRule type="dataBar" priority="32">
      <dataBar>
        <cfvo type="min"/>
        <cfvo type="max"/>
        <color rgb="FF008AEF"/>
      </dataBar>
      <extLst>
        <ext xmlns:x14="http://schemas.microsoft.com/office/spreadsheetml/2009/9/main" uri="{B025F937-C7B1-47D3-B67F-A62EFF666E3E}">
          <x14:id>{705F1A22-34E3-4C73-AE3A-C9C7D86F9C86}</x14:id>
        </ext>
      </extLst>
    </cfRule>
  </conditionalFormatting>
  <conditionalFormatting sqref="C14:D14">
    <cfRule type="dataBar" priority="31">
      <dataBar>
        <cfvo type="min"/>
        <cfvo type="max"/>
        <color rgb="FF008AEF"/>
      </dataBar>
      <extLst>
        <ext xmlns:x14="http://schemas.microsoft.com/office/spreadsheetml/2009/9/main" uri="{B025F937-C7B1-47D3-B67F-A62EFF666E3E}">
          <x14:id>{8926B1FA-BE47-4286-9A65-A3354A82B33B}</x14:id>
        </ext>
      </extLst>
    </cfRule>
  </conditionalFormatting>
  <conditionalFormatting sqref="C15:D15">
    <cfRule type="dataBar" priority="30">
      <dataBar>
        <cfvo type="min"/>
        <cfvo type="max"/>
        <color rgb="FF008AEF"/>
      </dataBar>
      <extLst>
        <ext xmlns:x14="http://schemas.microsoft.com/office/spreadsheetml/2009/9/main" uri="{B025F937-C7B1-47D3-B67F-A62EFF666E3E}">
          <x14:id>{AE09552A-60DE-4030-8D8B-40B7063897A1}</x14:id>
        </ext>
      </extLst>
    </cfRule>
  </conditionalFormatting>
  <conditionalFormatting sqref="C16:D16">
    <cfRule type="dataBar" priority="29">
      <dataBar>
        <cfvo type="min"/>
        <cfvo type="max"/>
        <color rgb="FF008AEF"/>
      </dataBar>
      <extLst>
        <ext xmlns:x14="http://schemas.microsoft.com/office/spreadsheetml/2009/9/main" uri="{B025F937-C7B1-47D3-B67F-A62EFF666E3E}">
          <x14:id>{3FBE1E3A-C0D6-4174-BF62-0288CC5509EB}</x14:id>
        </ext>
      </extLst>
    </cfRule>
  </conditionalFormatting>
  <conditionalFormatting sqref="C17:D17">
    <cfRule type="dataBar" priority="28">
      <dataBar>
        <cfvo type="min"/>
        <cfvo type="max"/>
        <color rgb="FF008AEF"/>
      </dataBar>
      <extLst>
        <ext xmlns:x14="http://schemas.microsoft.com/office/spreadsheetml/2009/9/main" uri="{B025F937-C7B1-47D3-B67F-A62EFF666E3E}">
          <x14:id>{FDC01523-3E81-4479-B84E-FDBE87314607}</x14:id>
        </ext>
      </extLst>
    </cfRule>
  </conditionalFormatting>
  <conditionalFormatting sqref="C18:D18">
    <cfRule type="dataBar" priority="27">
      <dataBar>
        <cfvo type="min"/>
        <cfvo type="max"/>
        <color rgb="FF008AEF"/>
      </dataBar>
      <extLst>
        <ext xmlns:x14="http://schemas.microsoft.com/office/spreadsheetml/2009/9/main" uri="{B025F937-C7B1-47D3-B67F-A62EFF666E3E}">
          <x14:id>{5CA88322-1202-4695-A3AC-4C9B979C1F77}</x14:id>
        </ext>
      </extLst>
    </cfRule>
  </conditionalFormatting>
  <conditionalFormatting sqref="C19:D19">
    <cfRule type="dataBar" priority="26">
      <dataBar>
        <cfvo type="min"/>
        <cfvo type="max"/>
        <color rgb="FF008AEF"/>
      </dataBar>
      <extLst>
        <ext xmlns:x14="http://schemas.microsoft.com/office/spreadsheetml/2009/9/main" uri="{B025F937-C7B1-47D3-B67F-A62EFF666E3E}">
          <x14:id>{2A4C7CCA-0FDA-4C6E-9570-14F307B55632}</x14:id>
        </ext>
      </extLst>
    </cfRule>
  </conditionalFormatting>
  <conditionalFormatting sqref="C20:D20">
    <cfRule type="dataBar" priority="25">
      <dataBar>
        <cfvo type="min"/>
        <cfvo type="max"/>
        <color rgb="FF008AEF"/>
      </dataBar>
      <extLst>
        <ext xmlns:x14="http://schemas.microsoft.com/office/spreadsheetml/2009/9/main" uri="{B025F937-C7B1-47D3-B67F-A62EFF666E3E}">
          <x14:id>{91ABD9EE-0F61-430D-983C-8CF0AA5F791F}</x14:id>
        </ext>
      </extLst>
    </cfRule>
  </conditionalFormatting>
  <conditionalFormatting sqref="C21:D21">
    <cfRule type="dataBar" priority="24">
      <dataBar>
        <cfvo type="min"/>
        <cfvo type="max"/>
        <color rgb="FF008AEF"/>
      </dataBar>
      <extLst>
        <ext xmlns:x14="http://schemas.microsoft.com/office/spreadsheetml/2009/9/main" uri="{B025F937-C7B1-47D3-B67F-A62EFF666E3E}">
          <x14:id>{C2147607-31A7-4A26-872B-857F80D6FBF6}</x14:id>
        </ext>
      </extLst>
    </cfRule>
  </conditionalFormatting>
  <conditionalFormatting sqref="C22:D22">
    <cfRule type="dataBar" priority="23">
      <dataBar>
        <cfvo type="min"/>
        <cfvo type="max"/>
        <color rgb="FF008AEF"/>
      </dataBar>
      <extLst>
        <ext xmlns:x14="http://schemas.microsoft.com/office/spreadsheetml/2009/9/main" uri="{B025F937-C7B1-47D3-B67F-A62EFF666E3E}">
          <x14:id>{76F0735E-B98F-44F4-BDE2-20A2D6017047}</x14:id>
        </ext>
      </extLst>
    </cfRule>
  </conditionalFormatting>
  <conditionalFormatting sqref="C23:D23">
    <cfRule type="dataBar" priority="22">
      <dataBar>
        <cfvo type="min"/>
        <cfvo type="max"/>
        <color rgb="FF008AEF"/>
      </dataBar>
      <extLst>
        <ext xmlns:x14="http://schemas.microsoft.com/office/spreadsheetml/2009/9/main" uri="{B025F937-C7B1-47D3-B67F-A62EFF666E3E}">
          <x14:id>{2E01A085-0046-42B2-9F2E-2A8EDBBC924D}</x14:id>
        </ext>
      </extLst>
    </cfRule>
  </conditionalFormatting>
  <conditionalFormatting sqref="C24:D24">
    <cfRule type="dataBar" priority="21">
      <dataBar>
        <cfvo type="min"/>
        <cfvo type="max"/>
        <color rgb="FF008AEF"/>
      </dataBar>
      <extLst>
        <ext xmlns:x14="http://schemas.microsoft.com/office/spreadsheetml/2009/9/main" uri="{B025F937-C7B1-47D3-B67F-A62EFF666E3E}">
          <x14:id>{F85683D7-D534-409C-8C3A-2078F08D347C}</x14:id>
        </ext>
      </extLst>
    </cfRule>
  </conditionalFormatting>
  <conditionalFormatting sqref="C25:D25">
    <cfRule type="dataBar" priority="20">
      <dataBar>
        <cfvo type="min"/>
        <cfvo type="max"/>
        <color rgb="FF008AEF"/>
      </dataBar>
      <extLst>
        <ext xmlns:x14="http://schemas.microsoft.com/office/spreadsheetml/2009/9/main" uri="{B025F937-C7B1-47D3-B67F-A62EFF666E3E}">
          <x14:id>{40215D34-A29F-403D-A489-2A3B2B258B0B}</x14:id>
        </ext>
      </extLst>
    </cfRule>
  </conditionalFormatting>
  <conditionalFormatting sqref="C26:D26">
    <cfRule type="dataBar" priority="19">
      <dataBar>
        <cfvo type="min"/>
        <cfvo type="max"/>
        <color rgb="FF008AEF"/>
      </dataBar>
      <extLst>
        <ext xmlns:x14="http://schemas.microsoft.com/office/spreadsheetml/2009/9/main" uri="{B025F937-C7B1-47D3-B67F-A62EFF666E3E}">
          <x14:id>{EC328B42-D3BC-4F6C-96C7-66096EF52824}</x14:id>
        </ext>
      </extLst>
    </cfRule>
  </conditionalFormatting>
  <conditionalFormatting sqref="C27:D27">
    <cfRule type="dataBar" priority="18">
      <dataBar>
        <cfvo type="min"/>
        <cfvo type="max"/>
        <color rgb="FF008AEF"/>
      </dataBar>
      <extLst>
        <ext xmlns:x14="http://schemas.microsoft.com/office/spreadsheetml/2009/9/main" uri="{B025F937-C7B1-47D3-B67F-A62EFF666E3E}">
          <x14:id>{CEE490A0-D06F-40DD-AC0B-2DFB8F6D76C5}</x14:id>
        </ext>
      </extLst>
    </cfRule>
  </conditionalFormatting>
  <conditionalFormatting sqref="C28:D28">
    <cfRule type="dataBar" priority="17">
      <dataBar>
        <cfvo type="min"/>
        <cfvo type="max"/>
        <color rgb="FF008AEF"/>
      </dataBar>
      <extLst>
        <ext xmlns:x14="http://schemas.microsoft.com/office/spreadsheetml/2009/9/main" uri="{B025F937-C7B1-47D3-B67F-A62EFF666E3E}">
          <x14:id>{1CFD1E75-5C88-4FD4-8B2C-09E78DC22201}</x14:id>
        </ext>
      </extLst>
    </cfRule>
  </conditionalFormatting>
  <conditionalFormatting sqref="C29:D29">
    <cfRule type="dataBar" priority="16">
      <dataBar>
        <cfvo type="min"/>
        <cfvo type="max"/>
        <color rgb="FF008AEF"/>
      </dataBar>
      <extLst>
        <ext xmlns:x14="http://schemas.microsoft.com/office/spreadsheetml/2009/9/main" uri="{B025F937-C7B1-47D3-B67F-A62EFF666E3E}">
          <x14:id>{C1E30C36-21BA-49D3-AA83-733CA85F1443}</x14:id>
        </ext>
      </extLst>
    </cfRule>
  </conditionalFormatting>
  <conditionalFormatting sqref="C30:D30">
    <cfRule type="dataBar" priority="15">
      <dataBar>
        <cfvo type="min"/>
        <cfvo type="max"/>
        <color rgb="FF008AEF"/>
      </dataBar>
      <extLst>
        <ext xmlns:x14="http://schemas.microsoft.com/office/spreadsheetml/2009/9/main" uri="{B025F937-C7B1-47D3-B67F-A62EFF666E3E}">
          <x14:id>{9688AA71-8D93-4581-91E1-84A12D23363B}</x14:id>
        </ext>
      </extLst>
    </cfRule>
  </conditionalFormatting>
  <conditionalFormatting sqref="C31:D31">
    <cfRule type="dataBar" priority="14">
      <dataBar>
        <cfvo type="min"/>
        <cfvo type="max"/>
        <color rgb="FF008AEF"/>
      </dataBar>
      <extLst>
        <ext xmlns:x14="http://schemas.microsoft.com/office/spreadsheetml/2009/9/main" uri="{B025F937-C7B1-47D3-B67F-A62EFF666E3E}">
          <x14:id>{E38CA2CB-55CA-4EED-BBE2-FB1751562A36}</x14:id>
        </ext>
      </extLst>
    </cfRule>
  </conditionalFormatting>
  <conditionalFormatting sqref="C32:D32">
    <cfRule type="dataBar" priority="13">
      <dataBar>
        <cfvo type="min"/>
        <cfvo type="max"/>
        <color rgb="FF008AEF"/>
      </dataBar>
      <extLst>
        <ext xmlns:x14="http://schemas.microsoft.com/office/spreadsheetml/2009/9/main" uri="{B025F937-C7B1-47D3-B67F-A62EFF666E3E}">
          <x14:id>{F33C44CF-5E56-4D8F-AF7D-57277FA46983}</x14:id>
        </ext>
      </extLst>
    </cfRule>
  </conditionalFormatting>
  <conditionalFormatting sqref="E3:F28 E29:O32">
    <cfRule type="cellIs" dxfId="7" priority="1" operator="greaterThan">
      <formula>0</formula>
    </cfRule>
  </conditionalFormatting>
  <conditionalFormatting sqref="G5:O28">
    <cfRule type="cellIs" dxfId="6" priority="11" operator="greaterThan">
      <formula>0</formula>
    </cfRule>
  </conditionalFormatting>
  <conditionalFormatting sqref="G3:P4">
    <cfRule type="cellIs" dxfId="5" priority="2"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69976513-3BBD-4F9A-983B-F35B7B5698C9}">
            <x14:dataBar minLength="0" maxLength="100" gradient="0">
              <x14:cfvo type="autoMin"/>
              <x14:cfvo type="autoMax"/>
              <x14:negativeFillColor rgb="FFFF0000"/>
              <x14:axisColor rgb="FF000000"/>
            </x14:dataBar>
          </x14:cfRule>
          <xm:sqref>C3:D3 D4</xm:sqref>
        </x14:conditionalFormatting>
        <x14:conditionalFormatting xmlns:xm="http://schemas.microsoft.com/office/excel/2006/main">
          <x14:cfRule type="dataBar" id="{D9129E5F-C53C-4D30-94AB-2CC5F859653A}">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B2028A6D-820D-4EF2-9D9C-143A2D4EAC79}">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9676277C-B624-40CF-8483-A93E18A60577}">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54EB90D9-EABB-421F-A36B-69A671671AF3}">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C8A2F7F9-718E-4630-BBB7-3B452DC18060}">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A95996EA-2C74-4F4A-9EF4-4CD5678BBF59}">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77227216-C3B5-4E0B-8B50-1A21A8B392AF}">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AFCFD8E6-5E1C-4B4E-90CE-144B3688F64E}">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0DE5482B-CCF7-4214-941C-22D0397B6B28}">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705F1A22-34E3-4C73-AE3A-C9C7D86F9C86}">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8926B1FA-BE47-4286-9A65-A3354A82B33B}">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AE09552A-60DE-4030-8D8B-40B7063897A1}">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3FBE1E3A-C0D6-4174-BF62-0288CC5509EB}">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FDC01523-3E81-4479-B84E-FDBE87314607}">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5CA88322-1202-4695-A3AC-4C9B979C1F77}">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2A4C7CCA-0FDA-4C6E-9570-14F307B55632}">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91ABD9EE-0F61-430D-983C-8CF0AA5F791F}">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C2147607-31A7-4A26-872B-857F80D6FBF6}">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76F0735E-B98F-44F4-BDE2-20A2D6017047}">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2E01A085-0046-42B2-9F2E-2A8EDBBC924D}">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F85683D7-D534-409C-8C3A-2078F08D347C}">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40215D34-A29F-403D-A489-2A3B2B258B0B}">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EC328B42-D3BC-4F6C-96C7-66096EF52824}">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CEE490A0-D06F-40DD-AC0B-2DFB8F6D76C5}">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1CFD1E75-5C88-4FD4-8B2C-09E78DC22201}">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C1E30C36-21BA-49D3-AA83-733CA85F1443}">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9688AA71-8D93-4581-91E1-84A12D23363B}">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E38CA2CB-55CA-4EED-BBE2-FB1751562A36}">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F33C44CF-5E56-4D8F-AF7D-57277FA46983}">
            <x14:dataBar minLength="0" maxLength="100" gradient="0">
              <x14:cfvo type="autoMin"/>
              <x14:cfvo type="autoMax"/>
              <x14:negativeFillColor rgb="FFFF0000"/>
              <x14:axisColor rgb="FF000000"/>
            </x14:dataBar>
          </x14:cfRule>
          <xm:sqref>C32:D32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dimension ref="A1:P36"/>
  <sheetViews>
    <sheetView topLeftCell="B1" zoomScale="80" zoomScaleNormal="80" workbookViewId="0">
      <selection activeCell="M8" sqref="M8"/>
    </sheetView>
  </sheetViews>
  <sheetFormatPr baseColWidth="10" defaultColWidth="11.42578125" defaultRowHeight="15" x14ac:dyDescent="0.25"/>
  <cols>
    <col min="1" max="1" width="6.5703125" style="1" customWidth="1"/>
    <col min="2" max="2" width="97.7109375" style="1" customWidth="1"/>
    <col min="3" max="3" width="11.42578125" style="1"/>
    <col min="4" max="4" width="22.42578125" style="1" customWidth="1"/>
    <col min="5" max="9" width="17.28515625" style="1" customWidth="1"/>
    <col min="10" max="16384" width="11.42578125" style="1"/>
  </cols>
  <sheetData>
    <row r="1" spans="1:16" ht="61.5" customHeight="1" x14ac:dyDescent="0.25">
      <c r="A1" s="52" t="s">
        <v>1</v>
      </c>
      <c r="B1" s="27" t="s">
        <v>31</v>
      </c>
      <c r="C1" s="12" t="s">
        <v>2</v>
      </c>
      <c r="D1" s="12" t="s">
        <v>3</v>
      </c>
      <c r="E1" s="12" t="s">
        <v>4</v>
      </c>
      <c r="F1" s="12" t="s">
        <v>5</v>
      </c>
      <c r="G1" s="12" t="s">
        <v>6</v>
      </c>
      <c r="H1" s="12" t="s">
        <v>7</v>
      </c>
      <c r="I1" s="12" t="s">
        <v>8</v>
      </c>
      <c r="J1" s="12" t="s">
        <v>9</v>
      </c>
      <c r="K1" s="12" t="s">
        <v>10</v>
      </c>
      <c r="L1" s="12" t="s">
        <v>11</v>
      </c>
      <c r="M1" s="12" t="s">
        <v>12</v>
      </c>
      <c r="N1" s="12" t="s">
        <v>13</v>
      </c>
      <c r="O1" s="12" t="s">
        <v>14</v>
      </c>
      <c r="P1" s="12" t="s">
        <v>15</v>
      </c>
    </row>
    <row r="2" spans="1:16" s="3" customFormat="1" ht="15.75" thickBot="1" x14ac:dyDescent="0.3">
      <c r="A2" s="53"/>
      <c r="B2" s="27"/>
      <c r="C2" s="2">
        <v>2026</v>
      </c>
      <c r="D2" s="2" t="s">
        <v>16</v>
      </c>
      <c r="E2" s="30"/>
      <c r="F2" s="30"/>
      <c r="G2" s="30"/>
      <c r="H2" s="30"/>
      <c r="I2" s="30"/>
      <c r="J2" s="30"/>
      <c r="K2" s="30"/>
      <c r="L2" s="30"/>
      <c r="M2" s="30"/>
      <c r="N2" s="30"/>
      <c r="O2" s="30"/>
      <c r="P2" s="30"/>
    </row>
    <row r="3" spans="1:16" ht="81" customHeight="1" x14ac:dyDescent="0.25">
      <c r="A3" s="31" t="s">
        <v>18</v>
      </c>
      <c r="B3" s="18" t="s">
        <v>17</v>
      </c>
      <c r="C3" s="6">
        <v>2</v>
      </c>
      <c r="D3" s="28">
        <f t="shared" ref="D3:D6" si="0">SUM(E3:P3)</f>
        <v>1</v>
      </c>
      <c r="E3" s="32">
        <v>1</v>
      </c>
      <c r="F3" s="32"/>
      <c r="G3" s="32"/>
      <c r="H3" s="32"/>
      <c r="I3" s="32"/>
      <c r="J3" s="32"/>
      <c r="K3" s="32"/>
      <c r="L3" s="32"/>
      <c r="M3" s="32"/>
      <c r="N3" s="32"/>
      <c r="O3" s="32"/>
      <c r="P3" s="32"/>
    </row>
    <row r="4" spans="1:16" ht="81" customHeight="1" x14ac:dyDescent="0.25">
      <c r="A4" s="31" t="s">
        <v>18</v>
      </c>
      <c r="B4" s="18" t="s">
        <v>32</v>
      </c>
      <c r="C4" s="34">
        <v>2</v>
      </c>
      <c r="D4" s="28">
        <f t="shared" si="0"/>
        <v>1</v>
      </c>
      <c r="E4" s="32"/>
      <c r="F4" s="32">
        <v>1</v>
      </c>
      <c r="G4" s="32"/>
      <c r="H4" s="32"/>
      <c r="I4" s="32"/>
      <c r="J4" s="32"/>
      <c r="K4" s="32"/>
      <c r="L4" s="32"/>
      <c r="M4" s="32"/>
      <c r="N4" s="32"/>
      <c r="O4" s="32"/>
      <c r="P4" s="32"/>
    </row>
    <row r="5" spans="1:16" ht="81" customHeight="1" x14ac:dyDescent="0.25">
      <c r="A5" s="33" t="s">
        <v>20</v>
      </c>
      <c r="B5" s="19" t="s">
        <v>19</v>
      </c>
      <c r="C5" s="35">
        <v>2</v>
      </c>
      <c r="D5" s="28">
        <f t="shared" si="0"/>
        <v>2</v>
      </c>
      <c r="E5" s="32">
        <v>0</v>
      </c>
      <c r="F5" s="32">
        <v>0</v>
      </c>
      <c r="G5" s="32">
        <v>0</v>
      </c>
      <c r="H5" s="32">
        <v>1</v>
      </c>
      <c r="I5" s="32">
        <v>1</v>
      </c>
      <c r="J5" s="32"/>
      <c r="K5" s="32"/>
      <c r="L5" s="32"/>
      <c r="M5" s="32"/>
      <c r="N5" s="32"/>
      <c r="O5" s="32"/>
      <c r="P5" s="32"/>
    </row>
    <row r="6" spans="1:16" ht="81" customHeight="1" x14ac:dyDescent="0.25">
      <c r="A6" s="36" t="s">
        <v>22</v>
      </c>
      <c r="B6" s="15" t="s">
        <v>21</v>
      </c>
      <c r="C6" s="37">
        <v>2</v>
      </c>
      <c r="D6" s="28">
        <f t="shared" si="0"/>
        <v>0</v>
      </c>
      <c r="E6" s="32">
        <v>0</v>
      </c>
      <c r="F6" s="32">
        <v>0</v>
      </c>
      <c r="G6" s="32">
        <v>0</v>
      </c>
      <c r="H6" s="32">
        <v>0</v>
      </c>
      <c r="I6" s="32"/>
      <c r="J6" s="32"/>
      <c r="K6" s="32"/>
      <c r="L6" s="32"/>
      <c r="M6" s="32"/>
      <c r="N6" s="32"/>
      <c r="O6" s="32"/>
      <c r="P6" s="32"/>
    </row>
    <row r="7" spans="1:16" ht="28.5" customHeight="1" x14ac:dyDescent="0.25">
      <c r="A7" s="54" t="s">
        <v>55</v>
      </c>
      <c r="B7" s="38" t="s">
        <v>56</v>
      </c>
      <c r="C7" s="37">
        <v>3</v>
      </c>
      <c r="D7" s="28">
        <f t="shared" ref="D7:D34" si="1">SUM(E7:O7)</f>
        <v>0</v>
      </c>
      <c r="E7" s="32"/>
      <c r="F7" s="32"/>
      <c r="G7" s="32"/>
      <c r="H7" s="32"/>
      <c r="I7" s="32"/>
      <c r="J7" s="32"/>
      <c r="K7" s="32"/>
      <c r="L7" s="32"/>
      <c r="M7" s="32"/>
      <c r="N7" s="32"/>
      <c r="O7" s="32"/>
      <c r="P7" s="39"/>
    </row>
    <row r="8" spans="1:16" ht="28.5" customHeight="1" x14ac:dyDescent="0.25">
      <c r="A8" s="55"/>
      <c r="B8" s="38" t="s">
        <v>57</v>
      </c>
      <c r="C8" s="37">
        <v>2</v>
      </c>
      <c r="D8" s="28">
        <f t="shared" si="1"/>
        <v>0</v>
      </c>
      <c r="E8" s="32"/>
      <c r="F8" s="32"/>
      <c r="G8" s="32"/>
      <c r="H8" s="32"/>
      <c r="I8" s="32"/>
      <c r="J8" s="32"/>
      <c r="K8" s="32"/>
      <c r="L8" s="32"/>
      <c r="M8" s="32"/>
      <c r="N8" s="32"/>
      <c r="O8" s="32"/>
      <c r="P8" s="39"/>
    </row>
    <row r="9" spans="1:16" ht="28.5" customHeight="1" x14ac:dyDescent="0.25">
      <c r="A9" s="55"/>
      <c r="B9" s="38" t="s">
        <v>58</v>
      </c>
      <c r="C9" s="37">
        <v>120</v>
      </c>
      <c r="D9" s="28">
        <f t="shared" si="1"/>
        <v>52</v>
      </c>
      <c r="E9" s="32">
        <v>8</v>
      </c>
      <c r="F9" s="32">
        <v>11</v>
      </c>
      <c r="G9" s="32">
        <v>7</v>
      </c>
      <c r="H9" s="32">
        <v>10</v>
      </c>
      <c r="I9" s="32">
        <v>9</v>
      </c>
      <c r="J9" s="32">
        <v>7</v>
      </c>
      <c r="K9" s="32"/>
      <c r="L9" s="32"/>
      <c r="M9" s="32"/>
      <c r="N9" s="32"/>
      <c r="O9" s="32"/>
      <c r="P9" s="39"/>
    </row>
    <row r="10" spans="1:16" ht="28.5" customHeight="1" x14ac:dyDescent="0.25">
      <c r="A10" s="55"/>
      <c r="B10" s="38" t="s">
        <v>59</v>
      </c>
      <c r="C10" s="37">
        <v>68</v>
      </c>
      <c r="D10" s="28">
        <f t="shared" si="1"/>
        <v>55</v>
      </c>
      <c r="E10" s="32"/>
      <c r="F10" s="32"/>
      <c r="G10" s="32">
        <v>26</v>
      </c>
      <c r="H10" s="32">
        <v>29</v>
      </c>
      <c r="I10" s="32"/>
      <c r="J10" s="32"/>
      <c r="K10" s="32"/>
      <c r="L10" s="32"/>
      <c r="M10" s="32"/>
      <c r="N10" s="32"/>
      <c r="O10" s="32"/>
      <c r="P10" s="39"/>
    </row>
    <row r="11" spans="1:16" ht="28.5" customHeight="1" x14ac:dyDescent="0.25">
      <c r="A11" s="55"/>
      <c r="B11" s="38" t="s">
        <v>60</v>
      </c>
      <c r="C11" s="37">
        <v>0</v>
      </c>
      <c r="D11" s="28">
        <f t="shared" si="1"/>
        <v>0</v>
      </c>
      <c r="E11" s="32"/>
      <c r="F11" s="32"/>
      <c r="G11" s="32"/>
      <c r="H11" s="32"/>
      <c r="I11" s="32"/>
      <c r="J11" s="32"/>
      <c r="K11" s="32"/>
      <c r="L11" s="32"/>
      <c r="M11" s="32"/>
      <c r="N11" s="32"/>
      <c r="O11" s="32"/>
      <c r="P11" s="39"/>
    </row>
    <row r="12" spans="1:16" ht="28.5" customHeight="1" x14ac:dyDescent="0.25">
      <c r="A12" s="55"/>
      <c r="B12" s="38" t="s">
        <v>61</v>
      </c>
      <c r="C12" s="37">
        <v>0</v>
      </c>
      <c r="D12" s="28">
        <f t="shared" si="1"/>
        <v>0</v>
      </c>
      <c r="E12" s="32"/>
      <c r="F12" s="32"/>
      <c r="G12" s="32"/>
      <c r="H12" s="32"/>
      <c r="I12" s="32"/>
      <c r="J12" s="32"/>
      <c r="K12" s="32"/>
      <c r="L12" s="32"/>
      <c r="M12" s="32"/>
      <c r="N12" s="32"/>
      <c r="O12" s="32"/>
      <c r="P12" s="39"/>
    </row>
    <row r="13" spans="1:16" ht="28.5" customHeight="1" x14ac:dyDescent="0.25">
      <c r="A13" s="55"/>
      <c r="B13" s="38" t="s">
        <v>62</v>
      </c>
      <c r="C13" s="37">
        <v>0</v>
      </c>
      <c r="D13" s="28">
        <f t="shared" si="1"/>
        <v>0</v>
      </c>
      <c r="E13" s="32"/>
      <c r="F13" s="32"/>
      <c r="G13" s="32"/>
      <c r="H13" s="32"/>
      <c r="I13" s="32"/>
      <c r="J13" s="32"/>
      <c r="K13" s="32"/>
      <c r="L13" s="32"/>
      <c r="M13" s="32"/>
      <c r="N13" s="32"/>
      <c r="O13" s="32"/>
      <c r="P13" s="39"/>
    </row>
    <row r="14" spans="1:16" ht="28.5" customHeight="1" x14ac:dyDescent="0.25">
      <c r="A14" s="55"/>
      <c r="B14" s="38" t="s">
        <v>63</v>
      </c>
      <c r="C14" s="37">
        <v>0</v>
      </c>
      <c r="D14" s="28">
        <f t="shared" si="1"/>
        <v>0</v>
      </c>
      <c r="E14" s="32"/>
      <c r="F14" s="32"/>
      <c r="G14" s="32"/>
      <c r="H14" s="32"/>
      <c r="I14" s="32"/>
      <c r="J14" s="32"/>
      <c r="K14" s="32"/>
      <c r="L14" s="32"/>
      <c r="M14" s="32"/>
      <c r="N14" s="32"/>
      <c r="O14" s="32"/>
      <c r="P14" s="39"/>
    </row>
    <row r="15" spans="1:16" ht="28.5" customHeight="1" x14ac:dyDescent="0.25">
      <c r="A15" s="55"/>
      <c r="B15" s="38" t="s">
        <v>64</v>
      </c>
      <c r="C15" s="37">
        <v>0</v>
      </c>
      <c r="D15" s="28">
        <f t="shared" si="1"/>
        <v>0</v>
      </c>
      <c r="E15" s="32"/>
      <c r="F15" s="32"/>
      <c r="G15" s="32"/>
      <c r="H15" s="32"/>
      <c r="I15" s="32"/>
      <c r="J15" s="32"/>
      <c r="K15" s="32"/>
      <c r="L15" s="32"/>
      <c r="M15" s="32"/>
      <c r="N15" s="32"/>
      <c r="O15" s="32"/>
      <c r="P15" s="39"/>
    </row>
    <row r="16" spans="1:16" ht="28.5" customHeight="1" x14ac:dyDescent="0.25">
      <c r="A16" s="55"/>
      <c r="B16" s="38" t="s">
        <v>65</v>
      </c>
      <c r="C16" s="37">
        <v>0</v>
      </c>
      <c r="D16" s="28">
        <f t="shared" si="1"/>
        <v>0</v>
      </c>
      <c r="E16" s="32"/>
      <c r="F16" s="32"/>
      <c r="G16" s="32"/>
      <c r="H16" s="32"/>
      <c r="I16" s="32"/>
      <c r="J16" s="32"/>
      <c r="K16" s="32"/>
      <c r="L16" s="32"/>
      <c r="M16" s="32"/>
      <c r="N16" s="32"/>
      <c r="O16" s="32"/>
      <c r="P16" s="39"/>
    </row>
    <row r="17" spans="1:16" ht="28.5" customHeight="1" x14ac:dyDescent="0.25">
      <c r="A17" s="55"/>
      <c r="B17" s="38" t="s">
        <v>66</v>
      </c>
      <c r="C17" s="37">
        <v>0</v>
      </c>
      <c r="D17" s="28">
        <f t="shared" si="1"/>
        <v>0</v>
      </c>
      <c r="E17" s="32"/>
      <c r="F17" s="32"/>
      <c r="G17" s="32"/>
      <c r="H17" s="32"/>
      <c r="I17" s="32"/>
      <c r="J17" s="32"/>
      <c r="K17" s="32"/>
      <c r="L17" s="32"/>
      <c r="M17" s="32"/>
      <c r="N17" s="32"/>
      <c r="O17" s="32"/>
      <c r="P17" s="39"/>
    </row>
    <row r="18" spans="1:16" ht="28.5" customHeight="1" x14ac:dyDescent="0.25">
      <c r="A18" s="55"/>
      <c r="B18" s="38" t="s">
        <v>67</v>
      </c>
      <c r="C18" s="37">
        <v>0</v>
      </c>
      <c r="D18" s="28">
        <f t="shared" si="1"/>
        <v>0</v>
      </c>
      <c r="E18" s="32"/>
      <c r="F18" s="32"/>
      <c r="G18" s="32"/>
      <c r="H18" s="32"/>
      <c r="I18" s="32"/>
      <c r="J18" s="32"/>
      <c r="K18" s="32"/>
      <c r="L18" s="32"/>
      <c r="M18" s="32"/>
      <c r="N18" s="32"/>
      <c r="O18" s="32"/>
      <c r="P18" s="39"/>
    </row>
    <row r="19" spans="1:16" ht="28.5" customHeight="1" x14ac:dyDescent="0.25">
      <c r="A19" s="55"/>
      <c r="B19" s="38" t="s">
        <v>68</v>
      </c>
      <c r="C19" s="37">
        <v>0</v>
      </c>
      <c r="D19" s="28">
        <f t="shared" si="1"/>
        <v>0</v>
      </c>
      <c r="E19" s="32"/>
      <c r="F19" s="32"/>
      <c r="G19" s="32"/>
      <c r="H19" s="32"/>
      <c r="I19" s="32"/>
      <c r="J19" s="32"/>
      <c r="K19" s="32"/>
      <c r="L19" s="32"/>
      <c r="M19" s="32"/>
      <c r="N19" s="32"/>
      <c r="O19" s="32"/>
      <c r="P19" s="39"/>
    </row>
    <row r="20" spans="1:16" ht="28.5" customHeight="1" x14ac:dyDescent="0.25">
      <c r="A20" s="55"/>
      <c r="B20" s="38" t="s">
        <v>69</v>
      </c>
      <c r="C20" s="37">
        <v>0</v>
      </c>
      <c r="D20" s="28">
        <f t="shared" si="1"/>
        <v>0</v>
      </c>
      <c r="E20" s="32"/>
      <c r="F20" s="32"/>
      <c r="G20" s="32"/>
      <c r="H20" s="32"/>
      <c r="I20" s="32"/>
      <c r="J20" s="32"/>
      <c r="K20" s="32"/>
      <c r="L20" s="32"/>
      <c r="M20" s="32"/>
      <c r="N20" s="32"/>
      <c r="O20" s="32"/>
      <c r="P20" s="39"/>
    </row>
    <row r="21" spans="1:16" ht="28.5" customHeight="1" x14ac:dyDescent="0.25">
      <c r="A21" s="55"/>
      <c r="B21" s="38" t="s">
        <v>70</v>
      </c>
      <c r="C21" s="37">
        <v>84</v>
      </c>
      <c r="D21" s="28">
        <f t="shared" si="1"/>
        <v>42</v>
      </c>
      <c r="E21" s="32">
        <v>6</v>
      </c>
      <c r="F21" s="32">
        <v>5</v>
      </c>
      <c r="G21" s="32">
        <v>5</v>
      </c>
      <c r="H21" s="32">
        <v>26</v>
      </c>
      <c r="I21" s="32"/>
      <c r="J21" s="32"/>
      <c r="K21" s="32"/>
      <c r="L21" s="32"/>
      <c r="M21" s="32"/>
      <c r="N21" s="32"/>
      <c r="O21" s="32"/>
      <c r="P21" s="39"/>
    </row>
    <row r="22" spans="1:16" ht="28.5" customHeight="1" x14ac:dyDescent="0.25">
      <c r="A22" s="55"/>
      <c r="B22" s="38" t="s">
        <v>71</v>
      </c>
      <c r="C22" s="37">
        <v>0</v>
      </c>
      <c r="D22" s="28">
        <f t="shared" si="1"/>
        <v>0</v>
      </c>
      <c r="E22" s="32"/>
      <c r="F22" s="32"/>
      <c r="G22" s="32"/>
      <c r="H22" s="32"/>
      <c r="I22" s="32"/>
      <c r="J22" s="32"/>
      <c r="K22" s="32"/>
      <c r="L22" s="32"/>
      <c r="M22" s="32"/>
      <c r="N22" s="32"/>
      <c r="O22" s="32"/>
      <c r="P22" s="39"/>
    </row>
    <row r="23" spans="1:16" ht="24" customHeight="1" x14ac:dyDescent="0.25">
      <c r="A23" s="55"/>
      <c r="B23" s="40" t="s">
        <v>72</v>
      </c>
      <c r="C23" s="37">
        <v>2</v>
      </c>
      <c r="D23" s="28">
        <f t="shared" si="1"/>
        <v>2</v>
      </c>
      <c r="E23" s="32"/>
      <c r="F23" s="32"/>
      <c r="G23" s="32"/>
      <c r="H23" s="32">
        <v>2</v>
      </c>
      <c r="I23" s="32"/>
      <c r="J23" s="32"/>
      <c r="K23" s="32"/>
      <c r="L23" s="32"/>
      <c r="M23" s="32"/>
      <c r="N23" s="32"/>
      <c r="O23" s="32"/>
      <c r="P23" s="39"/>
    </row>
    <row r="24" spans="1:16" ht="24" customHeight="1" x14ac:dyDescent="0.25">
      <c r="A24" s="55"/>
      <c r="B24" s="40" t="s">
        <v>73</v>
      </c>
      <c r="C24" s="37">
        <v>2</v>
      </c>
      <c r="D24" s="28">
        <f t="shared" si="1"/>
        <v>2</v>
      </c>
      <c r="E24" s="32"/>
      <c r="F24" s="32"/>
      <c r="G24" s="32"/>
      <c r="H24" s="32">
        <v>2</v>
      </c>
      <c r="I24" s="32"/>
      <c r="J24" s="32"/>
      <c r="K24" s="32"/>
      <c r="L24" s="32"/>
      <c r="M24" s="32"/>
      <c r="N24" s="32"/>
      <c r="O24" s="32"/>
      <c r="P24" s="39"/>
    </row>
    <row r="25" spans="1:16" ht="24" customHeight="1" x14ac:dyDescent="0.25">
      <c r="A25" s="55"/>
      <c r="B25" s="40" t="s">
        <v>74</v>
      </c>
      <c r="C25" s="37">
        <v>2</v>
      </c>
      <c r="D25" s="28">
        <f t="shared" si="1"/>
        <v>2</v>
      </c>
      <c r="E25" s="32"/>
      <c r="F25" s="32"/>
      <c r="G25" s="32"/>
      <c r="H25" s="32"/>
      <c r="I25" s="32">
        <v>2</v>
      </c>
      <c r="J25" s="32"/>
      <c r="K25" s="32"/>
      <c r="L25" s="32"/>
      <c r="M25" s="32"/>
      <c r="N25" s="32"/>
      <c r="O25" s="32"/>
      <c r="P25" s="39"/>
    </row>
    <row r="26" spans="1:16" ht="24" customHeight="1" x14ac:dyDescent="0.25">
      <c r="A26" s="55"/>
      <c r="B26" s="40" t="s">
        <v>75</v>
      </c>
      <c r="C26" s="37">
        <v>2</v>
      </c>
      <c r="D26" s="28">
        <f t="shared" si="1"/>
        <v>2</v>
      </c>
      <c r="E26" s="32"/>
      <c r="F26" s="32"/>
      <c r="G26" s="32"/>
      <c r="H26" s="32"/>
      <c r="I26" s="32"/>
      <c r="J26" s="32">
        <v>2</v>
      </c>
      <c r="K26" s="32"/>
      <c r="L26" s="32"/>
      <c r="M26" s="32"/>
      <c r="N26" s="32"/>
      <c r="O26" s="32"/>
      <c r="P26" s="39"/>
    </row>
    <row r="27" spans="1:16" ht="24" customHeight="1" x14ac:dyDescent="0.25">
      <c r="A27" s="55"/>
      <c r="B27" s="40" t="s">
        <v>76</v>
      </c>
      <c r="C27" s="37">
        <v>2</v>
      </c>
      <c r="D27" s="28">
        <f t="shared" si="1"/>
        <v>0</v>
      </c>
      <c r="E27" s="32"/>
      <c r="F27" s="32"/>
      <c r="G27" s="32"/>
      <c r="H27" s="32"/>
      <c r="I27" s="32"/>
      <c r="J27" s="32"/>
      <c r="K27" s="32"/>
      <c r="L27" s="32"/>
      <c r="M27" s="32"/>
      <c r="N27" s="32"/>
      <c r="O27" s="32"/>
      <c r="P27" s="39"/>
    </row>
    <row r="28" spans="1:16" ht="24" customHeight="1" x14ac:dyDescent="0.25">
      <c r="A28" s="55"/>
      <c r="B28" s="40" t="s">
        <v>77</v>
      </c>
      <c r="C28" s="37">
        <v>1</v>
      </c>
      <c r="D28" s="28">
        <f t="shared" si="1"/>
        <v>0</v>
      </c>
      <c r="E28" s="32"/>
      <c r="F28" s="32"/>
      <c r="G28" s="32"/>
      <c r="H28" s="32"/>
      <c r="I28" s="32"/>
      <c r="J28" s="32"/>
      <c r="K28" s="32"/>
      <c r="L28" s="32"/>
      <c r="M28" s="32"/>
      <c r="N28" s="32"/>
      <c r="O28" s="32"/>
      <c r="P28" s="39"/>
    </row>
    <row r="29" spans="1:16" ht="24" customHeight="1" x14ac:dyDescent="0.25">
      <c r="A29" s="55"/>
      <c r="B29" s="40" t="s">
        <v>78</v>
      </c>
      <c r="C29" s="37">
        <v>1</v>
      </c>
      <c r="D29" s="28">
        <f t="shared" si="1"/>
        <v>0</v>
      </c>
      <c r="E29" s="32"/>
      <c r="F29" s="32"/>
      <c r="G29" s="32"/>
      <c r="H29" s="32"/>
      <c r="I29" s="32"/>
      <c r="J29" s="32"/>
      <c r="K29" s="32"/>
      <c r="L29" s="32"/>
      <c r="M29" s="32"/>
      <c r="N29" s="32"/>
      <c r="O29" s="32"/>
      <c r="P29" s="39"/>
    </row>
    <row r="30" spans="1:16" ht="24" customHeight="1" x14ac:dyDescent="0.25">
      <c r="A30" s="55"/>
      <c r="B30" s="40" t="s">
        <v>79</v>
      </c>
      <c r="C30" s="37">
        <v>1</v>
      </c>
      <c r="D30" s="28">
        <f t="shared" si="1"/>
        <v>0</v>
      </c>
      <c r="E30" s="32"/>
      <c r="F30" s="32"/>
      <c r="G30" s="32"/>
      <c r="H30" s="32"/>
      <c r="I30" s="32"/>
      <c r="J30" s="32"/>
      <c r="K30" s="32"/>
      <c r="L30" s="32"/>
      <c r="M30" s="32"/>
      <c r="N30" s="32"/>
      <c r="O30" s="32"/>
      <c r="P30" s="39"/>
    </row>
    <row r="31" spans="1:16" ht="24" customHeight="1" x14ac:dyDescent="0.25">
      <c r="A31" s="55"/>
      <c r="B31" s="40" t="s">
        <v>80</v>
      </c>
      <c r="C31" s="37">
        <v>1</v>
      </c>
      <c r="D31" s="28">
        <f t="shared" si="1"/>
        <v>0</v>
      </c>
      <c r="E31" s="32"/>
      <c r="F31" s="32"/>
      <c r="G31" s="32"/>
      <c r="H31" s="32"/>
      <c r="I31" s="32"/>
      <c r="J31" s="32"/>
      <c r="K31" s="32"/>
      <c r="L31" s="32"/>
      <c r="M31" s="32"/>
      <c r="N31" s="32"/>
      <c r="O31" s="32"/>
      <c r="P31" s="39"/>
    </row>
    <row r="32" spans="1:16" ht="24" customHeight="1" x14ac:dyDescent="0.25">
      <c r="A32" s="55"/>
      <c r="B32" s="40" t="s">
        <v>81</v>
      </c>
      <c r="C32" s="37">
        <v>1</v>
      </c>
      <c r="D32" s="28">
        <f t="shared" si="1"/>
        <v>0</v>
      </c>
      <c r="E32" s="32"/>
      <c r="F32" s="32"/>
      <c r="G32" s="32"/>
      <c r="H32" s="32"/>
      <c r="I32" s="32"/>
      <c r="J32" s="32"/>
      <c r="K32" s="32"/>
      <c r="L32" s="32"/>
      <c r="M32" s="32"/>
      <c r="N32" s="32"/>
      <c r="O32" s="32"/>
      <c r="P32" s="39"/>
    </row>
    <row r="33" spans="1:16" ht="24" customHeight="1" x14ac:dyDescent="0.25">
      <c r="A33" s="55"/>
      <c r="B33" s="40" t="s">
        <v>82</v>
      </c>
      <c r="C33" s="37">
        <v>1</v>
      </c>
      <c r="D33" s="28">
        <f t="shared" si="1"/>
        <v>0</v>
      </c>
      <c r="E33" s="32"/>
      <c r="F33" s="32"/>
      <c r="G33" s="32"/>
      <c r="H33" s="32"/>
      <c r="I33" s="32"/>
      <c r="J33" s="32"/>
      <c r="K33" s="32"/>
      <c r="L33" s="32"/>
      <c r="M33" s="32"/>
      <c r="N33" s="32"/>
      <c r="O33" s="32"/>
      <c r="P33" s="39"/>
    </row>
    <row r="34" spans="1:16" ht="24" customHeight="1" thickBot="1" x14ac:dyDescent="0.3">
      <c r="A34" s="56"/>
      <c r="B34" s="41" t="s">
        <v>83</v>
      </c>
      <c r="C34" s="37">
        <v>1</v>
      </c>
      <c r="D34" s="28">
        <f t="shared" si="1"/>
        <v>0</v>
      </c>
      <c r="E34" s="32"/>
      <c r="F34" s="32"/>
      <c r="G34" s="32"/>
      <c r="H34" s="32"/>
      <c r="I34" s="32"/>
      <c r="J34" s="32"/>
      <c r="K34" s="32"/>
      <c r="L34" s="32"/>
      <c r="M34" s="32"/>
      <c r="N34" s="32"/>
      <c r="O34" s="32"/>
      <c r="P34" s="39"/>
    </row>
    <row r="35" spans="1:16" x14ac:dyDescent="0.25">
      <c r="C35" s="42">
        <f>SUM(C3:C34)</f>
        <v>302</v>
      </c>
      <c r="D35" s="43">
        <f>SUM(D3:D34)</f>
        <v>161</v>
      </c>
    </row>
    <row r="36" spans="1:16" x14ac:dyDescent="0.25">
      <c r="C36" s="11"/>
      <c r="D36" s="44">
        <f>D35/C35</f>
        <v>0.5331125827814569</v>
      </c>
    </row>
  </sheetData>
  <sheetProtection algorithmName="SHA-512" hashValue="CmAXKB3tzZFKmBpeOpZE56E1qacVE2UjprGXRRPci5nKRGFMgIFgNrONQ1PwTMSy1MQufN1wa7bDaSEPA8Anwg==" saltValue="zKNSaAMehG1s/ynOyre+gQ==" spinCount="100000" sheet="1" objects="1" scenarios="1" autoFilter="0"/>
  <mergeCells count="2">
    <mergeCell ref="A1:A2"/>
    <mergeCell ref="A7:A34"/>
  </mergeCells>
  <conditionalFormatting sqref="C3:D3 D4:D6">
    <cfRule type="dataBar" priority="51">
      <dataBar>
        <cfvo type="min"/>
        <cfvo type="max"/>
        <color rgb="FF008AEF"/>
      </dataBar>
      <extLst>
        <ext xmlns:x14="http://schemas.microsoft.com/office/spreadsheetml/2009/9/main" uri="{B025F937-C7B1-47D3-B67F-A62EFF666E3E}">
          <x14:id>{EBE14F36-5463-4F71-A9AC-09B547AB915F}</x14:id>
        </ext>
      </extLst>
    </cfRule>
  </conditionalFormatting>
  <conditionalFormatting sqref="C4:D4">
    <cfRule type="dataBar" priority="4">
      <dataBar>
        <cfvo type="min"/>
        <cfvo type="max"/>
        <color rgb="FF008AEF"/>
      </dataBar>
      <extLst>
        <ext xmlns:x14="http://schemas.microsoft.com/office/spreadsheetml/2009/9/main" uri="{B025F937-C7B1-47D3-B67F-A62EFF666E3E}">
          <x14:id>{CF427C59-7F5F-489A-A5F3-83B4FDB753D1}</x14:id>
        </ext>
      </extLst>
    </cfRule>
  </conditionalFormatting>
  <conditionalFormatting sqref="C5:D5">
    <cfRule type="dataBar" priority="5">
      <dataBar>
        <cfvo type="min"/>
        <cfvo type="max"/>
        <color rgb="FF008AEF"/>
      </dataBar>
      <extLst>
        <ext xmlns:x14="http://schemas.microsoft.com/office/spreadsheetml/2009/9/main" uri="{B025F937-C7B1-47D3-B67F-A62EFF666E3E}">
          <x14:id>{BD7040CE-F002-40D9-9BCF-229C8EF9340D}</x14:id>
        </ext>
      </extLst>
    </cfRule>
  </conditionalFormatting>
  <conditionalFormatting sqref="C6:D6">
    <cfRule type="dataBar" priority="6">
      <dataBar>
        <cfvo type="min"/>
        <cfvo type="max"/>
        <color rgb="FF008AEF"/>
      </dataBar>
      <extLst>
        <ext xmlns:x14="http://schemas.microsoft.com/office/spreadsheetml/2009/9/main" uri="{B025F937-C7B1-47D3-B67F-A62EFF666E3E}">
          <x14:id>{879091A0-9E75-468F-BC8B-4A6709BC77B9}</x14:id>
        </ext>
      </extLst>
    </cfRule>
  </conditionalFormatting>
  <conditionalFormatting sqref="C7:D7">
    <cfRule type="dataBar" priority="12">
      <dataBar>
        <cfvo type="min"/>
        <cfvo type="max"/>
        <color rgb="FF008AEF"/>
      </dataBar>
      <extLst>
        <ext xmlns:x14="http://schemas.microsoft.com/office/spreadsheetml/2009/9/main" uri="{B025F937-C7B1-47D3-B67F-A62EFF666E3E}">
          <x14:id>{9F0747D7-90CA-4DBA-A8ED-600D6BFE6CB6}</x14:id>
        </ext>
      </extLst>
    </cfRule>
  </conditionalFormatting>
  <conditionalFormatting sqref="C8:D8">
    <cfRule type="dataBar" priority="39">
      <dataBar>
        <cfvo type="min"/>
        <cfvo type="max"/>
        <color rgb="FF008AEF"/>
      </dataBar>
      <extLst>
        <ext xmlns:x14="http://schemas.microsoft.com/office/spreadsheetml/2009/9/main" uri="{B025F937-C7B1-47D3-B67F-A62EFF666E3E}">
          <x14:id>{8181195F-0433-411E-9453-04158DD70758}</x14:id>
        </ext>
      </extLst>
    </cfRule>
  </conditionalFormatting>
  <conditionalFormatting sqref="C9:D9">
    <cfRule type="dataBar" priority="38">
      <dataBar>
        <cfvo type="min"/>
        <cfvo type="max"/>
        <color rgb="FF008AEF"/>
      </dataBar>
      <extLst>
        <ext xmlns:x14="http://schemas.microsoft.com/office/spreadsheetml/2009/9/main" uri="{B025F937-C7B1-47D3-B67F-A62EFF666E3E}">
          <x14:id>{9A6A3C8E-2C32-4270-AF6B-9E90BBB47AE4}</x14:id>
        </ext>
      </extLst>
    </cfRule>
  </conditionalFormatting>
  <conditionalFormatting sqref="C10:D10">
    <cfRule type="dataBar" priority="37">
      <dataBar>
        <cfvo type="min"/>
        <cfvo type="max"/>
        <color rgb="FF008AEF"/>
      </dataBar>
      <extLst>
        <ext xmlns:x14="http://schemas.microsoft.com/office/spreadsheetml/2009/9/main" uri="{B025F937-C7B1-47D3-B67F-A62EFF666E3E}">
          <x14:id>{DFFA2944-8016-4264-9E75-642D9FF5DCDE}</x14:id>
        </ext>
      </extLst>
    </cfRule>
  </conditionalFormatting>
  <conditionalFormatting sqref="C11:D11">
    <cfRule type="dataBar" priority="36">
      <dataBar>
        <cfvo type="min"/>
        <cfvo type="max"/>
        <color rgb="FF008AEF"/>
      </dataBar>
      <extLst>
        <ext xmlns:x14="http://schemas.microsoft.com/office/spreadsheetml/2009/9/main" uri="{B025F937-C7B1-47D3-B67F-A62EFF666E3E}">
          <x14:id>{B49850E1-E609-43CB-A396-690F783721CA}</x14:id>
        </ext>
      </extLst>
    </cfRule>
  </conditionalFormatting>
  <conditionalFormatting sqref="C12:D12">
    <cfRule type="dataBar" priority="35">
      <dataBar>
        <cfvo type="min"/>
        <cfvo type="max"/>
        <color rgb="FF008AEF"/>
      </dataBar>
      <extLst>
        <ext xmlns:x14="http://schemas.microsoft.com/office/spreadsheetml/2009/9/main" uri="{B025F937-C7B1-47D3-B67F-A62EFF666E3E}">
          <x14:id>{C124853F-70F6-4FE4-8ECC-15A6EBCD8641}</x14:id>
        </ext>
      </extLst>
    </cfRule>
  </conditionalFormatting>
  <conditionalFormatting sqref="C13:D13">
    <cfRule type="dataBar" priority="34">
      <dataBar>
        <cfvo type="min"/>
        <cfvo type="max"/>
        <color rgb="FF008AEF"/>
      </dataBar>
      <extLst>
        <ext xmlns:x14="http://schemas.microsoft.com/office/spreadsheetml/2009/9/main" uri="{B025F937-C7B1-47D3-B67F-A62EFF666E3E}">
          <x14:id>{036D0D89-99FE-4BA3-BA54-033D475A6A60}</x14:id>
        </ext>
      </extLst>
    </cfRule>
  </conditionalFormatting>
  <conditionalFormatting sqref="C14:D14">
    <cfRule type="dataBar" priority="33">
      <dataBar>
        <cfvo type="min"/>
        <cfvo type="max"/>
        <color rgb="FF008AEF"/>
      </dataBar>
      <extLst>
        <ext xmlns:x14="http://schemas.microsoft.com/office/spreadsheetml/2009/9/main" uri="{B025F937-C7B1-47D3-B67F-A62EFF666E3E}">
          <x14:id>{F8899628-C784-4373-B0F3-D66E86AE930D}</x14:id>
        </ext>
      </extLst>
    </cfRule>
  </conditionalFormatting>
  <conditionalFormatting sqref="C15:D15">
    <cfRule type="dataBar" priority="32">
      <dataBar>
        <cfvo type="min"/>
        <cfvo type="max"/>
        <color rgb="FF008AEF"/>
      </dataBar>
      <extLst>
        <ext xmlns:x14="http://schemas.microsoft.com/office/spreadsheetml/2009/9/main" uri="{B025F937-C7B1-47D3-B67F-A62EFF666E3E}">
          <x14:id>{85659ABE-2B9A-486B-A1E0-0FA212C68AF7}</x14:id>
        </ext>
      </extLst>
    </cfRule>
  </conditionalFormatting>
  <conditionalFormatting sqref="C16:D16">
    <cfRule type="dataBar" priority="31">
      <dataBar>
        <cfvo type="min"/>
        <cfvo type="max"/>
        <color rgb="FF008AEF"/>
      </dataBar>
      <extLst>
        <ext xmlns:x14="http://schemas.microsoft.com/office/spreadsheetml/2009/9/main" uri="{B025F937-C7B1-47D3-B67F-A62EFF666E3E}">
          <x14:id>{9E35004E-A641-4B35-9A72-035D57AC9F0E}</x14:id>
        </ext>
      </extLst>
    </cfRule>
  </conditionalFormatting>
  <conditionalFormatting sqref="C17:D17">
    <cfRule type="dataBar" priority="30">
      <dataBar>
        <cfvo type="min"/>
        <cfvo type="max"/>
        <color rgb="FF008AEF"/>
      </dataBar>
      <extLst>
        <ext xmlns:x14="http://schemas.microsoft.com/office/spreadsheetml/2009/9/main" uri="{B025F937-C7B1-47D3-B67F-A62EFF666E3E}">
          <x14:id>{072A3F6C-A666-4CFE-B139-62C956070B05}</x14:id>
        </ext>
      </extLst>
    </cfRule>
  </conditionalFormatting>
  <conditionalFormatting sqref="C18:D18">
    <cfRule type="dataBar" priority="29">
      <dataBar>
        <cfvo type="min"/>
        <cfvo type="max"/>
        <color rgb="FF008AEF"/>
      </dataBar>
      <extLst>
        <ext xmlns:x14="http://schemas.microsoft.com/office/spreadsheetml/2009/9/main" uri="{B025F937-C7B1-47D3-B67F-A62EFF666E3E}">
          <x14:id>{E1276B98-F627-41E6-B062-260C4383CCBD}</x14:id>
        </ext>
      </extLst>
    </cfRule>
  </conditionalFormatting>
  <conditionalFormatting sqref="C19:D19">
    <cfRule type="dataBar" priority="28">
      <dataBar>
        <cfvo type="min"/>
        <cfvo type="max"/>
        <color rgb="FF008AEF"/>
      </dataBar>
      <extLst>
        <ext xmlns:x14="http://schemas.microsoft.com/office/spreadsheetml/2009/9/main" uri="{B025F937-C7B1-47D3-B67F-A62EFF666E3E}">
          <x14:id>{6DD7AF92-5123-4777-8D15-76D186B14101}</x14:id>
        </ext>
      </extLst>
    </cfRule>
  </conditionalFormatting>
  <conditionalFormatting sqref="C20:D20">
    <cfRule type="dataBar" priority="27">
      <dataBar>
        <cfvo type="min"/>
        <cfvo type="max"/>
        <color rgb="FF008AEF"/>
      </dataBar>
      <extLst>
        <ext xmlns:x14="http://schemas.microsoft.com/office/spreadsheetml/2009/9/main" uri="{B025F937-C7B1-47D3-B67F-A62EFF666E3E}">
          <x14:id>{C4560E80-A7CD-4847-B039-D27A42DC0228}</x14:id>
        </ext>
      </extLst>
    </cfRule>
  </conditionalFormatting>
  <conditionalFormatting sqref="C21:D21">
    <cfRule type="dataBar" priority="26">
      <dataBar>
        <cfvo type="min"/>
        <cfvo type="max"/>
        <color rgb="FF008AEF"/>
      </dataBar>
      <extLst>
        <ext xmlns:x14="http://schemas.microsoft.com/office/spreadsheetml/2009/9/main" uri="{B025F937-C7B1-47D3-B67F-A62EFF666E3E}">
          <x14:id>{7DB712AF-DC08-45BE-960E-11034DE6AA70}</x14:id>
        </ext>
      </extLst>
    </cfRule>
  </conditionalFormatting>
  <conditionalFormatting sqref="C22:D22">
    <cfRule type="dataBar" priority="25">
      <dataBar>
        <cfvo type="min"/>
        <cfvo type="max"/>
        <color rgb="FF008AEF"/>
      </dataBar>
      <extLst>
        <ext xmlns:x14="http://schemas.microsoft.com/office/spreadsheetml/2009/9/main" uri="{B025F937-C7B1-47D3-B67F-A62EFF666E3E}">
          <x14:id>{D78E884D-C2FA-4979-A2E4-51EAD3646B6E}</x14:id>
        </ext>
      </extLst>
    </cfRule>
  </conditionalFormatting>
  <conditionalFormatting sqref="C23:D23">
    <cfRule type="dataBar" priority="24">
      <dataBar>
        <cfvo type="min"/>
        <cfvo type="max"/>
        <color rgb="FF008AEF"/>
      </dataBar>
      <extLst>
        <ext xmlns:x14="http://schemas.microsoft.com/office/spreadsheetml/2009/9/main" uri="{B025F937-C7B1-47D3-B67F-A62EFF666E3E}">
          <x14:id>{91340F35-FC17-443B-A0FF-230ED21B1F50}</x14:id>
        </ext>
      </extLst>
    </cfRule>
  </conditionalFormatting>
  <conditionalFormatting sqref="C24:D24">
    <cfRule type="dataBar" priority="23">
      <dataBar>
        <cfvo type="min"/>
        <cfvo type="max"/>
        <color rgb="FF008AEF"/>
      </dataBar>
      <extLst>
        <ext xmlns:x14="http://schemas.microsoft.com/office/spreadsheetml/2009/9/main" uri="{B025F937-C7B1-47D3-B67F-A62EFF666E3E}">
          <x14:id>{72DEB229-CC08-458B-876C-9F789C8BD6D7}</x14:id>
        </ext>
      </extLst>
    </cfRule>
  </conditionalFormatting>
  <conditionalFormatting sqref="C25:D25">
    <cfRule type="dataBar" priority="22">
      <dataBar>
        <cfvo type="min"/>
        <cfvo type="max"/>
        <color rgb="FF008AEF"/>
      </dataBar>
      <extLst>
        <ext xmlns:x14="http://schemas.microsoft.com/office/spreadsheetml/2009/9/main" uri="{B025F937-C7B1-47D3-B67F-A62EFF666E3E}">
          <x14:id>{0F53F2A8-1912-4FB2-9ECB-F0200E3EB1D0}</x14:id>
        </ext>
      </extLst>
    </cfRule>
  </conditionalFormatting>
  <conditionalFormatting sqref="C26:D26">
    <cfRule type="dataBar" priority="21">
      <dataBar>
        <cfvo type="min"/>
        <cfvo type="max"/>
        <color rgb="FF008AEF"/>
      </dataBar>
      <extLst>
        <ext xmlns:x14="http://schemas.microsoft.com/office/spreadsheetml/2009/9/main" uri="{B025F937-C7B1-47D3-B67F-A62EFF666E3E}">
          <x14:id>{999E4BCC-4C1E-4151-9230-FB5C80C2B78B}</x14:id>
        </ext>
      </extLst>
    </cfRule>
  </conditionalFormatting>
  <conditionalFormatting sqref="C27:D27">
    <cfRule type="dataBar" priority="20">
      <dataBar>
        <cfvo type="min"/>
        <cfvo type="max"/>
        <color rgb="FF008AEF"/>
      </dataBar>
      <extLst>
        <ext xmlns:x14="http://schemas.microsoft.com/office/spreadsheetml/2009/9/main" uri="{B025F937-C7B1-47D3-B67F-A62EFF666E3E}">
          <x14:id>{EC29A1CA-CCA5-4BAB-B972-335895E64D94}</x14:id>
        </ext>
      </extLst>
    </cfRule>
  </conditionalFormatting>
  <conditionalFormatting sqref="C28:D28">
    <cfRule type="dataBar" priority="19">
      <dataBar>
        <cfvo type="min"/>
        <cfvo type="max"/>
        <color rgb="FF008AEF"/>
      </dataBar>
      <extLst>
        <ext xmlns:x14="http://schemas.microsoft.com/office/spreadsheetml/2009/9/main" uri="{B025F937-C7B1-47D3-B67F-A62EFF666E3E}">
          <x14:id>{52D3B836-79FA-4779-A458-CC1BC86D74FC}</x14:id>
        </ext>
      </extLst>
    </cfRule>
  </conditionalFormatting>
  <conditionalFormatting sqref="C29:D29">
    <cfRule type="dataBar" priority="18">
      <dataBar>
        <cfvo type="min"/>
        <cfvo type="max"/>
        <color rgb="FF008AEF"/>
      </dataBar>
      <extLst>
        <ext xmlns:x14="http://schemas.microsoft.com/office/spreadsheetml/2009/9/main" uri="{B025F937-C7B1-47D3-B67F-A62EFF666E3E}">
          <x14:id>{0C66C40D-E198-42CA-B0F8-97CE62FDF2AC}</x14:id>
        </ext>
      </extLst>
    </cfRule>
  </conditionalFormatting>
  <conditionalFormatting sqref="C30:D30">
    <cfRule type="dataBar" priority="17">
      <dataBar>
        <cfvo type="min"/>
        <cfvo type="max"/>
        <color rgb="FF008AEF"/>
      </dataBar>
      <extLst>
        <ext xmlns:x14="http://schemas.microsoft.com/office/spreadsheetml/2009/9/main" uri="{B025F937-C7B1-47D3-B67F-A62EFF666E3E}">
          <x14:id>{5BDE8B67-3342-44C6-9D2A-C3E367D8D304}</x14:id>
        </ext>
      </extLst>
    </cfRule>
  </conditionalFormatting>
  <conditionalFormatting sqref="C31:D31">
    <cfRule type="dataBar" priority="16">
      <dataBar>
        <cfvo type="min"/>
        <cfvo type="max"/>
        <color rgb="FF008AEF"/>
      </dataBar>
      <extLst>
        <ext xmlns:x14="http://schemas.microsoft.com/office/spreadsheetml/2009/9/main" uri="{B025F937-C7B1-47D3-B67F-A62EFF666E3E}">
          <x14:id>{218A396A-287C-45C1-BDFA-F0CE885CE45D}</x14:id>
        </ext>
      </extLst>
    </cfRule>
  </conditionalFormatting>
  <conditionalFormatting sqref="C32:D32">
    <cfRule type="dataBar" priority="15">
      <dataBar>
        <cfvo type="min"/>
        <cfvo type="max"/>
        <color rgb="FF008AEF"/>
      </dataBar>
      <extLst>
        <ext xmlns:x14="http://schemas.microsoft.com/office/spreadsheetml/2009/9/main" uri="{B025F937-C7B1-47D3-B67F-A62EFF666E3E}">
          <x14:id>{FA14900D-7264-45A4-9CA0-095B2FA916D7}</x14:id>
        </ext>
      </extLst>
    </cfRule>
  </conditionalFormatting>
  <conditionalFormatting sqref="C33:D33">
    <cfRule type="dataBar" priority="14">
      <dataBar>
        <cfvo type="min"/>
        <cfvo type="max"/>
        <color rgb="FF008AEF"/>
      </dataBar>
      <extLst>
        <ext xmlns:x14="http://schemas.microsoft.com/office/spreadsheetml/2009/9/main" uri="{B025F937-C7B1-47D3-B67F-A62EFF666E3E}">
          <x14:id>{98CC04BF-C567-4960-9615-9ABD67B6B466}</x14:id>
        </ext>
      </extLst>
    </cfRule>
  </conditionalFormatting>
  <conditionalFormatting sqref="C34:D34">
    <cfRule type="dataBar" priority="13">
      <dataBar>
        <cfvo type="min"/>
        <cfvo type="max"/>
        <color rgb="FF008AEF"/>
      </dataBar>
      <extLst>
        <ext xmlns:x14="http://schemas.microsoft.com/office/spreadsheetml/2009/9/main" uri="{B025F937-C7B1-47D3-B67F-A62EFF666E3E}">
          <x14:id>{9E610796-DA2B-4760-AB64-747B612FDB53}</x14:id>
        </ext>
      </extLst>
    </cfRule>
  </conditionalFormatting>
  <conditionalFormatting sqref="E3:F30 E31:O34">
    <cfRule type="cellIs" dxfId="4" priority="1" operator="greaterThan">
      <formula>0</formula>
    </cfRule>
  </conditionalFormatting>
  <conditionalFormatting sqref="G7:O30">
    <cfRule type="cellIs" dxfId="3" priority="11" operator="greaterThan">
      <formula>0</formula>
    </cfRule>
  </conditionalFormatting>
  <conditionalFormatting sqref="G3:P6">
    <cfRule type="cellIs" dxfId="2" priority="2"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EBE14F36-5463-4F71-A9AC-09B547AB915F}">
            <x14:dataBar minLength="0" maxLength="100" gradient="0">
              <x14:cfvo type="autoMin"/>
              <x14:cfvo type="autoMax"/>
              <x14:negativeFillColor rgb="FFFF0000"/>
              <x14:axisColor rgb="FF000000"/>
            </x14:dataBar>
          </x14:cfRule>
          <xm:sqref>C3:D3 D4:D6</xm:sqref>
        </x14:conditionalFormatting>
        <x14:conditionalFormatting xmlns:xm="http://schemas.microsoft.com/office/excel/2006/main">
          <x14:cfRule type="dataBar" id="{CF427C59-7F5F-489A-A5F3-83B4FDB753D1}">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BD7040CE-F002-40D9-9BCF-229C8EF9340D}">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879091A0-9E75-468F-BC8B-4A6709BC77B9}">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9F0747D7-90CA-4DBA-A8ED-600D6BFE6CB6}">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8181195F-0433-411E-9453-04158DD70758}">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9A6A3C8E-2C32-4270-AF6B-9E90BBB47AE4}">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DFFA2944-8016-4264-9E75-642D9FF5DCDE}">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B49850E1-E609-43CB-A396-690F783721CA}">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C124853F-70F6-4FE4-8ECC-15A6EBCD8641}">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036D0D89-99FE-4BA3-BA54-033D475A6A60}">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F8899628-C784-4373-B0F3-D66E86AE930D}">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85659ABE-2B9A-486B-A1E0-0FA212C68AF7}">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9E35004E-A641-4B35-9A72-035D57AC9F0E}">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072A3F6C-A666-4CFE-B139-62C956070B05}">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E1276B98-F627-41E6-B062-260C4383CCBD}">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6DD7AF92-5123-4777-8D15-76D186B14101}">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C4560E80-A7CD-4847-B039-D27A42DC0228}">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7DB712AF-DC08-45BE-960E-11034DE6AA70}">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D78E884D-C2FA-4979-A2E4-51EAD3646B6E}">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91340F35-FC17-443B-A0FF-230ED21B1F50}">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72DEB229-CC08-458B-876C-9F789C8BD6D7}">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0F53F2A8-1912-4FB2-9ECB-F0200E3EB1D0}">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999E4BCC-4C1E-4151-9230-FB5C80C2B78B}">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EC29A1CA-CCA5-4BAB-B972-335895E64D94}">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52D3B836-79FA-4779-A458-CC1BC86D74FC}">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0C66C40D-E198-42CA-B0F8-97CE62FDF2AC}">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5BDE8B67-3342-44C6-9D2A-C3E367D8D304}">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218A396A-287C-45C1-BDFA-F0CE885CE45D}">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FA14900D-7264-45A4-9CA0-095B2FA916D7}">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98CC04BF-C567-4960-9615-9ABD67B6B466}">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9E610796-DA2B-4760-AB64-747B612FDB53}">
            <x14:dataBar minLength="0" maxLength="100" gradient="0">
              <x14:cfvo type="autoMin"/>
              <x14:cfvo type="autoMax"/>
              <x14:negativeFillColor rgb="FFFF0000"/>
              <x14:axisColor rgb="FF000000"/>
            </x14:dataBar>
          </x14:cfRule>
          <xm:sqref>C34:D34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dimension ref="A1:E11"/>
  <sheetViews>
    <sheetView workbookViewId="0">
      <selection activeCell="I22" sqref="I22"/>
    </sheetView>
  </sheetViews>
  <sheetFormatPr baseColWidth="10" defaultRowHeight="15" x14ac:dyDescent="0.25"/>
  <cols>
    <col min="1" max="1" width="11.28515625" customWidth="1"/>
    <col min="2" max="2" width="24" customWidth="1"/>
    <col min="3" max="3" width="11.85546875" bestFit="1" customWidth="1"/>
  </cols>
  <sheetData>
    <row r="1" spans="1:5" x14ac:dyDescent="0.25">
      <c r="A1" s="57" t="s">
        <v>33</v>
      </c>
      <c r="B1" s="57"/>
      <c r="C1" s="21" t="s">
        <v>2</v>
      </c>
      <c r="D1" s="21" t="s">
        <v>52</v>
      </c>
      <c r="E1" s="21" t="s">
        <v>84</v>
      </c>
    </row>
    <row r="2" spans="1:5" x14ac:dyDescent="0.25">
      <c r="A2" s="24" t="s">
        <v>34</v>
      </c>
      <c r="B2" s="25" t="s">
        <v>43</v>
      </c>
      <c r="C2" s="22">
        <f>'D49 Heredia'!C34</f>
        <v>519</v>
      </c>
      <c r="D2" s="29">
        <f>'D49 Heredia'!D34</f>
        <v>203</v>
      </c>
      <c r="E2" s="50">
        <f>D2/C2</f>
        <v>0.39113680154142583</v>
      </c>
    </row>
    <row r="3" spans="1:5" x14ac:dyDescent="0.25">
      <c r="A3" s="24" t="s">
        <v>35</v>
      </c>
      <c r="B3" s="25" t="s">
        <v>44</v>
      </c>
      <c r="C3" s="23">
        <f>'D50 Barva'!C36</f>
        <v>270</v>
      </c>
      <c r="D3" s="23">
        <f>'D50 Barva'!D36</f>
        <v>102</v>
      </c>
      <c r="E3" s="50">
        <f t="shared" ref="E3:E11" si="0">D3/C3</f>
        <v>0.37777777777777777</v>
      </c>
    </row>
    <row r="4" spans="1:5" x14ac:dyDescent="0.25">
      <c r="A4" s="24" t="s">
        <v>36</v>
      </c>
      <c r="B4" s="25" t="s">
        <v>45</v>
      </c>
      <c r="C4" s="22">
        <f>'D51 Santo Domingo'!C34</f>
        <v>331</v>
      </c>
      <c r="D4" s="29">
        <f>'D51 Santo Domingo'!D34</f>
        <v>106</v>
      </c>
      <c r="E4" s="50">
        <f t="shared" si="0"/>
        <v>0.3202416918429003</v>
      </c>
    </row>
    <row r="5" spans="1:5" x14ac:dyDescent="0.25">
      <c r="A5" s="24" t="s">
        <v>37</v>
      </c>
      <c r="B5" s="25" t="s">
        <v>46</v>
      </c>
      <c r="C5" s="22">
        <f>'D52 Santa Bárbara'!C34</f>
        <v>288</v>
      </c>
      <c r="D5" s="29">
        <f>'D52 Santa Bárbara'!D34</f>
        <v>93</v>
      </c>
      <c r="E5" s="50">
        <f t="shared" si="0"/>
        <v>0.32291666666666669</v>
      </c>
    </row>
    <row r="6" spans="1:5" x14ac:dyDescent="0.25">
      <c r="A6" s="24" t="s">
        <v>38</v>
      </c>
      <c r="B6" s="25" t="s">
        <v>47</v>
      </c>
      <c r="C6" s="22">
        <f>'D53 San Rafael'!C36</f>
        <v>191</v>
      </c>
      <c r="D6" s="29">
        <f>'D53 San Rafael'!D36</f>
        <v>79</v>
      </c>
      <c r="E6" s="50">
        <f t="shared" si="0"/>
        <v>0.41361256544502617</v>
      </c>
    </row>
    <row r="7" spans="1:5" x14ac:dyDescent="0.25">
      <c r="A7" s="24" t="s">
        <v>39</v>
      </c>
      <c r="B7" s="25" t="s">
        <v>48</v>
      </c>
      <c r="C7" s="22">
        <f>'D54 San Isidro'!C36</f>
        <v>292</v>
      </c>
      <c r="D7" s="29">
        <f>'D54 San Isidro'!D36</f>
        <v>94</v>
      </c>
      <c r="E7" s="50">
        <f t="shared" si="0"/>
        <v>0.32191780821917809</v>
      </c>
    </row>
    <row r="8" spans="1:5" x14ac:dyDescent="0.25">
      <c r="A8" s="24" t="s">
        <v>40</v>
      </c>
      <c r="B8" s="25" t="s">
        <v>49</v>
      </c>
      <c r="C8" s="22">
        <f>'D55 Belen'!C34</f>
        <v>164</v>
      </c>
      <c r="D8" s="29">
        <f>'D55 Belen'!D34</f>
        <v>70</v>
      </c>
      <c r="E8" s="50">
        <f t="shared" si="0"/>
        <v>0.42682926829268292</v>
      </c>
    </row>
    <row r="9" spans="1:5" x14ac:dyDescent="0.25">
      <c r="A9" s="24" t="s">
        <v>41</v>
      </c>
      <c r="B9" s="25" t="s">
        <v>50</v>
      </c>
      <c r="C9" s="22">
        <f>'D56 Flores'!C33</f>
        <v>271</v>
      </c>
      <c r="D9" s="29">
        <f>'D56 Flores'!D33</f>
        <v>125</v>
      </c>
      <c r="E9" s="50">
        <f t="shared" si="0"/>
        <v>0.46125461254612549</v>
      </c>
    </row>
    <row r="10" spans="1:5" ht="16.149999999999999" customHeight="1" x14ac:dyDescent="0.25">
      <c r="A10" s="24" t="s">
        <v>42</v>
      </c>
      <c r="B10" s="25" t="s">
        <v>51</v>
      </c>
      <c r="C10" s="22">
        <f>'D57 San Pablo'!C35</f>
        <v>302</v>
      </c>
      <c r="D10" s="29">
        <f>'D57 San Pablo'!D35</f>
        <v>161</v>
      </c>
      <c r="E10" s="50">
        <f t="shared" si="0"/>
        <v>0.5331125827814569</v>
      </c>
    </row>
    <row r="11" spans="1:5" x14ac:dyDescent="0.25">
      <c r="B11" s="20" t="s">
        <v>53</v>
      </c>
      <c r="C11" s="26">
        <f>SUM(C2:C10)</f>
        <v>2628</v>
      </c>
      <c r="D11" s="26">
        <f>SUM(D2:D10)</f>
        <v>1033</v>
      </c>
      <c r="E11" s="51">
        <f t="shared" si="0"/>
        <v>0.39307458143074581</v>
      </c>
    </row>
  </sheetData>
  <sheetProtection algorithmName="SHA-512" hashValue="AcvGuV8Vs6X+yIr9kRE/Z8YAY0HA6sfjkQ42wpZimQyLGi71A4X+ceALIDk2KXpUwCFjOVeFSqXTJSs4/GM8Rw==" saltValue="tW8Q+Svu/b2tOIMb/Ep0SQ==" spinCount="100000" sheet="1" objects="1" scenarios="1" autoFilter="0"/>
  <mergeCells count="1">
    <mergeCell ref="A1:B1"/>
  </mergeCells>
  <phoneticPr fontId="9" type="noConversion"/>
  <conditionalFormatting sqref="C2:D2">
    <cfRule type="dataBar" priority="13">
      <dataBar>
        <cfvo type="min"/>
        <cfvo type="max"/>
        <color rgb="FF008AEF"/>
      </dataBar>
      <extLst>
        <ext xmlns:x14="http://schemas.microsoft.com/office/spreadsheetml/2009/9/main" uri="{B025F937-C7B1-47D3-B67F-A62EFF666E3E}">
          <x14:id>{2812F6BC-7960-49AC-937C-450E7B6E4768}</x14:id>
        </ext>
      </extLst>
    </cfRule>
  </conditionalFormatting>
  <conditionalFormatting sqref="C3:D3">
    <cfRule type="dataBar" priority="12">
      <dataBar>
        <cfvo type="min"/>
        <cfvo type="max"/>
        <color rgb="FF008AEF"/>
      </dataBar>
      <extLst>
        <ext xmlns:x14="http://schemas.microsoft.com/office/spreadsheetml/2009/9/main" uri="{B025F937-C7B1-47D3-B67F-A62EFF666E3E}">
          <x14:id>{5FCCD499-ABD6-4744-A778-0157ECFE26A6}</x14:id>
        </ext>
      </extLst>
    </cfRule>
  </conditionalFormatting>
  <conditionalFormatting sqref="C4:D4">
    <cfRule type="dataBar" priority="10">
      <dataBar>
        <cfvo type="min"/>
        <cfvo type="max"/>
        <color rgb="FF008AEF"/>
      </dataBar>
      <extLst>
        <ext xmlns:x14="http://schemas.microsoft.com/office/spreadsheetml/2009/9/main" uri="{B025F937-C7B1-47D3-B67F-A62EFF666E3E}">
          <x14:id>{9CFE09D7-BA8C-4EAC-9B21-CC52951EC774}</x14:id>
        </ext>
      </extLst>
    </cfRule>
  </conditionalFormatting>
  <conditionalFormatting sqref="C5:D5">
    <cfRule type="dataBar" priority="11">
      <dataBar>
        <cfvo type="min"/>
        <cfvo type="max"/>
        <color rgb="FF008AEF"/>
      </dataBar>
      <extLst>
        <ext xmlns:x14="http://schemas.microsoft.com/office/spreadsheetml/2009/9/main" uri="{B025F937-C7B1-47D3-B67F-A62EFF666E3E}">
          <x14:id>{7A92F670-0E0C-46FE-886B-0AD202FBEAA6}</x14:id>
        </ext>
      </extLst>
    </cfRule>
  </conditionalFormatting>
  <conditionalFormatting sqref="C6:D6">
    <cfRule type="dataBar" priority="9">
      <dataBar>
        <cfvo type="min"/>
        <cfvo type="max"/>
        <color rgb="FF008AEF"/>
      </dataBar>
      <extLst>
        <ext xmlns:x14="http://schemas.microsoft.com/office/spreadsheetml/2009/9/main" uri="{B025F937-C7B1-47D3-B67F-A62EFF666E3E}">
          <x14:id>{114D341E-BC54-4DBD-9821-5DFE446289B9}</x14:id>
        </ext>
      </extLst>
    </cfRule>
  </conditionalFormatting>
  <conditionalFormatting sqref="C7:D7">
    <cfRule type="dataBar" priority="8">
      <dataBar>
        <cfvo type="min"/>
        <cfvo type="max"/>
        <color rgb="FF008AEF"/>
      </dataBar>
      <extLst>
        <ext xmlns:x14="http://schemas.microsoft.com/office/spreadsheetml/2009/9/main" uri="{B025F937-C7B1-47D3-B67F-A62EFF666E3E}">
          <x14:id>{3A9B2386-6EA2-4A73-B3FD-FB30FC78FDC5}</x14:id>
        </ext>
      </extLst>
    </cfRule>
  </conditionalFormatting>
  <conditionalFormatting sqref="C8:D8">
    <cfRule type="dataBar" priority="7">
      <dataBar>
        <cfvo type="min"/>
        <cfvo type="max"/>
        <color rgb="FF008AEF"/>
      </dataBar>
      <extLst>
        <ext xmlns:x14="http://schemas.microsoft.com/office/spreadsheetml/2009/9/main" uri="{B025F937-C7B1-47D3-B67F-A62EFF666E3E}">
          <x14:id>{92C2ED13-3393-4881-A44D-9601535238BD}</x14:id>
        </ext>
      </extLst>
    </cfRule>
  </conditionalFormatting>
  <conditionalFormatting sqref="C9:D9">
    <cfRule type="dataBar" priority="6">
      <dataBar>
        <cfvo type="min"/>
        <cfvo type="max"/>
        <color rgb="FF008AEF"/>
      </dataBar>
      <extLst>
        <ext xmlns:x14="http://schemas.microsoft.com/office/spreadsheetml/2009/9/main" uri="{B025F937-C7B1-47D3-B67F-A62EFF666E3E}">
          <x14:id>{E670EB42-A483-46F8-9452-BB44E3C378C0}</x14:id>
        </ext>
      </extLst>
    </cfRule>
  </conditionalFormatting>
  <conditionalFormatting sqref="C10:D10">
    <cfRule type="dataBar" priority="5">
      <dataBar>
        <cfvo type="min"/>
        <cfvo type="max"/>
        <color rgb="FF008AEF"/>
      </dataBar>
      <extLst>
        <ext xmlns:x14="http://schemas.microsoft.com/office/spreadsheetml/2009/9/main" uri="{B025F937-C7B1-47D3-B67F-A62EFF666E3E}">
          <x14:id>{010EDE22-F6AC-403E-9A08-EE7EC51B8D97}</x14:id>
        </ext>
      </extLst>
    </cfRule>
  </conditionalFormatting>
  <conditionalFormatting sqref="E11">
    <cfRule type="cellIs" dxfId="1" priority="1" operator="greaterThan">
      <formula>0.2499</formula>
    </cfRule>
    <cfRule type="cellIs" dxfId="0" priority="2" operator="lessThan">
      <formula>0.24999999</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2812F6BC-7960-49AC-937C-450E7B6E4768}">
            <x14:dataBar minLength="0" maxLength="100" gradient="0">
              <x14:cfvo type="autoMin"/>
              <x14:cfvo type="autoMax"/>
              <x14:negativeFillColor rgb="FFFF0000"/>
              <x14:axisColor rgb="FF000000"/>
            </x14:dataBar>
          </x14:cfRule>
          <xm:sqref>C2:D2</xm:sqref>
        </x14:conditionalFormatting>
        <x14:conditionalFormatting xmlns:xm="http://schemas.microsoft.com/office/excel/2006/main">
          <x14:cfRule type="dataBar" id="{5FCCD499-ABD6-4744-A778-0157ECFE26A6}">
            <x14:dataBar minLength="0" maxLength="100" gradient="0">
              <x14:cfvo type="autoMin"/>
              <x14:cfvo type="autoMax"/>
              <x14:negativeFillColor rgb="FFFF0000"/>
              <x14:axisColor rgb="FF000000"/>
            </x14:dataBar>
          </x14:cfRule>
          <xm:sqref>C3:D3</xm:sqref>
        </x14:conditionalFormatting>
        <x14:conditionalFormatting xmlns:xm="http://schemas.microsoft.com/office/excel/2006/main">
          <x14:cfRule type="dataBar" id="{9CFE09D7-BA8C-4EAC-9B21-CC52951EC774}">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7A92F670-0E0C-46FE-886B-0AD202FBEAA6}">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114D341E-BC54-4DBD-9821-5DFE446289B9}">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3A9B2386-6EA2-4A73-B3FD-FB30FC78FDC5}">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92C2ED13-3393-4881-A44D-9601535238BD}">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E670EB42-A483-46F8-9452-BB44E3C378C0}">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010EDE22-F6AC-403E-9A08-EE7EC51B8D97}">
            <x14:dataBar minLength="0" maxLength="100" gradient="0">
              <x14:cfvo type="autoMin"/>
              <x14:cfvo type="autoMax"/>
              <x14:negativeFillColor rgb="FFFF0000"/>
              <x14:axisColor rgb="FF000000"/>
            </x14:dataBar>
          </x14:cfRule>
          <xm:sqref>C10:D10</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D49 Heredia</vt:lpstr>
      <vt:lpstr>D50 Barva</vt:lpstr>
      <vt:lpstr>D51 Santo Domingo</vt:lpstr>
      <vt:lpstr>D52 Santa Bárbara</vt:lpstr>
      <vt:lpstr>D53 San Rafael</vt:lpstr>
      <vt:lpstr>D54 San Isidro</vt:lpstr>
      <vt:lpstr>D55 Belen</vt:lpstr>
      <vt:lpstr>D56 Flores</vt:lpstr>
      <vt:lpstr>D57 San Pablo</vt:lpstr>
      <vt:lpstr>Total Región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Manuel Alb Cartin</dc:creator>
  <cp:lastModifiedBy>Manuel Alberto Cartin Sequeira</cp:lastModifiedBy>
  <dcterms:created xsi:type="dcterms:W3CDTF">2025-07-06T03:45:51Z</dcterms:created>
  <dcterms:modified xsi:type="dcterms:W3CDTF">2026-06-20T00:25:55Z</dcterms:modified>
</cp:coreProperties>
</file>