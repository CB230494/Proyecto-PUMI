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E90801B9-D177-4B87-9494-09978223303D}" xr6:coauthVersionLast="47" xr6:coauthVersionMax="47" xr10:uidLastSave="{00000000-0000-0000-0000-000000000000}"/>
  <bookViews>
    <workbookView xWindow="-120" yWindow="-120" windowWidth="29040" windowHeight="15720" activeTab="5" xr2:uid="{00000000-000D-0000-FFFF-FFFF00000000}"/>
  </bookViews>
  <sheets>
    <sheet name="D82E San Carlos Este" sheetId="2" r:id="rId1"/>
    <sheet name="D82O San Carlos Oeste" sheetId="1" r:id="rId2"/>
    <sheet name="D83 Zarcero" sheetId="3" r:id="rId3"/>
    <sheet name="D86 Guatuso" sheetId="4" r:id="rId4"/>
    <sheet name="D87 Rio Cuarto" sheetId="5" r:id="rId5"/>
    <sheet name="Total Región" sheetId="6" r:id="rId6"/>
  </sheets>
  <externalReferences>
    <externalReference r:id="rId7"/>
    <externalReference r:id="rId8"/>
    <externalReference r:id="rId9"/>
    <externalReference r:id="rId10"/>
    <externalReference r:id="rId11"/>
    <externalReference r:id="rId12"/>
  </externalReferences>
  <definedNames>
    <definedName name="ABANG" localSheetId="0">[1]DAT2!#REF!</definedName>
    <definedName name="ABANG" localSheetId="2">[2]DAT2!#REF!</definedName>
    <definedName name="ABANG" localSheetId="3">[3]DAT2!#REF!</definedName>
    <definedName name="ABANG" localSheetId="4">[4]DAT2!#REF!</definedName>
    <definedName name="ABANG" localSheetId="5">[5]DAT2!#REF!</definedName>
    <definedName name="ABANG">[6]DAT2!#REF!</definedName>
    <definedName name="ACOS" localSheetId="0">[1]DAT2!#REF!</definedName>
    <definedName name="ACOS" localSheetId="2">[2]DAT2!#REF!</definedName>
    <definedName name="ACOS" localSheetId="3">[3]DAT2!#REF!</definedName>
    <definedName name="ACOS" localSheetId="4">[4]DAT2!#REF!</definedName>
    <definedName name="ACOS" localSheetId="5">[5]DAT2!#REF!</definedName>
    <definedName name="ACOS">[6]DAT2!#REF!</definedName>
    <definedName name="ALAJU" localSheetId="0">[1]DAT2!#REF!</definedName>
    <definedName name="ALAJU" localSheetId="2">[2]DAT2!#REF!</definedName>
    <definedName name="ALAJU" localSheetId="3">[3]DAT2!#REF!</definedName>
    <definedName name="ALAJU" localSheetId="4">[4]DAT2!#REF!</definedName>
    <definedName name="ALAJU" localSheetId="5">[5]DAT2!#REF!</definedName>
    <definedName name="ALAJU">[6]DAT2!#REF!</definedName>
    <definedName name="ALAJUE" localSheetId="0">[1]DAT2!#REF!</definedName>
    <definedName name="ALAJUE" localSheetId="2">[2]DAT2!#REF!</definedName>
    <definedName name="ALAJUE" localSheetId="3">[3]DAT2!#REF!</definedName>
    <definedName name="ALAJUE" localSheetId="4">[4]DAT2!#REF!</definedName>
    <definedName name="ALAJUE" localSheetId="5">[5]DAT2!#REF!</definedName>
    <definedName name="ALAJUE">[6]DAT2!#REF!</definedName>
    <definedName name="ALVA" localSheetId="0">[1]DAT2!#REF!</definedName>
    <definedName name="ALVA" localSheetId="2">[2]DAT2!#REF!</definedName>
    <definedName name="ALVA" localSheetId="3">[3]DAT2!#REF!</definedName>
    <definedName name="ALVA" localSheetId="4">[4]DAT2!#REF!</definedName>
    <definedName name="ALVA" localSheetId="5">[5]DAT2!#REF!</definedName>
    <definedName name="ALVA">[6]DAT2!#REF!</definedName>
    <definedName name="ASERR" localSheetId="0">[1]DAT2!#REF!</definedName>
    <definedName name="ASERR" localSheetId="2">[2]DAT2!#REF!</definedName>
    <definedName name="ASERR" localSheetId="3">[3]DAT2!#REF!</definedName>
    <definedName name="ASERR" localSheetId="4">[4]DAT2!#REF!</definedName>
    <definedName name="ASERR" localSheetId="5">[5]DAT2!#REF!</definedName>
    <definedName name="ASERR">[6]DAT2!#REF!</definedName>
    <definedName name="ATE" localSheetId="0">[1]DAT2!#REF!</definedName>
    <definedName name="ATE" localSheetId="2">[2]DAT2!#REF!</definedName>
    <definedName name="ATE" localSheetId="3">[3]DAT2!#REF!</definedName>
    <definedName name="ATE" localSheetId="4">[4]DAT2!#REF!</definedName>
    <definedName name="ATE" localSheetId="5">[5]DAT2!#REF!</definedName>
    <definedName name="ATE">[6]DAT2!#REF!</definedName>
    <definedName name="BAGAC" localSheetId="0">[1]DAT2!#REF!</definedName>
    <definedName name="BAGAC" localSheetId="2">[2]DAT2!#REF!</definedName>
    <definedName name="BAGAC" localSheetId="3">[3]DAT2!#REF!</definedName>
    <definedName name="BAGAC" localSheetId="4">[4]DAT2!#REF!</definedName>
    <definedName name="BAGAC" localSheetId="5">[5]DAT2!#REF!</definedName>
    <definedName name="BAGAC">[6]DAT2!#REF!</definedName>
    <definedName name="BARV" localSheetId="0">[1]DAT2!#REF!</definedName>
    <definedName name="BARV" localSheetId="2">[2]DAT2!#REF!</definedName>
    <definedName name="BARV" localSheetId="3">[3]DAT2!#REF!</definedName>
    <definedName name="BARV" localSheetId="4">[4]DAT2!#REF!</definedName>
    <definedName name="BARV" localSheetId="5">[5]DAT2!#REF!</definedName>
    <definedName name="BARV">[6]DAT2!#REF!</definedName>
    <definedName name="BEL" localSheetId="0">[1]DAT2!#REF!</definedName>
    <definedName name="BEL" localSheetId="2">[2]DAT2!#REF!</definedName>
    <definedName name="BEL" localSheetId="3">[3]DAT2!#REF!</definedName>
    <definedName name="BEL" localSheetId="4">[4]DAT2!#REF!</definedName>
    <definedName name="BEL" localSheetId="5">[5]DAT2!#REF!</definedName>
    <definedName name="BEL">[6]DAT2!#REF!</definedName>
    <definedName name="BUEN" localSheetId="0">[1]DAT2!#REF!</definedName>
    <definedName name="BUEN" localSheetId="2">[2]DAT2!#REF!</definedName>
    <definedName name="BUEN" localSheetId="3">[3]DAT2!#REF!</definedName>
    <definedName name="BUEN" localSheetId="4">[4]DAT2!#REF!</definedName>
    <definedName name="BUEN" localSheetId="5">[5]DAT2!#REF!</definedName>
    <definedName name="BUEN">[6]DAT2!#REF!</definedName>
    <definedName name="CANTÓNN">[6]!Tabla103[#All]</definedName>
    <definedName name="CAÑ" localSheetId="0">[1]DAT2!#REF!</definedName>
    <definedName name="CAÑ" localSheetId="2">[2]DAT2!#REF!</definedName>
    <definedName name="CAÑ" localSheetId="3">[3]DAT2!#REF!</definedName>
    <definedName name="CAÑ" localSheetId="4">[4]DAT2!#REF!</definedName>
    <definedName name="CAÑ" localSheetId="5">[5]DAT2!#REF!</definedName>
    <definedName name="CAÑ">[6]DAT2!#REF!</definedName>
    <definedName name="CARR" localSheetId="0">[1]DAT2!#REF!</definedName>
    <definedName name="CARR" localSheetId="2">[2]DAT2!#REF!</definedName>
    <definedName name="CARR" localSheetId="3">[3]DAT2!#REF!</definedName>
    <definedName name="CARR" localSheetId="4">[4]DAT2!#REF!</definedName>
    <definedName name="CARR" localSheetId="5">[5]DAT2!#REF!</definedName>
    <definedName name="CARR">[6]DAT2!#REF!</definedName>
    <definedName name="CARTAG" localSheetId="0">[1]DAT2!#REF!</definedName>
    <definedName name="CARTAG" localSheetId="2">[2]DAT2!#REF!</definedName>
    <definedName name="CARTAG" localSheetId="3">[3]DAT2!#REF!</definedName>
    <definedName name="CARTAG" localSheetId="4">[4]DAT2!#REF!</definedName>
    <definedName name="CARTAG" localSheetId="5">[5]DAT2!#REF!</definedName>
    <definedName name="CARTAG">[6]DAT2!#REF!</definedName>
    <definedName name="CORR" localSheetId="0">[1]DAT2!#REF!</definedName>
    <definedName name="CORR" localSheetId="2">[2]DAT2!#REF!</definedName>
    <definedName name="CORR" localSheetId="3">[3]DAT2!#REF!</definedName>
    <definedName name="CORR" localSheetId="4">[4]DAT2!#REF!</definedName>
    <definedName name="CORR" localSheetId="5">[5]DAT2!#REF!</definedName>
    <definedName name="CORR">[6]DAT2!#REF!</definedName>
    <definedName name="COTB" localSheetId="0">[1]DAT2!#REF!</definedName>
    <definedName name="COTB" localSheetId="2">[2]DAT2!#REF!</definedName>
    <definedName name="COTB" localSheetId="3">[3]DAT2!#REF!</definedName>
    <definedName name="COTB" localSheetId="4">[4]DAT2!#REF!</definedName>
    <definedName name="COTB" localSheetId="5">[5]DAT2!#REF!</definedName>
    <definedName name="COTB">[6]DAT2!#REF!</definedName>
    <definedName name="CURRI" localSheetId="0">[1]DAT2!#REF!</definedName>
    <definedName name="CURRI" localSheetId="2">[2]DAT2!#REF!</definedName>
    <definedName name="CURRI" localSheetId="3">[3]DAT2!#REF!</definedName>
    <definedName name="CURRI" localSheetId="4">[4]DAT2!#REF!</definedName>
    <definedName name="CURRI" localSheetId="5">[5]DAT2!#REF!</definedName>
    <definedName name="CURRI">[6]DAT2!#REF!</definedName>
    <definedName name="DESAMP" localSheetId="0">[1]DAT2!#REF!</definedName>
    <definedName name="DESAMP" localSheetId="2">[2]DAT2!#REF!</definedName>
    <definedName name="DESAMP" localSheetId="3">[3]DAT2!#REF!</definedName>
    <definedName name="DESAMP" localSheetId="4">[4]DAT2!#REF!</definedName>
    <definedName name="DESAMP" localSheetId="5">[5]DAT2!#REF!</definedName>
    <definedName name="DESAMP">[6]DAT2!#REF!</definedName>
    <definedName name="DISTRI" localSheetId="0">#REF!</definedName>
    <definedName name="DISTRI" localSheetId="2">#REF!</definedName>
    <definedName name="DISTRI" localSheetId="3">#REF!</definedName>
    <definedName name="DISTRI" localSheetId="4">#REF!</definedName>
    <definedName name="DISTRI" localSheetId="5">#REF!</definedName>
    <definedName name="DISTRI">#REF!</definedName>
    <definedName name="DOTA" localSheetId="0">[1]DAT2!#REF!</definedName>
    <definedName name="DOTA" localSheetId="2">[2]DAT2!#REF!</definedName>
    <definedName name="DOTA" localSheetId="3">[3]DAT2!#REF!</definedName>
    <definedName name="DOTA" localSheetId="4">[4]DAT2!#REF!</definedName>
    <definedName name="DOTA" localSheetId="5">[5]DAT2!#REF!</definedName>
    <definedName name="DOTA">[6]DAT2!#REF!</definedName>
    <definedName name="ELGUA" localSheetId="0">[1]DAT2!#REF!</definedName>
    <definedName name="ELGUA" localSheetId="2">[2]DAT2!#REF!</definedName>
    <definedName name="ELGUA" localSheetId="3">[3]DAT2!#REF!</definedName>
    <definedName name="ELGUA" localSheetId="4">[4]DAT2!#REF!</definedName>
    <definedName name="ELGUA" localSheetId="5">[5]DAT2!#REF!</definedName>
    <definedName name="ELGUA">[6]DAT2!#REF!</definedName>
    <definedName name="ESCAZ" localSheetId="0">[1]DAT2!#REF!</definedName>
    <definedName name="ESCAZ" localSheetId="2">[2]DAT2!#REF!</definedName>
    <definedName name="ESCAZ" localSheetId="3">[3]DAT2!#REF!</definedName>
    <definedName name="ESCAZ" localSheetId="4">[4]DAT2!#REF!</definedName>
    <definedName name="ESCAZ" localSheetId="5">[5]DAT2!#REF!</definedName>
    <definedName name="ESCAZ">[6]DAT2!#REF!</definedName>
    <definedName name="ESPA" localSheetId="0">[1]DAT2!#REF!</definedName>
    <definedName name="ESPA" localSheetId="2">[2]DAT2!#REF!</definedName>
    <definedName name="ESPA" localSheetId="3">[3]DAT2!#REF!</definedName>
    <definedName name="ESPA" localSheetId="4">[4]DAT2!#REF!</definedName>
    <definedName name="ESPA" localSheetId="5">[5]DAT2!#REF!</definedName>
    <definedName name="ESPA">[6]DAT2!#REF!</definedName>
    <definedName name="FLOR" localSheetId="0">[1]DAT2!#REF!</definedName>
    <definedName name="FLOR" localSheetId="2">[2]DAT2!#REF!</definedName>
    <definedName name="FLOR" localSheetId="3">[3]DAT2!#REF!</definedName>
    <definedName name="FLOR" localSheetId="4">[4]DAT2!#REF!</definedName>
    <definedName name="FLOR" localSheetId="5">[5]DAT2!#REF!</definedName>
    <definedName name="FLOR">[6]DAT2!#REF!</definedName>
    <definedName name="GARAB" localSheetId="0">[1]DAT2!#REF!</definedName>
    <definedName name="GARAB" localSheetId="2">[2]DAT2!#REF!</definedName>
    <definedName name="GARAB" localSheetId="3">[3]DAT2!#REF!</definedName>
    <definedName name="GARAB" localSheetId="4">[4]DAT2!#REF!</definedName>
    <definedName name="GARAB" localSheetId="5">[5]DAT2!#REF!</definedName>
    <definedName name="GARAB">[6]DAT2!#REF!</definedName>
    <definedName name="GOIC" localSheetId="0">[1]DAT2!#REF!</definedName>
    <definedName name="GOIC" localSheetId="2">[2]DAT2!#REF!</definedName>
    <definedName name="GOIC" localSheetId="3">[3]DAT2!#REF!</definedName>
    <definedName name="GOIC" localSheetId="4">[4]DAT2!#REF!</definedName>
    <definedName name="GOIC" localSheetId="5">[5]DAT2!#REF!</definedName>
    <definedName name="GOIC">[6]DAT2!#REF!</definedName>
    <definedName name="GOLF" localSheetId="0">[1]DAT2!#REF!</definedName>
    <definedName name="GOLF" localSheetId="2">[2]DAT2!#REF!</definedName>
    <definedName name="GOLF" localSheetId="3">[3]DAT2!#REF!</definedName>
    <definedName name="GOLF" localSheetId="4">[4]DAT2!#REF!</definedName>
    <definedName name="GOLF" localSheetId="5">[5]DAT2!#REF!</definedName>
    <definedName name="GOLF">[6]DAT2!#REF!</definedName>
    <definedName name="GREC" localSheetId="0">[1]DAT2!#REF!</definedName>
    <definedName name="GREC" localSheetId="2">[2]DAT2!#REF!</definedName>
    <definedName name="GREC" localSheetId="3">[3]DAT2!#REF!</definedName>
    <definedName name="GREC" localSheetId="4">[4]DAT2!#REF!</definedName>
    <definedName name="GREC" localSheetId="5">[5]DAT2!#REF!</definedName>
    <definedName name="GREC">[6]DAT2!#REF!</definedName>
    <definedName name="GUAC" localSheetId="0">[1]DAT2!#REF!</definedName>
    <definedName name="GUAC" localSheetId="2">[2]DAT2!#REF!</definedName>
    <definedName name="GUAC" localSheetId="3">[3]DAT2!#REF!</definedName>
    <definedName name="GUAC" localSheetId="4">[4]DAT2!#REF!</definedName>
    <definedName name="GUAC" localSheetId="5">[5]DAT2!#REF!</definedName>
    <definedName name="GUAC">[6]DAT2!#REF!</definedName>
    <definedName name="GUATU" localSheetId="0">[1]DAT2!#REF!</definedName>
    <definedName name="GUATU" localSheetId="2">[2]DAT2!#REF!</definedName>
    <definedName name="GUATU" localSheetId="3">[3]DAT2!#REF!</definedName>
    <definedName name="GUATU" localSheetId="4">[4]DAT2!#REF!</definedName>
    <definedName name="GUATU" localSheetId="5">[5]DAT2!#REF!</definedName>
    <definedName name="GUATU">[6]DAT2!#REF!</definedName>
    <definedName name="HERED" localSheetId="0">[1]DAT2!#REF!</definedName>
    <definedName name="HERED" localSheetId="2">[2]DAT2!#REF!</definedName>
    <definedName name="HERED" localSheetId="3">[3]DAT2!#REF!</definedName>
    <definedName name="HERED" localSheetId="4">[4]DAT2!#REF!</definedName>
    <definedName name="HERED" localSheetId="5">[5]DAT2!#REF!</definedName>
    <definedName name="HERED">[6]DAT2!#REF!</definedName>
    <definedName name="HOJA" localSheetId="0">[1]DAT2!#REF!</definedName>
    <definedName name="HOJA" localSheetId="2">[2]DAT2!#REF!</definedName>
    <definedName name="HOJA" localSheetId="3">[3]DAT2!#REF!</definedName>
    <definedName name="HOJA" localSheetId="4">[4]DAT2!#REF!</definedName>
    <definedName name="HOJA" localSheetId="5">[5]DAT2!#REF!</definedName>
    <definedName name="HOJA">[6]DAT2!#REF!</definedName>
    <definedName name="JE">[6]!Tabla103[#All]</definedName>
    <definedName name="jes">[6]!Tabla103[#All]</definedName>
    <definedName name="JIME" localSheetId="0">[1]DAT2!#REF!</definedName>
    <definedName name="JIME" localSheetId="2">[2]DAT2!#REF!</definedName>
    <definedName name="JIME" localSheetId="3">[3]DAT2!#REF!</definedName>
    <definedName name="JIME" localSheetId="4">[4]DAT2!#REF!</definedName>
    <definedName name="JIME" localSheetId="5">[5]DAT2!#REF!</definedName>
    <definedName name="JIME">[6]DAT2!#REF!</definedName>
    <definedName name="LACRU" localSheetId="0">[1]DAT2!#REF!</definedName>
    <definedName name="LACRU" localSheetId="2">[2]DAT2!#REF!</definedName>
    <definedName name="LACRU" localSheetId="3">[3]DAT2!#REF!</definedName>
    <definedName name="LACRU" localSheetId="4">[4]DAT2!#REF!</definedName>
    <definedName name="LACRU" localSheetId="5">[5]DAT2!#REF!</definedName>
    <definedName name="LACRU">[6]DAT2!#REF!</definedName>
    <definedName name="LAUN" localSheetId="0">[1]DAT2!#REF!</definedName>
    <definedName name="LAUN" localSheetId="2">[2]DAT2!#REF!</definedName>
    <definedName name="LAUN" localSheetId="3">[3]DAT2!#REF!</definedName>
    <definedName name="LAUN" localSheetId="4">[4]DAT2!#REF!</definedName>
    <definedName name="LAUN" localSheetId="5">[5]DAT2!#REF!</definedName>
    <definedName name="LAUN">[6]DAT2!#REF!</definedName>
    <definedName name="LEO" localSheetId="0">[1]DAT1!#REF!</definedName>
    <definedName name="LEO" localSheetId="2">[2]DAT1!#REF!</definedName>
    <definedName name="LEO" localSheetId="3">[3]DAT1!#REF!</definedName>
    <definedName name="LEO" localSheetId="4">[4]DAT1!#REF!</definedName>
    <definedName name="LEO" localSheetId="5">[5]DAT1!#REF!</definedName>
    <definedName name="LEO">[6]DAT1!#REF!</definedName>
    <definedName name="LIB" localSheetId="0">[1]DAT2!#REF!</definedName>
    <definedName name="LIB" localSheetId="2">[2]DAT2!#REF!</definedName>
    <definedName name="LIB" localSheetId="3">[3]DAT2!#REF!</definedName>
    <definedName name="LIB" localSheetId="4">[4]DAT2!#REF!</definedName>
    <definedName name="LIB" localSheetId="5">[5]DAT2!#REF!</definedName>
    <definedName name="LIB">[6]DAT2!#REF!</definedName>
    <definedName name="LIM" localSheetId="0">[1]DAT2!#REF!</definedName>
    <definedName name="LIM" localSheetId="2">[2]DAT2!#REF!</definedName>
    <definedName name="LIM" localSheetId="3">[3]DAT2!#REF!</definedName>
    <definedName name="LIM" localSheetId="4">[4]DAT2!#REF!</definedName>
    <definedName name="LIM" localSheetId="5">[5]DAT2!#REF!</definedName>
    <definedName name="LIM">[6]DAT2!#REF!</definedName>
    <definedName name="LOSCHI" localSheetId="0">[1]DAT2!#REF!</definedName>
    <definedName name="LOSCHI" localSheetId="2">[2]DAT2!#REF!</definedName>
    <definedName name="LOSCHI" localSheetId="3">[3]DAT2!#REF!</definedName>
    <definedName name="LOSCHI" localSheetId="4">[4]DAT2!#REF!</definedName>
    <definedName name="LOSCHI" localSheetId="5">[5]DAT2!#REF!</definedName>
    <definedName name="LOSCHI">[6]DAT2!#REF!</definedName>
    <definedName name="MAT" localSheetId="0">[1]DAT2!#REF!</definedName>
    <definedName name="MAT" localSheetId="2">[2]DAT2!#REF!</definedName>
    <definedName name="MAT" localSheetId="3">[3]DAT2!#REF!</definedName>
    <definedName name="MAT" localSheetId="4">[4]DAT2!#REF!</definedName>
    <definedName name="MAT" localSheetId="5">[5]DAT2!#REF!</definedName>
    <definedName name="MAT">[6]DAT2!#REF!</definedName>
    <definedName name="MONTEV" localSheetId="0">[1]DAT2!#REF!</definedName>
    <definedName name="MONTEV" localSheetId="2">[2]DAT2!#REF!</definedName>
    <definedName name="MONTEV" localSheetId="3">[3]DAT2!#REF!</definedName>
    <definedName name="MONTEV" localSheetId="4">[4]DAT2!#REF!</definedName>
    <definedName name="MONTEV" localSheetId="5">[5]DAT2!#REF!</definedName>
    <definedName name="MONTEV">[6]DAT2!#REF!</definedName>
    <definedName name="MONTOC" localSheetId="0">[1]DAT2!#REF!</definedName>
    <definedName name="MONTOC" localSheetId="2">[2]DAT2!#REF!</definedName>
    <definedName name="MONTOC" localSheetId="3">[3]DAT2!#REF!</definedName>
    <definedName name="MONTOC" localSheetId="4">[4]DAT2!#REF!</definedName>
    <definedName name="MONTOC" localSheetId="5">[5]DAT2!#REF!</definedName>
    <definedName name="MONTOC">[6]DAT2!#REF!</definedName>
    <definedName name="MONTOR" localSheetId="0">[1]DAT2!#REF!</definedName>
    <definedName name="MONTOR" localSheetId="2">[2]DAT2!#REF!</definedName>
    <definedName name="MONTOR" localSheetId="3">[3]DAT2!#REF!</definedName>
    <definedName name="MONTOR" localSheetId="4">[4]DAT2!#REF!</definedName>
    <definedName name="MONTOR" localSheetId="5">[5]DAT2!#REF!</definedName>
    <definedName name="MONTOR">[6]DAT2!#REF!</definedName>
    <definedName name="MOR" localSheetId="0">[1]DAT2!#REF!</definedName>
    <definedName name="MOR" localSheetId="2">[2]DAT2!#REF!</definedName>
    <definedName name="MOR" localSheetId="3">[3]DAT2!#REF!</definedName>
    <definedName name="MOR" localSheetId="4">[4]DAT2!#REF!</definedName>
    <definedName name="MOR" localSheetId="5">[5]DAT2!#REF!</definedName>
    <definedName name="MOR">[6]DAT2!#REF!</definedName>
    <definedName name="MORAV" localSheetId="0">[1]DAT2!#REF!</definedName>
    <definedName name="MORAV" localSheetId="2">[2]DAT2!#REF!</definedName>
    <definedName name="MORAV" localSheetId="3">[3]DAT2!#REF!</definedName>
    <definedName name="MORAV" localSheetId="4">[4]DAT2!#REF!</definedName>
    <definedName name="MORAV" localSheetId="5">[5]DAT2!#REF!</definedName>
    <definedName name="MORAV">[6]DAT2!#REF!</definedName>
    <definedName name="NAND" localSheetId="0">[1]DAT2!#REF!</definedName>
    <definedName name="NAND" localSheetId="2">[2]DAT2!#REF!</definedName>
    <definedName name="NAND" localSheetId="3">[3]DAT2!#REF!</definedName>
    <definedName name="NAND" localSheetId="4">[4]DAT2!#REF!</definedName>
    <definedName name="NAND" localSheetId="5">[5]DAT2!#REF!</definedName>
    <definedName name="NAND">[6]DAT2!#REF!</definedName>
    <definedName name="NARA" localSheetId="0">[1]DAT2!#REF!</definedName>
    <definedName name="NARA" localSheetId="2">[2]DAT2!#REF!</definedName>
    <definedName name="NARA" localSheetId="3">[3]DAT2!#REF!</definedName>
    <definedName name="NARA" localSheetId="4">[4]DAT2!#REF!</definedName>
    <definedName name="NARA" localSheetId="5">[5]DAT2!#REF!</definedName>
    <definedName name="NARA">[6]DAT2!#REF!</definedName>
    <definedName name="NICO" localSheetId="0">[1]DAT2!#REF!</definedName>
    <definedName name="NICO" localSheetId="2">[2]DAT2!#REF!</definedName>
    <definedName name="NICO" localSheetId="3">[3]DAT2!#REF!</definedName>
    <definedName name="NICO" localSheetId="4">[4]DAT2!#REF!</definedName>
    <definedName name="NICO" localSheetId="5">[5]DAT2!#REF!</definedName>
    <definedName name="NICO">[6]DAT2!#REF!</definedName>
    <definedName name="OREAMU" localSheetId="0">[1]DAT2!#REF!</definedName>
    <definedName name="OREAMU" localSheetId="2">[2]DAT2!#REF!</definedName>
    <definedName name="OREAMU" localSheetId="3">[3]DAT2!#REF!</definedName>
    <definedName name="OREAMU" localSheetId="4">[4]DAT2!#REF!</definedName>
    <definedName name="OREAMU" localSheetId="5">[5]DAT2!#REF!</definedName>
    <definedName name="OREAMU">[6]DAT2!#REF!</definedName>
    <definedName name="OROT" localSheetId="0">[1]DAT2!#REF!</definedName>
    <definedName name="OROT" localSheetId="2">[2]DAT2!#REF!</definedName>
    <definedName name="OROT" localSheetId="3">[3]DAT2!#REF!</definedName>
    <definedName name="OROT" localSheetId="4">[4]DAT2!#REF!</definedName>
    <definedName name="OROT" localSheetId="5">[5]DAT2!#REF!</definedName>
    <definedName name="OROT">[6]DAT2!#REF!</definedName>
    <definedName name="OSA" localSheetId="0">[1]DAT2!#REF!</definedName>
    <definedName name="OSA" localSheetId="2">[2]DAT2!#REF!</definedName>
    <definedName name="OSA" localSheetId="3">[3]DAT2!#REF!</definedName>
    <definedName name="OSA" localSheetId="4">[4]DAT2!#REF!</definedName>
    <definedName name="OSA" localSheetId="5">[5]DAT2!#REF!</definedName>
    <definedName name="OSA">[6]DAT2!#REF!</definedName>
    <definedName name="PALMA" localSheetId="0">[1]DAT2!#REF!</definedName>
    <definedName name="PALMA" localSheetId="2">[2]DAT2!#REF!</definedName>
    <definedName name="PALMA" localSheetId="3">[3]DAT2!#REF!</definedName>
    <definedName name="PALMA" localSheetId="4">[4]DAT2!#REF!</definedName>
    <definedName name="PALMA" localSheetId="5">[5]DAT2!#REF!</definedName>
    <definedName name="PALMA">[6]DAT2!#REF!</definedName>
    <definedName name="PARA" localSheetId="0">[1]DAT2!#REF!</definedName>
    <definedName name="PARA" localSheetId="2">[2]DAT2!#REF!</definedName>
    <definedName name="PARA" localSheetId="3">[3]DAT2!#REF!</definedName>
    <definedName name="PARA" localSheetId="4">[4]DAT2!#REF!</definedName>
    <definedName name="PARA" localSheetId="5">[5]DAT2!#REF!</definedName>
    <definedName name="PARA">[6]DAT2!#REF!</definedName>
    <definedName name="PARR" localSheetId="0">[1]DAT2!#REF!</definedName>
    <definedName name="PARR" localSheetId="2">[2]DAT2!#REF!</definedName>
    <definedName name="PARR" localSheetId="3">[3]DAT2!#REF!</definedName>
    <definedName name="PARR" localSheetId="4">[4]DAT2!#REF!</definedName>
    <definedName name="PARR" localSheetId="5">[5]DAT2!#REF!</definedName>
    <definedName name="PARR">[6]DAT2!#REF!</definedName>
    <definedName name="POA" localSheetId="0">[1]DAT2!#REF!</definedName>
    <definedName name="POA" localSheetId="2">[2]DAT2!#REF!</definedName>
    <definedName name="POA" localSheetId="3">[3]DAT2!#REF!</definedName>
    <definedName name="POA" localSheetId="4">[4]DAT2!#REF!</definedName>
    <definedName name="POA" localSheetId="5">[5]DAT2!#REF!</definedName>
    <definedName name="POA">[6]DAT2!#REF!</definedName>
    <definedName name="POCOC" localSheetId="0">[1]DAT2!#REF!</definedName>
    <definedName name="POCOC" localSheetId="2">[2]DAT2!#REF!</definedName>
    <definedName name="POCOC" localSheetId="3">[3]DAT2!#REF!</definedName>
    <definedName name="POCOC" localSheetId="4">[4]DAT2!#REF!</definedName>
    <definedName name="POCOC" localSheetId="5">[5]DAT2!#REF!</definedName>
    <definedName name="POCOC">[6]DAT2!#REF!</definedName>
    <definedName name="PUERTOJ" localSheetId="0">[1]DAT2!#REF!</definedName>
    <definedName name="PUERTOJ" localSheetId="2">[2]DAT2!#REF!</definedName>
    <definedName name="PUERTOJ" localSheetId="3">[3]DAT2!#REF!</definedName>
    <definedName name="PUERTOJ" localSheetId="4">[4]DAT2!#REF!</definedName>
    <definedName name="PUERTOJ" localSheetId="5">[5]DAT2!#REF!</definedName>
    <definedName name="PUERTOJ">[6]DAT2!#REF!</definedName>
    <definedName name="PUNTAR" localSheetId="0">[1]DAT2!#REF!</definedName>
    <definedName name="PUNTAR" localSheetId="2">[2]DAT2!#REF!</definedName>
    <definedName name="PUNTAR" localSheetId="3">[3]DAT2!#REF!</definedName>
    <definedName name="PUNTAR" localSheetId="4">[4]DAT2!#REF!</definedName>
    <definedName name="PUNTAR" localSheetId="5">[5]DAT2!#REF!</definedName>
    <definedName name="PUNTAR">[6]DAT2!#REF!</definedName>
    <definedName name="PURIS" localSheetId="0">[1]DAT2!#REF!</definedName>
    <definedName name="PURIS" localSheetId="2">[2]DAT2!#REF!</definedName>
    <definedName name="PURIS" localSheetId="3">[3]DAT2!#REF!</definedName>
    <definedName name="PURIS" localSheetId="4">[4]DAT2!#REF!</definedName>
    <definedName name="PURIS" localSheetId="5">[5]DAT2!#REF!</definedName>
    <definedName name="PURIS">[6]DAT2!#REF!</definedName>
    <definedName name="PZ" localSheetId="0">[1]DAT2!#REF!</definedName>
    <definedName name="PZ" localSheetId="2">[2]DAT2!#REF!</definedName>
    <definedName name="PZ" localSheetId="3">[3]DAT2!#REF!</definedName>
    <definedName name="PZ" localSheetId="4">[4]DAT2!#REF!</definedName>
    <definedName name="PZ" localSheetId="5">[5]DAT2!#REF!</definedName>
    <definedName name="PZ">[6]DAT2!#REF!</definedName>
    <definedName name="QUEP" localSheetId="0">[1]DAT2!#REF!</definedName>
    <definedName name="QUEP" localSheetId="2">[2]DAT2!#REF!</definedName>
    <definedName name="QUEP" localSheetId="3">[3]DAT2!#REF!</definedName>
    <definedName name="QUEP" localSheetId="4">[4]DAT2!#REF!</definedName>
    <definedName name="QUEP" localSheetId="5">[5]DAT2!#REF!</definedName>
    <definedName name="QUEP">[6]DAT2!#REF!</definedName>
    <definedName name="RIOCU" localSheetId="0">[1]DAT2!#REF!</definedName>
    <definedName name="RIOCU" localSheetId="2">[2]DAT2!#REF!</definedName>
    <definedName name="RIOCU" localSheetId="3">[3]DAT2!#REF!</definedName>
    <definedName name="RIOCU" localSheetId="4">[4]DAT2!#REF!</definedName>
    <definedName name="RIOCU" localSheetId="5">[5]DAT2!#REF!</definedName>
    <definedName name="RIOCU">[6]DAT2!#REF!</definedName>
    <definedName name="SANCAR" localSheetId="0">[1]DAT2!#REF!</definedName>
    <definedName name="SANCAR" localSheetId="2">[2]DAT2!#REF!</definedName>
    <definedName name="SANCAR" localSheetId="3">[3]DAT2!#REF!</definedName>
    <definedName name="SANCAR" localSheetId="4">[4]DAT2!#REF!</definedName>
    <definedName name="SANCAR" localSheetId="5">[5]DAT2!#REF!</definedName>
    <definedName name="SANCAR">[6]DAT2!#REF!</definedName>
    <definedName name="SANISI" localSheetId="0">[1]DAT2!#REF!</definedName>
    <definedName name="SANISI" localSheetId="2">[2]DAT2!#REF!</definedName>
    <definedName name="SANISI" localSheetId="3">[3]DAT2!#REF!</definedName>
    <definedName name="SANISI" localSheetId="4">[4]DAT2!#REF!</definedName>
    <definedName name="SANISI" localSheetId="5">[5]DAT2!#REF!</definedName>
    <definedName name="SANISI">[6]DAT2!#REF!</definedName>
    <definedName name="SANMAT" localSheetId="0">[1]DAT2!#REF!</definedName>
    <definedName name="SANMAT" localSheetId="2">[2]DAT2!#REF!</definedName>
    <definedName name="SANMAT" localSheetId="3">[3]DAT2!#REF!</definedName>
    <definedName name="SANMAT" localSheetId="4">[4]DAT2!#REF!</definedName>
    <definedName name="SANMAT" localSheetId="5">[5]DAT2!#REF!</definedName>
    <definedName name="SANMAT">[6]DAT2!#REF!</definedName>
    <definedName name="SANPA" localSheetId="0">[1]DAT2!#REF!</definedName>
    <definedName name="SANPA" localSheetId="2">[2]DAT2!#REF!</definedName>
    <definedName name="SANPA" localSheetId="3">[3]DAT2!#REF!</definedName>
    <definedName name="SANPA" localSheetId="4">[4]DAT2!#REF!</definedName>
    <definedName name="SANPA" localSheetId="5">[5]DAT2!#REF!</definedName>
    <definedName name="SANPA">[6]DAT2!#REF!</definedName>
    <definedName name="SANRA" localSheetId="0">[1]DAT2!#REF!</definedName>
    <definedName name="SANRA" localSheetId="2">[2]DAT2!#REF!</definedName>
    <definedName name="SANRA" localSheetId="3">[3]DAT2!#REF!</definedName>
    <definedName name="SANRA" localSheetId="4">[4]DAT2!#REF!</definedName>
    <definedName name="SANRA" localSheetId="5">[5]DAT2!#REF!</definedName>
    <definedName name="SANRA">[6]DAT2!#REF!</definedName>
    <definedName name="SANRAF" localSheetId="0">[1]DAT2!#REF!</definedName>
    <definedName name="SANRAF" localSheetId="2">[2]DAT2!#REF!</definedName>
    <definedName name="SANRAF" localSheetId="3">[3]DAT2!#REF!</definedName>
    <definedName name="SANRAF" localSheetId="4">[4]DAT2!#REF!</definedName>
    <definedName name="SANRAF" localSheetId="5">[5]DAT2!#REF!</definedName>
    <definedName name="SANRAF">[6]DAT2!#REF!</definedName>
    <definedName name="SANTA" localSheetId="0">[1]DAT2!#REF!</definedName>
    <definedName name="SANTA" localSheetId="2">[2]DAT2!#REF!</definedName>
    <definedName name="SANTA" localSheetId="3">[3]DAT2!#REF!</definedName>
    <definedName name="SANTA" localSheetId="4">[4]DAT2!#REF!</definedName>
    <definedName name="SANTA" localSheetId="5">[5]DAT2!#REF!</definedName>
    <definedName name="SANTA">[6]DAT2!#REF!</definedName>
    <definedName name="SANTABA" localSheetId="0">[1]DAT2!#REF!</definedName>
    <definedName name="SANTABA" localSheetId="2">[2]DAT2!#REF!</definedName>
    <definedName name="SANTABA" localSheetId="3">[3]DAT2!#REF!</definedName>
    <definedName name="SANTABA" localSheetId="4">[4]DAT2!#REF!</definedName>
    <definedName name="SANTABA" localSheetId="5">[5]DAT2!#REF!</definedName>
    <definedName name="SANTABA">[6]DAT2!#REF!</definedName>
    <definedName name="SANTACRU" localSheetId="0">[1]DAT2!#REF!</definedName>
    <definedName name="SANTACRU" localSheetId="2">[2]DAT2!#REF!</definedName>
    <definedName name="SANTACRU" localSheetId="3">[3]DAT2!#REF!</definedName>
    <definedName name="SANTACRU" localSheetId="4">[4]DAT2!#REF!</definedName>
    <definedName name="SANTACRU" localSheetId="5">[5]DAT2!#REF!</definedName>
    <definedName name="SANTACRU">[6]DAT2!#REF!</definedName>
    <definedName name="SANTODO" localSheetId="0">[1]DAT2!#REF!</definedName>
    <definedName name="SANTODO" localSheetId="2">[2]DAT2!#REF!</definedName>
    <definedName name="SANTODO" localSheetId="3">[3]DAT2!#REF!</definedName>
    <definedName name="SANTODO" localSheetId="4">[4]DAT2!#REF!</definedName>
    <definedName name="SANTODO" localSheetId="5">[5]DAT2!#REF!</definedName>
    <definedName name="SANTODO">[6]DAT2!#REF!</definedName>
    <definedName name="SAR" localSheetId="0">[1]DAT2!#REF!</definedName>
    <definedName name="SAR" localSheetId="2">[2]DAT2!#REF!</definedName>
    <definedName name="SAR" localSheetId="3">[3]DAT2!#REF!</definedName>
    <definedName name="SAR" localSheetId="4">[4]DAT2!#REF!</definedName>
    <definedName name="SAR" localSheetId="5">[5]DAT2!#REF!</definedName>
    <definedName name="SAR">[6]DAT2!#REF!</definedName>
    <definedName name="SARAP" localSheetId="0">[1]DAT2!#REF!</definedName>
    <definedName name="SARAP" localSheetId="2">[2]DAT2!#REF!</definedName>
    <definedName name="SARAP" localSheetId="3">[3]DAT2!#REF!</definedName>
    <definedName name="SARAP" localSheetId="4">[4]DAT2!#REF!</definedName>
    <definedName name="SARAP" localSheetId="5">[5]DAT2!#REF!</definedName>
    <definedName name="SARAP">[6]DAT2!#REF!</definedName>
    <definedName name="SIQUIRR" localSheetId="0">[1]DAT2!#REF!</definedName>
    <definedName name="SIQUIRR" localSheetId="2">[2]DAT2!#REF!</definedName>
    <definedName name="SIQUIRR" localSheetId="3">[3]DAT2!#REF!</definedName>
    <definedName name="SIQUIRR" localSheetId="4">[4]DAT2!#REF!</definedName>
    <definedName name="SIQUIRR" localSheetId="5">[5]DAT2!#REF!</definedName>
    <definedName name="SIQUIRR">[6]DAT2!#REF!</definedName>
    <definedName name="TALAMA" localSheetId="0">[1]DAT2!#REF!</definedName>
    <definedName name="TALAMA" localSheetId="2">[2]DAT2!#REF!</definedName>
    <definedName name="TALAMA" localSheetId="3">[3]DAT2!#REF!</definedName>
    <definedName name="TALAMA" localSheetId="4">[4]DAT2!#REF!</definedName>
    <definedName name="TALAMA" localSheetId="5">[5]DAT2!#REF!</definedName>
    <definedName name="TALAMA">[6]DAT2!#REF!</definedName>
    <definedName name="TARRAZ" localSheetId="0">[1]DAT2!#REF!</definedName>
    <definedName name="TARRAZ" localSheetId="2">[2]DAT2!#REF!</definedName>
    <definedName name="TARRAZ" localSheetId="3">[3]DAT2!#REF!</definedName>
    <definedName name="TARRAZ" localSheetId="4">[4]DAT2!#REF!</definedName>
    <definedName name="TARRAZ" localSheetId="5">[5]DAT2!#REF!</definedName>
    <definedName name="TARRAZ">[6]DAT2!#REF!</definedName>
    <definedName name="TIB" localSheetId="0">[1]DAT2!#REF!</definedName>
    <definedName name="TIB" localSheetId="2">[2]DAT2!#REF!</definedName>
    <definedName name="TIB" localSheetId="3">[3]DAT2!#REF!</definedName>
    <definedName name="TIB" localSheetId="4">[4]DAT2!#REF!</definedName>
    <definedName name="TIB" localSheetId="5">[5]DAT2!#REF!</definedName>
    <definedName name="TIB">[6]DAT2!#REF!</definedName>
    <definedName name="TILAR" localSheetId="0">[1]DAT2!#REF!</definedName>
    <definedName name="TILAR" localSheetId="2">[2]DAT2!#REF!</definedName>
    <definedName name="TILAR" localSheetId="3">[3]DAT2!#REF!</definedName>
    <definedName name="TILAR" localSheetId="4">[4]DAT2!#REF!</definedName>
    <definedName name="TILAR" localSheetId="5">[5]DAT2!#REF!</definedName>
    <definedName name="TILAR">[6]DAT2!#REF!</definedName>
    <definedName name="TURR" localSheetId="0">[1]DAT2!#REF!</definedName>
    <definedName name="TURR" localSheetId="2">[2]DAT2!#REF!</definedName>
    <definedName name="TURR" localSheetId="3">[3]DAT2!#REF!</definedName>
    <definedName name="TURR" localSheetId="4">[4]DAT2!#REF!</definedName>
    <definedName name="TURR" localSheetId="5">[5]DAT2!#REF!</definedName>
    <definedName name="TURR">[6]DAT2!#REF!</definedName>
    <definedName name="TURRI" localSheetId="0">[1]DAT2!#REF!</definedName>
    <definedName name="TURRI" localSheetId="2">[2]DAT2!#REF!</definedName>
    <definedName name="TURRI" localSheetId="3">[3]DAT2!#REF!</definedName>
    <definedName name="TURRI" localSheetId="4">[4]DAT2!#REF!</definedName>
    <definedName name="TURRI" localSheetId="5">[5]DAT2!#REF!</definedName>
    <definedName name="TURRI">[6]DAT2!#REF!</definedName>
    <definedName name="U">[6]!Tabla103[#All]</definedName>
    <definedName name="UPA" localSheetId="0">[1]DAT2!#REF!</definedName>
    <definedName name="UPA" localSheetId="2">[2]DAT2!#REF!</definedName>
    <definedName name="UPA" localSheetId="3">[3]DAT2!#REF!</definedName>
    <definedName name="UPA" localSheetId="4">[4]DAT2!#REF!</definedName>
    <definedName name="UPA" localSheetId="5">[5]DAT2!#REF!</definedName>
    <definedName name="UPA">[6]DAT2!#REF!</definedName>
    <definedName name="uu">[6]!Tabla103[#All]</definedName>
    <definedName name="uum">[6]!Tabla103[#All]</definedName>
    <definedName name="uuu">[6]!Tabla103[#All]</definedName>
    <definedName name="VASQUE" localSheetId="0">[1]DAT2!#REF!</definedName>
    <definedName name="VASQUE" localSheetId="2">[2]DAT2!#REF!</definedName>
    <definedName name="VASQUE" localSheetId="3">[3]DAT2!#REF!</definedName>
    <definedName name="VASQUE" localSheetId="4">[4]DAT2!#REF!</definedName>
    <definedName name="VASQUE" localSheetId="5">[5]DAT2!#REF!</definedName>
    <definedName name="VASQUE">[6]DAT2!#REF!</definedName>
    <definedName name="ZAR" localSheetId="0">[1]DAT2!#REF!</definedName>
    <definedName name="ZAR" localSheetId="2">[2]DAT2!#REF!</definedName>
    <definedName name="ZAR" localSheetId="3">[3]DAT2!#REF!</definedName>
    <definedName name="ZAR" localSheetId="4">[4]DAT2!#REF!</definedName>
    <definedName name="ZAR" localSheetId="5">[5]DAT2!#REF!</definedName>
    <definedName name="ZAR">[6]DAT2!#REF!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8" i="5" l="1"/>
  <c r="C6" i="6" s="1"/>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C34" i="4"/>
  <c r="C5" i="6" s="1"/>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C36" i="3"/>
  <c r="C4" i="6" s="1"/>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C34" i="1"/>
  <c r="C3" i="6" s="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C36" i="2"/>
  <c r="C2" i="6" s="1"/>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C7" i="6" l="1"/>
  <c r="D38" i="5"/>
  <c r="D34" i="4"/>
  <c r="D36" i="3"/>
  <c r="D4" i="6" s="1"/>
  <c r="E4" i="6" s="1"/>
  <c r="D34" i="1"/>
  <c r="D3" i="6" s="1"/>
  <c r="E3" i="6" s="1"/>
  <c r="D36" i="2"/>
  <c r="D39" i="5" l="1"/>
  <c r="D6" i="6"/>
  <c r="E6" i="6" s="1"/>
  <c r="D35" i="4"/>
  <c r="D5" i="6"/>
  <c r="E5" i="6" s="1"/>
  <c r="D37" i="3"/>
  <c r="D35" i="1"/>
  <c r="D37" i="2"/>
  <c r="D2" i="6"/>
  <c r="D7" i="6" l="1"/>
  <c r="E7" i="6" s="1"/>
  <c r="E2" i="6"/>
</calcChain>
</file>

<file path=xl/sharedStrings.xml><?xml version="1.0" encoding="utf-8"?>
<sst xmlns="http://schemas.openxmlformats.org/spreadsheetml/2006/main" count="291" uniqueCount="80">
  <si>
    <t>D82O SAN CARLOS OESTE</t>
  </si>
  <si>
    <t>PROGRAMA</t>
  </si>
  <si>
    <t>META</t>
  </si>
  <si>
    <t xml:space="preserve">AVANCE </t>
  </si>
  <si>
    <t>ENERO</t>
  </si>
  <si>
    <t>FEBRERO</t>
  </si>
  <si>
    <t>MARZO</t>
  </si>
  <si>
    <t>ABRIL</t>
  </si>
  <si>
    <t>MAYO</t>
  </si>
  <si>
    <t>JUNIO</t>
  </si>
  <si>
    <t>JULIO</t>
  </si>
  <si>
    <t>AGOSTO</t>
  </si>
  <si>
    <t>SEPTIEMBRE</t>
  </si>
  <si>
    <t>OCTUBRE</t>
  </si>
  <si>
    <t>NOVIEMBRE</t>
  </si>
  <si>
    <t>DICIEMBRE</t>
  </si>
  <si>
    <t>Porcentual</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</si>
  <si>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</si>
  <si>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PSCC</t>
  </si>
  <si>
    <t>Realizar 2 procesos formativos (Cursos de la oferta de los programas DARE - GREAT - MPAS) en Centros Educativos, Uno por año, dentro de los distritos que contemplan las áreas georreferenciadas del informe territorial de la Estrategia Sembremos Seguridad 2024. En caso de no contar con instructor acreditado DARE, se puede cumplir la meta con las charlas de Habilidades para la vida DARE, con el aval del Coordinador Nacional.</t>
  </si>
  <si>
    <t>GREAT/MPAS/DARE</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</si>
  <si>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</si>
  <si>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DARE</t>
  </si>
  <si>
    <t>D82E SAN CARLOS ESTE</t>
  </si>
  <si>
    <t>Cubrir 2 procesos formativos en Centros Educativos (uno por año) ubicados dentro de los distritos que contemplan las áreas georreferenciadas del informe territorial de la Estrategia Sembremos Seguridad 2024, con los cursos del Programa DARE: Curso primaria. Curso Secundaria; un nivel completo por centro educativo, por semestre. En caso de no contar con instructor acreditado, se puede cumplir la meta con las charlas de Habilidades para la vida DARE, con el aval del Coordinador Nacional.</t>
  </si>
  <si>
    <t>Cuatro capacitaciones, en el tema de "Denuncia a búnkers",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</si>
  <si>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</si>
  <si>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D83 ZARCERO</t>
  </si>
  <si>
    <t>Cuatro actividades de Cohesión Social, con las comunidades integradas al Programa de Seguridad Comunitaria, que se localicen, en los distritos que contemplan las área georreferenciadas del informe territorial de la Estrategia Sembremos Seguridad 2024, dos por año, una por semestre.</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</si>
  <si>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</si>
  <si>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Cuatro comercios capacitados e integrados al Programa  de Seguridad Comercial que se localicen, en los distritos que contemplan las área georreferenciadas del informe territorial de la Estrategia Sembremos Seguridad 2024, dos por año, una por semestre.</t>
  </si>
  <si>
    <t>Cuatro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dos por año.</t>
  </si>
  <si>
    <t>D86 GUATUSO</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</si>
  <si>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</si>
  <si>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D87 RIO CUARTO</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</si>
  <si>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</si>
  <si>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Dos estrategias de divulgación (Por medio de brochures, post o imágenes en redes sociales) en el tema de " cultura Preventiva en lugares peligrosos"  dirigidas a las comunidades integradas al Programa de Seguridad Comunitaria que se localicen, en los distritos que contemplan las área georreferenciadas del informe territorial de la Estrategia Sembremos Seguridad 2024, una por año.</t>
  </si>
  <si>
    <t>Delegación</t>
  </si>
  <si>
    <t>Promedio Regional</t>
  </si>
  <si>
    <t>SAN CARLOS ESTE</t>
  </si>
  <si>
    <t>SAN CARLOS OESTE</t>
  </si>
  <si>
    <t>ZARCERO</t>
  </si>
  <si>
    <t>GUATUSO</t>
  </si>
  <si>
    <t>RIO CUARTO</t>
  </si>
  <si>
    <t>D82E</t>
  </si>
  <si>
    <t>D82O</t>
  </si>
  <si>
    <t>D83</t>
  </si>
  <si>
    <t>D86</t>
  </si>
  <si>
    <t>D87</t>
  </si>
  <si>
    <t>AVANCE</t>
  </si>
  <si>
    <t>PLAN DE POLITICA LOCAL E IMPLEMENTACIÓN DE LA POLITICA LOCAL DE SEGURIDAD</t>
  </si>
  <si>
    <t>Conformación Comité</t>
  </si>
  <si>
    <t>Conformación de Comercio</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</si>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</sst>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color rgb="FF000000"/>
      <name val="Calibri"/>
      <family val="2"/>
    </font>
    <font>
      <b/>
      <sz val="9"/>
      <name val="Aptos Narrow"/>
      <family val="2"/>
      <scheme val="minor"/>
    </font>
    <font>
      <b/>
      <sz val="9"/>
      <color theme="1"/>
      <name val="Calibri"/>
      <family val="2"/>
    </font>
    <font>
      <sz val="11"/>
      <color rgb="FFFFC000"/>
      <name val="Aptos Narrow"/>
      <family val="2"/>
      <scheme val="minor"/>
    </font>
    <font>
      <sz val="11"/>
      <name val="Aptos Narrow"/>
      <family val="2"/>
      <scheme val="minor"/>
    </font>
    <font>
      <b/>
      <sz val="11"/>
      <color rgb="FFFFC000"/>
      <name val="Aptos Narrow"/>
      <family val="2"/>
      <scheme val="minor"/>
    </font>
    <font>
      <b/>
      <sz val="11"/>
      <name val="Aptos Narrow"/>
      <family val="2"/>
      <scheme val="minor"/>
    </font>
    <font>
      <b/>
      <sz val="9"/>
      <name val="Arial"/>
      <family val="2"/>
    </font>
  </fonts>
  <fills count="19">
    <fill>
      <patternFill patternType="none"/>
    </fill>
    <fill>
      <patternFill patternType="gray125"/>
    </fill>
    <fill>
      <patternFill patternType="solid">
        <fgColor theme="3"/>
        <bgColor indexed="64"/>
      </patternFill>
    </fill>
    <fill>
      <patternFill patternType="solid">
        <fgColor rgb="FFDDEBF7"/>
        <bgColor indexed="64"/>
      </patternFill>
    </fill>
    <fill>
      <patternFill patternType="solid">
        <fgColor theme="4" tint="0.79998168889431442"/>
        <bgColor indexed="64"/>
      </patternFill>
    </fill>
    <fill>
      <patternFill patternType="solid">
        <fgColor rgb="FFE2EFDA"/>
        <bgColor indexed="64"/>
      </patternFill>
    </fill>
    <fill>
      <patternFill patternType="solid">
        <fgColor theme="9" tint="0.79998168889431442"/>
        <bgColor indexed="64"/>
      </patternFill>
    </fill>
    <fill>
      <patternFill patternType="solid">
        <fgColor rgb="FFFBE4D5"/>
        <bgColor indexed="64"/>
      </patternFill>
    </fill>
    <fill>
      <patternFill patternType="solid">
        <fgColor theme="5" tint="0.79998168889431442"/>
        <bgColor indexed="64"/>
      </patternFill>
    </fill>
    <fill>
      <patternFill patternType="solid">
        <fgColor rgb="FFDEEAF6"/>
        <bgColor indexed="64"/>
      </patternFill>
    </fill>
    <fill>
      <patternFill patternType="solid">
        <fgColor rgb="FFE2EFD9"/>
        <bgColor indexed="64"/>
      </patternFill>
    </fill>
    <fill>
      <patternFill patternType="solid">
        <fgColor theme="1"/>
        <bgColor indexed="64"/>
      </patternFill>
    </fill>
    <fill>
      <patternFill patternType="solid">
        <fgColor rgb="FFFFC000"/>
        <bgColor indexed="64"/>
      </patternFill>
    </fill>
    <fill>
      <patternFill patternType="solid">
        <fgColor theme="3" tint="-0.249977111117893"/>
        <bgColor indexed="64"/>
      </patternFill>
    </fill>
    <fill>
      <patternFill patternType="solid">
        <fgColor theme="4" tint="0.79995117038483843"/>
        <bgColor indexed="64"/>
      </patternFill>
    </fill>
    <fill>
      <patternFill patternType="solid">
        <fgColor theme="9" tint="0.79995117038483843"/>
        <bgColor indexed="64"/>
      </patternFill>
    </fill>
    <fill>
      <patternFill patternType="solid">
        <fgColor theme="5" tint="0.79995117038483843"/>
        <bgColor indexed="64"/>
      </patternFill>
    </fill>
    <fill>
      <patternFill patternType="solid">
        <fgColor theme="4" tint="-0.499984740745262"/>
        <bgColor indexed="64"/>
      </patternFill>
    </fill>
    <fill>
      <patternFill patternType="solid">
        <fgColor theme="0" tint="-0.14999847407452621"/>
        <bgColor indexed="64"/>
      </patternFill>
    </fill>
  </fills>
  <borders count="16">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medium">
        <color theme="0"/>
      </left>
      <right style="medium">
        <color theme="0"/>
      </right>
      <top style="thin">
        <color theme="0"/>
      </top>
      <bottom style="medium">
        <color theme="0"/>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theme="0"/>
      </left>
      <right/>
      <top/>
      <bottom style="medium">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7">
    <xf numFmtId="0" fontId="0" fillId="0" borderId="0" xfId="0"/>
    <xf numFmtId="0" fontId="1" fillId="2" borderId="2" xfId="0" applyFont="1" applyFill="1" applyBorder="1" applyAlignment="1">
      <alignment horizontal="center"/>
    </xf>
    <xf numFmtId="0" fontId="0" fillId="0" borderId="0" xfId="0" applyProtection="1">
      <protection locked="0"/>
    </xf>
    <xf numFmtId="0" fontId="1" fillId="2" borderId="3" xfId="0" applyFont="1" applyFill="1" applyBorder="1" applyAlignment="1">
      <alignment horizontal="center" vertical="center"/>
    </xf>
    <xf numFmtId="0" fontId="3" fillId="0" borderId="0" xfId="0" applyFont="1" applyProtection="1">
      <protection locked="0"/>
    </xf>
    <xf numFmtId="0" fontId="4" fillId="3" borderId="4" xfId="0" applyFont="1" applyFill="1" applyBorder="1" applyAlignment="1">
      <alignment horizontal="left" vertical="center" wrapText="1"/>
    </xf>
    <xf numFmtId="0" fontId="4" fillId="5" borderId="4" xfId="0" applyFont="1" applyFill="1" applyBorder="1" applyAlignment="1">
      <alignment horizontal="left" vertical="center" wrapText="1"/>
    </xf>
    <xf numFmtId="0" fontId="4" fillId="7" borderId="4" xfId="0" applyFont="1" applyFill="1" applyBorder="1" applyAlignment="1">
      <alignment horizontal="left" vertical="center" wrapText="1"/>
    </xf>
    <xf numFmtId="0" fontId="4" fillId="9" borderId="7" xfId="0" applyFont="1" applyFill="1" applyBorder="1" applyAlignment="1">
      <alignment horizontal="left" vertical="center" wrapText="1"/>
    </xf>
    <xf numFmtId="0" fontId="4" fillId="10" borderId="7" xfId="0" applyFont="1" applyFill="1" applyBorder="1" applyAlignment="1">
      <alignment horizontal="left" vertical="center" wrapText="1"/>
    </xf>
    <xf numFmtId="0" fontId="4" fillId="7" borderId="7" xfId="0" applyFont="1" applyFill="1" applyBorder="1" applyAlignment="1">
      <alignment horizontal="left" vertical="center" wrapText="1"/>
    </xf>
    <xf numFmtId="0" fontId="6" fillId="9" borderId="7" xfId="0" applyFont="1" applyFill="1" applyBorder="1" applyAlignment="1">
      <alignment horizontal="left" vertical="center" wrapText="1"/>
    </xf>
    <xf numFmtId="0" fontId="9" fillId="2" borderId="8" xfId="0" applyFont="1" applyFill="1" applyBorder="1"/>
    <xf numFmtId="0" fontId="7" fillId="11" borderId="0" xfId="0" applyFont="1" applyFill="1" applyAlignment="1">
      <alignment horizontal="center"/>
    </xf>
    <xf numFmtId="0" fontId="0" fillId="0" borderId="4" xfId="0" applyBorder="1" applyAlignment="1">
      <alignment horizontal="center"/>
    </xf>
    <xf numFmtId="1" fontId="0" fillId="0" borderId="4" xfId="0" applyNumberFormat="1" applyBorder="1" applyAlignment="1">
      <alignment horizontal="center"/>
    </xf>
    <xf numFmtId="0" fontId="2" fillId="12" borderId="0" xfId="0" applyFont="1" applyFill="1" applyAlignment="1">
      <alignment horizontal="center"/>
    </xf>
    <xf numFmtId="0" fontId="10" fillId="0" borderId="4" xfId="0" applyFont="1" applyFill="1" applyBorder="1" applyAlignment="1">
      <alignment horizontal="center"/>
    </xf>
    <xf numFmtId="0" fontId="8" fillId="0" borderId="4" xfId="0" applyFont="1" applyFill="1" applyBorder="1"/>
    <xf numFmtId="0" fontId="1" fillId="2" borderId="0" xfId="0" applyFont="1" applyFill="1" applyAlignment="1">
      <alignment horizontal="center"/>
    </xf>
    <xf numFmtId="1" fontId="5" fillId="0" borderId="5" xfId="0" applyNumberFormat="1" applyFont="1" applyBorder="1" applyAlignment="1">
      <alignment horizontal="center" vertical="center" wrapText="1"/>
    </xf>
    <xf numFmtId="0" fontId="1" fillId="2" borderId="0" xfId="0" applyFont="1" applyFill="1" applyAlignment="1">
      <alignment horizontal="center"/>
    </xf>
    <xf numFmtId="0" fontId="3" fillId="13" borderId="0" xfId="0" applyFont="1" applyFill="1" applyProtection="1">
      <protection locked="0"/>
    </xf>
    <xf numFmtId="0" fontId="5" fillId="14" borderId="4" xfId="0" applyFont="1" applyFill="1" applyBorder="1" applyAlignment="1">
      <alignment horizontal="center" vertical="center" textRotation="90" wrapText="1"/>
    </xf>
    <xf numFmtId="0" fontId="5" fillId="4" borderId="5" xfId="0" applyFont="1" applyFill="1" applyBorder="1" applyAlignment="1">
      <alignment horizontal="center" vertical="center" wrapText="1"/>
    </xf>
    <xf numFmtId="0" fontId="2" fillId="0" borderId="4" xfId="0" applyFont="1" applyBorder="1" applyAlignment="1" applyProtection="1">
      <alignment horizontal="center" vertical="center"/>
      <protection locked="0"/>
    </xf>
    <xf numFmtId="0" fontId="5" fillId="15" borderId="4" xfId="0" applyFont="1" applyFill="1" applyBorder="1" applyAlignment="1">
      <alignment horizontal="center" vertical="center" textRotation="90" wrapText="1"/>
    </xf>
    <xf numFmtId="0" fontId="5" fillId="6" borderId="6" xfId="0" applyFont="1" applyFill="1" applyBorder="1" applyAlignment="1">
      <alignment horizontal="center" vertical="center" wrapText="1"/>
    </xf>
    <xf numFmtId="0" fontId="5" fillId="16" borderId="4" xfId="0" applyFont="1" applyFill="1" applyBorder="1" applyAlignment="1">
      <alignment horizontal="center" vertical="center" textRotation="90" wrapText="1"/>
    </xf>
    <xf numFmtId="0" fontId="5" fillId="8" borderId="6"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1" fillId="17" borderId="11" xfId="0" applyFont="1" applyFill="1" applyBorder="1" applyAlignment="1">
      <alignment horizontal="left" vertical="center" wrapText="1"/>
    </xf>
    <xf numFmtId="0" fontId="0" fillId="0" borderId="4" xfId="0" applyBorder="1" applyProtection="1">
      <protection locked="0"/>
    </xf>
    <xf numFmtId="0" fontId="11" fillId="18" borderId="13" xfId="0" applyFont="1" applyFill="1" applyBorder="1" applyAlignment="1">
      <alignment horizontal="left" vertical="center" wrapText="1"/>
    </xf>
    <xf numFmtId="0" fontId="11" fillId="18" borderId="15" xfId="0" applyFont="1" applyFill="1" applyBorder="1" applyAlignment="1">
      <alignment horizontal="left" vertical="center" wrapText="1"/>
    </xf>
    <xf numFmtId="0" fontId="2" fillId="0" borderId="4" xfId="0" applyFont="1" applyBorder="1" applyAlignment="1" applyProtection="1">
      <alignment horizontal="center"/>
      <protection locked="0"/>
    </xf>
    <xf numFmtId="1" fontId="2" fillId="0" borderId="4" xfId="0" applyNumberFormat="1" applyFont="1" applyBorder="1" applyAlignment="1" applyProtection="1">
      <alignment horizontal="center" vertical="center"/>
      <protection locked="0"/>
    </xf>
    <xf numFmtId="0" fontId="2" fillId="0" borderId="0" xfId="0" applyFont="1" applyProtection="1">
      <protection locked="0"/>
    </xf>
    <xf numFmtId="10" fontId="1" fillId="17" borderId="0" xfId="0" applyNumberFormat="1" applyFont="1" applyFill="1" applyAlignment="1" applyProtection="1">
      <alignment horizontal="center"/>
      <protection locked="0"/>
    </xf>
    <xf numFmtId="10" fontId="0" fillId="0" borderId="4" xfId="0" applyNumberFormat="1" applyBorder="1" applyAlignment="1">
      <alignment horizontal="center" vertical="center"/>
    </xf>
    <xf numFmtId="10" fontId="0" fillId="0" borderId="4" xfId="0" applyNumberFormat="1" applyBorder="1" applyAlignment="1">
      <alignment horizontal="center"/>
    </xf>
    <xf numFmtId="0" fontId="1" fillId="2" borderId="1" xfId="0" applyFont="1" applyFill="1" applyBorder="1" applyAlignment="1">
      <alignment horizontal="center" vertical="center" textRotation="90"/>
    </xf>
    <xf numFmtId="0" fontId="1" fillId="2" borderId="9" xfId="0" applyFont="1" applyFill="1" applyBorder="1" applyAlignment="1">
      <alignment horizontal="center" vertical="center" textRotation="90"/>
    </xf>
    <xf numFmtId="0" fontId="5" fillId="4" borderId="10" xfId="0" applyFont="1" applyFill="1" applyBorder="1" applyAlignment="1">
      <alignment horizontal="center" vertical="center" textRotation="90" wrapText="1"/>
    </xf>
    <xf numFmtId="0" fontId="5" fillId="4" borderId="12" xfId="0" applyFont="1" applyFill="1" applyBorder="1" applyAlignment="1">
      <alignment horizontal="center" vertical="center" textRotation="90" wrapText="1"/>
    </xf>
    <xf numFmtId="0" fontId="5" fillId="4" borderId="14" xfId="0" applyFont="1" applyFill="1" applyBorder="1" applyAlignment="1">
      <alignment horizontal="center" vertical="center" textRotation="90" wrapText="1"/>
    </xf>
    <xf numFmtId="0" fontId="7" fillId="11" borderId="4" xfId="0" applyFont="1" applyFill="1" applyBorder="1" applyAlignment="1">
      <alignment horizontal="center"/>
    </xf>
  </cellXfs>
  <cellStyles count="1">
    <cellStyle name="Normal" xfId="0" builtinId="0"/>
  </cellStyles>
  <dxfs count="1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8/D82E%20San%20Carlos%20Este%20%20PUMI%20%20JUNIO%20(1)%20(1).xlsx?0F7A3917" TargetMode="External"/><Relationship Id="rId1" Type="http://schemas.openxmlformats.org/officeDocument/2006/relationships/externalLinkPath" Target="file:///\\0F7A3917\D82E%20San%20Carlos%20Este%20%20PUMI%20%20JUNIO%20(1)%20(1).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8/D83%20Zarcero%20JUNIO%202025%20(1).xlsx?0F7A3917" TargetMode="External"/><Relationship Id="rId1" Type="http://schemas.openxmlformats.org/officeDocument/2006/relationships/externalLinkPath" Target="file:///\\0F7A3917\D83%20Zarcero%20JUNIO%202025%20(1).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8/D86%20PUMI%20Guatuso-Junio.xlsx?0F7A3917" TargetMode="External"/><Relationship Id="rId1" Type="http://schemas.openxmlformats.org/officeDocument/2006/relationships/externalLinkPath" Target="file:///\\0F7A3917\D86%20PUMI%20Guatuso-Junio.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8/D87%20Rio%20Cuarto%20Junio%20(1).xlsx?0F7A3917" TargetMode="External"/><Relationship Id="rId1" Type="http://schemas.openxmlformats.org/officeDocument/2006/relationships/externalLinkPath" Target="file:///\\0F7A3917\D87%20Rio%20Cuarto%20Junio%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1%20Carmen%20PUMI%202025%20Junio.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8/5-D82O%20San%20Carlos%20Oeste%20%20PUMI-2025%20lI%20junio%20(1)%20(2).xlsx?0F7A3917" TargetMode="External"/><Relationship Id="rId1" Type="http://schemas.openxmlformats.org/officeDocument/2006/relationships/externalLinkPath" Target="file:///\\0F7A3917\5-D82O%20San%20Carlos%20Oeste%20%20PUMI-2025%20lI%20junio%20(1)%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82E SAN CARLOS ESTE PSCC "/>
      <sheetName val="D82E SAN CARLOS ESTE VIF"/>
      <sheetName val="D82E SAN CARLOS ESTE DARE"/>
      <sheetName val="D82E SAN CARLOS ESTE GREAT"/>
      <sheetName val="D82E SAN CARLOS ESTE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83 ZARCERO PSCC "/>
      <sheetName val="D83 ZARCERO VIF"/>
      <sheetName val="D83 ZARCERO DARE"/>
      <sheetName val="D83 ZARCERO GREAT"/>
      <sheetName val="D83 ZARCER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86 GUATUSO PSCC "/>
      <sheetName val="D86 GUATUSO VIF"/>
      <sheetName val="D86 GUATUSO DARE"/>
      <sheetName val="D86 GUATUSO GREAT"/>
      <sheetName val="D86 GUATUS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87 RIO CUARTO PSCC "/>
      <sheetName val="D87 RIO CUARTO VIF"/>
      <sheetName val="D87 RIO CUARTO DARE"/>
      <sheetName val="D87 RIO CUARTO GREAT"/>
      <sheetName val="D87 RIO CUART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82O SAN CARLOS OESTE PSCC "/>
      <sheetName val="D82O SAN CARLOS OESTE VIF"/>
      <sheetName val="D82O SAN CARLOS OESTE DARE"/>
      <sheetName val="D82O SAN CARLOS OESTE GREAT"/>
      <sheetName val="D82O SAN CARLOS OESTE MPAS"/>
      <sheetName val="Totales PDIF"/>
      <sheetName val="Totales Política Pública"/>
      <sheetName val="DAT1"/>
      <sheetName val="DAT2"/>
      <sheetName val="5-D82O San Carlos Oeste  PUMI-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37"/>
  <sheetViews>
    <sheetView zoomScale="70" zoomScaleNormal="70" workbookViewId="0">
      <selection activeCell="N22" sqref="N22"/>
    </sheetView>
  </sheetViews>
  <sheetFormatPr baseColWidth="10" defaultColWidth="11.42578125" defaultRowHeight="15" x14ac:dyDescent="0.25"/>
  <cols>
    <col min="1" max="1" width="9.7109375" style="2" customWidth="1"/>
    <col min="2" max="2" width="106.5703125" style="2" customWidth="1"/>
    <col min="3" max="3" width="11.42578125" style="2"/>
    <col min="4" max="4" width="22.42578125" style="2" customWidth="1"/>
    <col min="5" max="9" width="17.28515625" style="2" customWidth="1"/>
    <col min="10" max="16384" width="11.42578125" style="2"/>
  </cols>
  <sheetData>
    <row r="1" spans="1:16" ht="61.5" customHeight="1" x14ac:dyDescent="0.25">
      <c r="A1" s="41" t="s">
        <v>1</v>
      </c>
      <c r="B1" s="19" t="s">
        <v>23</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2"/>
      <c r="B2" s="19"/>
      <c r="C2" s="3">
        <v>2026</v>
      </c>
      <c r="D2" s="3" t="s">
        <v>16</v>
      </c>
      <c r="E2" s="22"/>
      <c r="F2" s="22"/>
      <c r="G2" s="22"/>
      <c r="H2" s="22"/>
      <c r="I2" s="22"/>
      <c r="J2" s="22"/>
      <c r="K2" s="22"/>
      <c r="L2" s="22"/>
      <c r="M2" s="22"/>
      <c r="N2" s="22"/>
      <c r="O2" s="22"/>
      <c r="P2" s="22"/>
    </row>
    <row r="3" spans="1:16" ht="81" customHeight="1" x14ac:dyDescent="0.25">
      <c r="A3" s="23" t="s">
        <v>18</v>
      </c>
      <c r="B3" s="5" t="s">
        <v>17</v>
      </c>
      <c r="C3" s="24">
        <v>2</v>
      </c>
      <c r="D3" s="20">
        <f t="shared" ref="D3:D7" si="0">SUM(E3:P3)</f>
        <v>1</v>
      </c>
      <c r="E3" s="25"/>
      <c r="F3" s="25"/>
      <c r="G3" s="25"/>
      <c r="H3" s="25"/>
      <c r="I3" s="25"/>
      <c r="J3" s="25">
        <v>1</v>
      </c>
      <c r="K3" s="25"/>
      <c r="L3" s="25"/>
      <c r="M3" s="25"/>
      <c r="N3" s="25"/>
      <c r="O3" s="25"/>
      <c r="P3" s="25"/>
    </row>
    <row r="4" spans="1:16" ht="81" customHeight="1" x14ac:dyDescent="0.25">
      <c r="A4" s="26" t="s">
        <v>20</v>
      </c>
      <c r="B4" s="6" t="s">
        <v>19</v>
      </c>
      <c r="C4" s="27">
        <v>2</v>
      </c>
      <c r="D4" s="20">
        <f t="shared" si="0"/>
        <v>0</v>
      </c>
      <c r="E4" s="25"/>
      <c r="F4" s="25">
        <v>0</v>
      </c>
      <c r="G4" s="25">
        <v>0</v>
      </c>
      <c r="H4" s="25">
        <v>0</v>
      </c>
      <c r="I4" s="25"/>
      <c r="J4" s="25"/>
      <c r="K4" s="25"/>
      <c r="L4" s="25"/>
      <c r="M4" s="25"/>
      <c r="N4" s="25"/>
      <c r="O4" s="25"/>
      <c r="P4" s="25"/>
    </row>
    <row r="5" spans="1:16" ht="81" customHeight="1" x14ac:dyDescent="0.25">
      <c r="A5" s="28" t="s">
        <v>22</v>
      </c>
      <c r="B5" s="7" t="s">
        <v>24</v>
      </c>
      <c r="C5" s="29">
        <v>2</v>
      </c>
      <c r="D5" s="20">
        <f t="shared" si="0"/>
        <v>2</v>
      </c>
      <c r="E5" s="25"/>
      <c r="F5" s="25">
        <v>0</v>
      </c>
      <c r="G5" s="25">
        <v>0</v>
      </c>
      <c r="H5" s="25">
        <v>2</v>
      </c>
      <c r="I5" s="25"/>
      <c r="J5" s="25"/>
      <c r="K5" s="25"/>
      <c r="L5" s="25"/>
      <c r="M5" s="25"/>
      <c r="N5" s="25"/>
      <c r="O5" s="25"/>
      <c r="P5" s="25"/>
    </row>
    <row r="6" spans="1:16" ht="81" customHeight="1" x14ac:dyDescent="0.25">
      <c r="A6" s="23" t="s">
        <v>18</v>
      </c>
      <c r="B6" s="5" t="s">
        <v>25</v>
      </c>
      <c r="C6" s="30">
        <v>2</v>
      </c>
      <c r="D6" s="20">
        <f t="shared" si="0"/>
        <v>1</v>
      </c>
      <c r="E6" s="25"/>
      <c r="F6" s="25"/>
      <c r="G6" s="25">
        <v>1</v>
      </c>
      <c r="H6" s="25"/>
      <c r="I6" s="25"/>
      <c r="J6" s="25"/>
      <c r="K6" s="25"/>
      <c r="L6" s="25"/>
      <c r="M6" s="25"/>
      <c r="N6" s="25"/>
      <c r="O6" s="25"/>
      <c r="P6" s="25"/>
    </row>
    <row r="7" spans="1:16" ht="81" customHeight="1" x14ac:dyDescent="0.25">
      <c r="A7" s="23" t="s">
        <v>18</v>
      </c>
      <c r="B7" s="5" t="s">
        <v>26</v>
      </c>
      <c r="C7" s="30">
        <v>1</v>
      </c>
      <c r="D7" s="20">
        <f t="shared" si="0"/>
        <v>1</v>
      </c>
      <c r="E7" s="25"/>
      <c r="F7" s="25"/>
      <c r="G7" s="25">
        <v>1</v>
      </c>
      <c r="H7" s="25"/>
      <c r="I7" s="25"/>
      <c r="J7" s="25"/>
      <c r="K7" s="25"/>
      <c r="L7" s="25"/>
      <c r="M7" s="25"/>
      <c r="N7" s="25"/>
      <c r="O7" s="25"/>
      <c r="P7" s="25"/>
    </row>
    <row r="8" spans="1:16" ht="28.5" customHeight="1" x14ac:dyDescent="0.25">
      <c r="A8" s="43" t="s">
        <v>50</v>
      </c>
      <c r="B8" s="31" t="s">
        <v>51</v>
      </c>
      <c r="C8" s="30">
        <v>3</v>
      </c>
      <c r="D8" s="20">
        <f t="shared" ref="D8:D35" si="1">SUM(E8:O8)</f>
        <v>0</v>
      </c>
      <c r="E8" s="25"/>
      <c r="F8" s="25"/>
      <c r="G8" s="25"/>
      <c r="H8" s="25"/>
      <c r="I8" s="25"/>
      <c r="J8" s="25"/>
      <c r="K8" s="25"/>
      <c r="L8" s="25"/>
      <c r="M8" s="25"/>
      <c r="N8" s="25"/>
      <c r="O8" s="25"/>
      <c r="P8" s="32"/>
    </row>
    <row r="9" spans="1:16" ht="28.5" customHeight="1" x14ac:dyDescent="0.25">
      <c r="A9" s="44"/>
      <c r="B9" s="31" t="s">
        <v>52</v>
      </c>
      <c r="C9" s="30">
        <v>3</v>
      </c>
      <c r="D9" s="20">
        <f t="shared" si="1"/>
        <v>0</v>
      </c>
      <c r="E9" s="25"/>
      <c r="F9" s="25"/>
      <c r="G9" s="25"/>
      <c r="H9" s="25"/>
      <c r="I9" s="25"/>
      <c r="J9" s="25"/>
      <c r="K9" s="25"/>
      <c r="L9" s="25"/>
      <c r="M9" s="25"/>
      <c r="N9" s="25"/>
      <c r="O9" s="25"/>
      <c r="P9" s="32"/>
    </row>
    <row r="10" spans="1:16" ht="28.5" customHeight="1" x14ac:dyDescent="0.25">
      <c r="A10" s="44"/>
      <c r="B10" s="31" t="s">
        <v>53</v>
      </c>
      <c r="C10" s="30">
        <v>176</v>
      </c>
      <c r="D10" s="20">
        <f t="shared" si="1"/>
        <v>63</v>
      </c>
      <c r="E10" s="25">
        <v>5</v>
      </c>
      <c r="F10" s="25">
        <v>6</v>
      </c>
      <c r="G10" s="25">
        <v>28</v>
      </c>
      <c r="H10" s="25">
        <v>8</v>
      </c>
      <c r="I10" s="25">
        <v>13</v>
      </c>
      <c r="J10" s="25">
        <v>3</v>
      </c>
      <c r="K10" s="25"/>
      <c r="L10" s="25"/>
      <c r="M10" s="25"/>
      <c r="N10" s="25"/>
      <c r="O10" s="25"/>
      <c r="P10" s="32"/>
    </row>
    <row r="11" spans="1:16" ht="28.5" customHeight="1" x14ac:dyDescent="0.25">
      <c r="A11" s="44"/>
      <c r="B11" s="31" t="s">
        <v>54</v>
      </c>
      <c r="C11" s="30">
        <v>99</v>
      </c>
      <c r="D11" s="20">
        <f t="shared" si="1"/>
        <v>71</v>
      </c>
      <c r="E11" s="25"/>
      <c r="F11" s="25"/>
      <c r="G11" s="25">
        <v>10</v>
      </c>
      <c r="H11" s="25">
        <v>55</v>
      </c>
      <c r="I11" s="25">
        <v>6</v>
      </c>
      <c r="J11" s="25"/>
      <c r="K11" s="25"/>
      <c r="L11" s="25"/>
      <c r="M11" s="25"/>
      <c r="N11" s="25"/>
      <c r="O11" s="25"/>
      <c r="P11" s="32"/>
    </row>
    <row r="12" spans="1:16" ht="28.5" customHeight="1" x14ac:dyDescent="0.25">
      <c r="A12" s="44"/>
      <c r="B12" s="31" t="s">
        <v>55</v>
      </c>
      <c r="C12" s="30">
        <v>0</v>
      </c>
      <c r="D12" s="20">
        <f t="shared" si="1"/>
        <v>0</v>
      </c>
      <c r="E12" s="25"/>
      <c r="F12" s="25"/>
      <c r="G12" s="25"/>
      <c r="H12" s="25"/>
      <c r="I12" s="25"/>
      <c r="J12" s="25"/>
      <c r="K12" s="25"/>
      <c r="L12" s="25"/>
      <c r="M12" s="25"/>
      <c r="N12" s="25"/>
      <c r="O12" s="25"/>
      <c r="P12" s="32"/>
    </row>
    <row r="13" spans="1:16" ht="28.5" customHeight="1" x14ac:dyDescent="0.25">
      <c r="A13" s="44"/>
      <c r="B13" s="31" t="s">
        <v>56</v>
      </c>
      <c r="C13" s="30">
        <v>2</v>
      </c>
      <c r="D13" s="20">
        <f t="shared" si="1"/>
        <v>1</v>
      </c>
      <c r="E13" s="25"/>
      <c r="F13" s="25"/>
      <c r="G13" s="25">
        <v>1</v>
      </c>
      <c r="H13" s="25"/>
      <c r="I13" s="25"/>
      <c r="J13" s="25"/>
      <c r="K13" s="25"/>
      <c r="L13" s="25"/>
      <c r="M13" s="25"/>
      <c r="N13" s="25"/>
      <c r="O13" s="25"/>
      <c r="P13" s="32"/>
    </row>
    <row r="14" spans="1:16" ht="28.5" customHeight="1" x14ac:dyDescent="0.25">
      <c r="A14" s="44"/>
      <c r="B14" s="31" t="s">
        <v>57</v>
      </c>
      <c r="C14" s="30">
        <v>0</v>
      </c>
      <c r="D14" s="20">
        <f t="shared" si="1"/>
        <v>0</v>
      </c>
      <c r="E14" s="25"/>
      <c r="F14" s="25"/>
      <c r="G14" s="25"/>
      <c r="H14" s="25"/>
      <c r="I14" s="25"/>
      <c r="J14" s="25"/>
      <c r="K14" s="25"/>
      <c r="L14" s="25"/>
      <c r="M14" s="25"/>
      <c r="N14" s="25"/>
      <c r="O14" s="25"/>
      <c r="P14" s="32"/>
    </row>
    <row r="15" spans="1:16" ht="28.5" customHeight="1" x14ac:dyDescent="0.25">
      <c r="A15" s="44"/>
      <c r="B15" s="31" t="s">
        <v>58</v>
      </c>
      <c r="C15" s="30">
        <v>0</v>
      </c>
      <c r="D15" s="20">
        <f t="shared" si="1"/>
        <v>0</v>
      </c>
      <c r="E15" s="25"/>
      <c r="F15" s="25"/>
      <c r="G15" s="25"/>
      <c r="H15" s="25"/>
      <c r="I15" s="25"/>
      <c r="J15" s="25"/>
      <c r="K15" s="25"/>
      <c r="L15" s="25"/>
      <c r="M15" s="25"/>
      <c r="N15" s="25"/>
      <c r="O15" s="25"/>
      <c r="P15" s="32"/>
    </row>
    <row r="16" spans="1:16" ht="28.5" customHeight="1" x14ac:dyDescent="0.25">
      <c r="A16" s="44"/>
      <c r="B16" s="31" t="s">
        <v>59</v>
      </c>
      <c r="C16" s="30">
        <v>0</v>
      </c>
      <c r="D16" s="20">
        <f t="shared" si="1"/>
        <v>0</v>
      </c>
      <c r="E16" s="25"/>
      <c r="F16" s="25"/>
      <c r="G16" s="25"/>
      <c r="H16" s="25"/>
      <c r="I16" s="25"/>
      <c r="J16" s="25"/>
      <c r="K16" s="25"/>
      <c r="L16" s="25"/>
      <c r="M16" s="25"/>
      <c r="N16" s="25"/>
      <c r="O16" s="25"/>
      <c r="P16" s="32"/>
    </row>
    <row r="17" spans="1:16" ht="28.5" customHeight="1" x14ac:dyDescent="0.25">
      <c r="A17" s="44"/>
      <c r="B17" s="31" t="s">
        <v>60</v>
      </c>
      <c r="C17" s="30">
        <v>0</v>
      </c>
      <c r="D17" s="20">
        <f t="shared" si="1"/>
        <v>0</v>
      </c>
      <c r="E17" s="25"/>
      <c r="F17" s="25"/>
      <c r="G17" s="25"/>
      <c r="H17" s="25"/>
      <c r="I17" s="25"/>
      <c r="J17" s="25"/>
      <c r="K17" s="25"/>
      <c r="L17" s="25"/>
      <c r="M17" s="25"/>
      <c r="N17" s="25"/>
      <c r="O17" s="25"/>
      <c r="P17" s="32"/>
    </row>
    <row r="18" spans="1:16" ht="28.5" customHeight="1" x14ac:dyDescent="0.25">
      <c r="A18" s="44"/>
      <c r="B18" s="31" t="s">
        <v>61</v>
      </c>
      <c r="C18" s="30">
        <v>0</v>
      </c>
      <c r="D18" s="20">
        <f t="shared" si="1"/>
        <v>0</v>
      </c>
      <c r="E18" s="25"/>
      <c r="F18" s="25"/>
      <c r="G18" s="25"/>
      <c r="H18" s="25"/>
      <c r="I18" s="25"/>
      <c r="J18" s="25"/>
      <c r="K18" s="25"/>
      <c r="L18" s="25"/>
      <c r="M18" s="25"/>
      <c r="N18" s="25"/>
      <c r="O18" s="25"/>
      <c r="P18" s="32"/>
    </row>
    <row r="19" spans="1:16" ht="28.5" customHeight="1" x14ac:dyDescent="0.25">
      <c r="A19" s="44"/>
      <c r="B19" s="31" t="s">
        <v>62</v>
      </c>
      <c r="C19" s="30">
        <v>0</v>
      </c>
      <c r="D19" s="20">
        <f t="shared" si="1"/>
        <v>0</v>
      </c>
      <c r="E19" s="25"/>
      <c r="F19" s="25"/>
      <c r="G19" s="25"/>
      <c r="H19" s="25"/>
      <c r="I19" s="25"/>
      <c r="J19" s="25"/>
      <c r="K19" s="25"/>
      <c r="L19" s="25"/>
      <c r="M19" s="25"/>
      <c r="N19" s="25"/>
      <c r="O19" s="25"/>
      <c r="P19" s="32"/>
    </row>
    <row r="20" spans="1:16" ht="28.5" customHeight="1" x14ac:dyDescent="0.25">
      <c r="A20" s="44"/>
      <c r="B20" s="31" t="s">
        <v>63</v>
      </c>
      <c r="C20" s="30">
        <v>0</v>
      </c>
      <c r="D20" s="20">
        <f t="shared" si="1"/>
        <v>0</v>
      </c>
      <c r="E20" s="25"/>
      <c r="F20" s="25"/>
      <c r="G20" s="25"/>
      <c r="H20" s="25"/>
      <c r="I20" s="25"/>
      <c r="J20" s="25"/>
      <c r="K20" s="25"/>
      <c r="L20" s="25"/>
      <c r="M20" s="25"/>
      <c r="N20" s="25"/>
      <c r="O20" s="25"/>
      <c r="P20" s="32"/>
    </row>
    <row r="21" spans="1:16" ht="28.5" customHeight="1" x14ac:dyDescent="0.25">
      <c r="A21" s="44"/>
      <c r="B21" s="31" t="s">
        <v>64</v>
      </c>
      <c r="C21" s="30">
        <v>2</v>
      </c>
      <c r="D21" s="20">
        <f t="shared" si="1"/>
        <v>2</v>
      </c>
      <c r="E21" s="25"/>
      <c r="F21" s="25"/>
      <c r="G21" s="25"/>
      <c r="H21" s="25"/>
      <c r="I21" s="25">
        <v>1</v>
      </c>
      <c r="J21" s="25">
        <v>1</v>
      </c>
      <c r="K21" s="25"/>
      <c r="L21" s="25"/>
      <c r="M21" s="25"/>
      <c r="N21" s="25"/>
      <c r="O21" s="25"/>
      <c r="P21" s="32"/>
    </row>
    <row r="22" spans="1:16" ht="28.5" customHeight="1" x14ac:dyDescent="0.25">
      <c r="A22" s="44"/>
      <c r="B22" s="31" t="s">
        <v>65</v>
      </c>
      <c r="C22" s="30">
        <v>323</v>
      </c>
      <c r="D22" s="20">
        <f t="shared" si="1"/>
        <v>137</v>
      </c>
      <c r="E22" s="25">
        <v>42</v>
      </c>
      <c r="F22" s="25">
        <v>41</v>
      </c>
      <c r="G22" s="25">
        <v>11</v>
      </c>
      <c r="H22" s="25"/>
      <c r="I22" s="25">
        <v>43</v>
      </c>
      <c r="J22" s="25"/>
      <c r="K22" s="25"/>
      <c r="L22" s="25"/>
      <c r="M22" s="25"/>
      <c r="N22" s="25"/>
      <c r="O22" s="25"/>
      <c r="P22" s="32"/>
    </row>
    <row r="23" spans="1:16" ht="28.5" customHeight="1" x14ac:dyDescent="0.25">
      <c r="A23" s="44"/>
      <c r="B23" s="31" t="s">
        <v>66</v>
      </c>
      <c r="C23" s="30">
        <v>2</v>
      </c>
      <c r="D23" s="20">
        <f t="shared" si="1"/>
        <v>1</v>
      </c>
      <c r="E23" s="25"/>
      <c r="F23" s="25"/>
      <c r="G23" s="25"/>
      <c r="H23" s="25"/>
      <c r="I23" s="25"/>
      <c r="J23" s="25">
        <v>1</v>
      </c>
      <c r="K23" s="25"/>
      <c r="L23" s="25"/>
      <c r="M23" s="25"/>
      <c r="N23" s="25"/>
      <c r="O23" s="25"/>
      <c r="P23" s="32"/>
    </row>
    <row r="24" spans="1:16" ht="24" customHeight="1" x14ac:dyDescent="0.25">
      <c r="A24" s="44"/>
      <c r="B24" s="33" t="s">
        <v>67</v>
      </c>
      <c r="C24" s="30">
        <v>7</v>
      </c>
      <c r="D24" s="20">
        <f t="shared" si="1"/>
        <v>7</v>
      </c>
      <c r="E24" s="25"/>
      <c r="F24" s="25">
        <v>6</v>
      </c>
      <c r="G24" s="25"/>
      <c r="H24" s="25">
        <v>1</v>
      </c>
      <c r="I24" s="25"/>
      <c r="J24" s="25"/>
      <c r="K24" s="25"/>
      <c r="L24" s="25"/>
      <c r="M24" s="25"/>
      <c r="N24" s="25"/>
      <c r="O24" s="25"/>
      <c r="P24" s="32"/>
    </row>
    <row r="25" spans="1:16" ht="24" customHeight="1" x14ac:dyDescent="0.25">
      <c r="A25" s="44"/>
      <c r="B25" s="33" t="s">
        <v>68</v>
      </c>
      <c r="C25" s="30">
        <v>7</v>
      </c>
      <c r="D25" s="20">
        <f t="shared" si="1"/>
        <v>1</v>
      </c>
      <c r="E25" s="25"/>
      <c r="F25" s="25"/>
      <c r="G25" s="25"/>
      <c r="H25" s="25">
        <v>1</v>
      </c>
      <c r="I25" s="25"/>
      <c r="J25" s="25"/>
      <c r="K25" s="25"/>
      <c r="L25" s="25"/>
      <c r="M25" s="25"/>
      <c r="N25" s="25"/>
      <c r="O25" s="25"/>
      <c r="P25" s="32"/>
    </row>
    <row r="26" spans="1:16" ht="24" customHeight="1" x14ac:dyDescent="0.25">
      <c r="A26" s="44"/>
      <c r="B26" s="33" t="s">
        <v>69</v>
      </c>
      <c r="C26" s="30">
        <v>7</v>
      </c>
      <c r="D26" s="20">
        <f t="shared" si="1"/>
        <v>7</v>
      </c>
      <c r="E26" s="25"/>
      <c r="F26" s="25"/>
      <c r="G26" s="25"/>
      <c r="H26" s="25"/>
      <c r="I26" s="25">
        <v>7</v>
      </c>
      <c r="J26" s="25"/>
      <c r="K26" s="25"/>
      <c r="L26" s="25"/>
      <c r="M26" s="25"/>
      <c r="N26" s="25"/>
      <c r="O26" s="25"/>
      <c r="P26" s="32"/>
    </row>
    <row r="27" spans="1:16" ht="24" customHeight="1" x14ac:dyDescent="0.25">
      <c r="A27" s="44"/>
      <c r="B27" s="33" t="s">
        <v>70</v>
      </c>
      <c r="C27" s="30">
        <v>7</v>
      </c>
      <c r="D27" s="20">
        <f t="shared" si="1"/>
        <v>1</v>
      </c>
      <c r="E27" s="25"/>
      <c r="F27" s="25"/>
      <c r="G27" s="25"/>
      <c r="H27" s="25"/>
      <c r="I27" s="25"/>
      <c r="J27" s="25">
        <v>1</v>
      </c>
      <c r="K27" s="25"/>
      <c r="L27" s="25"/>
      <c r="M27" s="25"/>
      <c r="N27" s="25"/>
      <c r="O27" s="25"/>
      <c r="P27" s="32"/>
    </row>
    <row r="28" spans="1:16" ht="24" customHeight="1" x14ac:dyDescent="0.25">
      <c r="A28" s="44"/>
      <c r="B28" s="33" t="s">
        <v>71</v>
      </c>
      <c r="C28" s="30">
        <v>7</v>
      </c>
      <c r="D28" s="20">
        <f t="shared" si="1"/>
        <v>0</v>
      </c>
      <c r="E28" s="25"/>
      <c r="F28" s="25"/>
      <c r="G28" s="25"/>
      <c r="H28" s="25"/>
      <c r="I28" s="25"/>
      <c r="J28" s="25"/>
      <c r="K28" s="25"/>
      <c r="L28" s="25"/>
      <c r="M28" s="25"/>
      <c r="N28" s="25"/>
      <c r="O28" s="25"/>
      <c r="P28" s="32"/>
    </row>
    <row r="29" spans="1:16" ht="24" customHeight="1" x14ac:dyDescent="0.25">
      <c r="A29" s="44"/>
      <c r="B29" s="33" t="s">
        <v>72</v>
      </c>
      <c r="C29" s="30">
        <v>1</v>
      </c>
      <c r="D29" s="20">
        <f t="shared" si="1"/>
        <v>0</v>
      </c>
      <c r="E29" s="25"/>
      <c r="F29" s="25"/>
      <c r="G29" s="25"/>
      <c r="H29" s="25"/>
      <c r="I29" s="25"/>
      <c r="J29" s="25"/>
      <c r="K29" s="25"/>
      <c r="L29" s="25"/>
      <c r="M29" s="25"/>
      <c r="N29" s="25"/>
      <c r="O29" s="25"/>
      <c r="P29" s="32"/>
    </row>
    <row r="30" spans="1:16" ht="24" customHeight="1" x14ac:dyDescent="0.25">
      <c r="A30" s="44"/>
      <c r="B30" s="33" t="s">
        <v>73</v>
      </c>
      <c r="C30" s="30">
        <v>1</v>
      </c>
      <c r="D30" s="20">
        <f t="shared" si="1"/>
        <v>0</v>
      </c>
      <c r="E30" s="25"/>
      <c r="F30" s="25"/>
      <c r="G30" s="25"/>
      <c r="H30" s="25"/>
      <c r="I30" s="25"/>
      <c r="J30" s="25"/>
      <c r="K30" s="25"/>
      <c r="L30" s="25"/>
      <c r="M30" s="25"/>
      <c r="N30" s="25"/>
      <c r="O30" s="25"/>
      <c r="P30" s="32"/>
    </row>
    <row r="31" spans="1:16" ht="24" customHeight="1" x14ac:dyDescent="0.25">
      <c r="A31" s="44"/>
      <c r="B31" s="33" t="s">
        <v>74</v>
      </c>
      <c r="C31" s="30">
        <v>1</v>
      </c>
      <c r="D31" s="20">
        <f t="shared" si="1"/>
        <v>0</v>
      </c>
      <c r="E31" s="25"/>
      <c r="F31" s="25"/>
      <c r="G31" s="25"/>
      <c r="H31" s="25"/>
      <c r="I31" s="25"/>
      <c r="J31" s="25"/>
      <c r="K31" s="25"/>
      <c r="L31" s="25"/>
      <c r="M31" s="25"/>
      <c r="N31" s="25"/>
      <c r="O31" s="25"/>
      <c r="P31" s="32"/>
    </row>
    <row r="32" spans="1:16" ht="24" customHeight="1" x14ac:dyDescent="0.25">
      <c r="A32" s="44"/>
      <c r="B32" s="33" t="s">
        <v>75</v>
      </c>
      <c r="C32" s="30">
        <v>1</v>
      </c>
      <c r="D32" s="20">
        <f t="shared" si="1"/>
        <v>0</v>
      </c>
      <c r="E32" s="25"/>
      <c r="F32" s="25"/>
      <c r="G32" s="25"/>
      <c r="H32" s="25"/>
      <c r="I32" s="25"/>
      <c r="J32" s="25"/>
      <c r="K32" s="25"/>
      <c r="L32" s="25"/>
      <c r="M32" s="25"/>
      <c r="N32" s="25"/>
      <c r="O32" s="25"/>
      <c r="P32" s="32"/>
    </row>
    <row r="33" spans="1:16" ht="24" customHeight="1" x14ac:dyDescent="0.25">
      <c r="A33" s="44"/>
      <c r="B33" s="33" t="s">
        <v>76</v>
      </c>
      <c r="C33" s="30">
        <v>1</v>
      </c>
      <c r="D33" s="20">
        <f t="shared" si="1"/>
        <v>0</v>
      </c>
      <c r="E33" s="25"/>
      <c r="F33" s="25"/>
      <c r="G33" s="25"/>
      <c r="H33" s="25"/>
      <c r="I33" s="25"/>
      <c r="J33" s="25"/>
      <c r="K33" s="25"/>
      <c r="L33" s="25"/>
      <c r="M33" s="25"/>
      <c r="N33" s="25"/>
      <c r="O33" s="25"/>
      <c r="P33" s="32"/>
    </row>
    <row r="34" spans="1:16" ht="24" customHeight="1" x14ac:dyDescent="0.25">
      <c r="A34" s="44"/>
      <c r="B34" s="33" t="s">
        <v>77</v>
      </c>
      <c r="C34" s="30">
        <v>1</v>
      </c>
      <c r="D34" s="20">
        <f t="shared" si="1"/>
        <v>0</v>
      </c>
      <c r="E34" s="25"/>
      <c r="F34" s="25"/>
      <c r="G34" s="25"/>
      <c r="H34" s="25"/>
      <c r="I34" s="25"/>
      <c r="J34" s="25"/>
      <c r="K34" s="25"/>
      <c r="L34" s="25"/>
      <c r="M34" s="25"/>
      <c r="N34" s="25"/>
      <c r="O34" s="25"/>
      <c r="P34" s="32"/>
    </row>
    <row r="35" spans="1:16" ht="24" customHeight="1" thickBot="1" x14ac:dyDescent="0.3">
      <c r="A35" s="45"/>
      <c r="B35" s="34" t="s">
        <v>78</v>
      </c>
      <c r="C35" s="30">
        <v>1</v>
      </c>
      <c r="D35" s="20">
        <f t="shared" si="1"/>
        <v>0</v>
      </c>
      <c r="E35" s="25"/>
      <c r="F35" s="25"/>
      <c r="G35" s="25"/>
      <c r="H35" s="25"/>
      <c r="I35" s="25"/>
      <c r="J35" s="25"/>
      <c r="K35" s="25"/>
      <c r="L35" s="25"/>
      <c r="M35" s="25"/>
      <c r="N35" s="25"/>
      <c r="O35" s="25"/>
      <c r="P35" s="32"/>
    </row>
    <row r="36" spans="1:16" x14ac:dyDescent="0.25">
      <c r="C36" s="35">
        <f>SUM(C3:C35)</f>
        <v>661</v>
      </c>
      <c r="D36" s="36">
        <f>SUM(D3:D35)</f>
        <v>296</v>
      </c>
    </row>
    <row r="37" spans="1:16" x14ac:dyDescent="0.25">
      <c r="C37" s="37"/>
      <c r="D37" s="38">
        <f>D36/C36</f>
        <v>0.44780635400907715</v>
      </c>
    </row>
  </sheetData>
  <sheetProtection algorithmName="SHA-512" hashValue="a2TPxHwyoUI2gjNRmY7sftPEyIo6+lGOe1Gi1THT72fZGV98tT835pdobR6AZ+c0Pi5/KgAX5PyItm64C2nc2w==" saltValue="dV6KJF8j8Fn9zLdG3QEDDA==" spinCount="100000" sheet="1" objects="1" scenarios="1" autoFilter="0"/>
  <mergeCells count="2">
    <mergeCell ref="A1:A2"/>
    <mergeCell ref="A8:A35"/>
  </mergeCells>
  <conditionalFormatting sqref="C3:D3 D4:D7">
    <cfRule type="dataBar" priority="44">
      <dataBar>
        <cfvo type="min"/>
        <cfvo type="max"/>
        <color rgb="FF008AEF"/>
      </dataBar>
      <extLst>
        <ext xmlns:x14="http://schemas.microsoft.com/office/spreadsheetml/2009/9/main" uri="{B025F937-C7B1-47D3-B67F-A62EFF666E3E}">
          <x14:id>{5D85DFC5-C6AA-403D-A495-0390585478A5}</x14:id>
        </ext>
      </extLst>
    </cfRule>
  </conditionalFormatting>
  <conditionalFormatting sqref="C4:D4">
    <cfRule type="dataBar" priority="6">
      <dataBar>
        <cfvo type="min"/>
        <cfvo type="max"/>
        <color rgb="FF008AEF"/>
      </dataBar>
      <extLst>
        <ext xmlns:x14="http://schemas.microsoft.com/office/spreadsheetml/2009/9/main" uri="{B025F937-C7B1-47D3-B67F-A62EFF666E3E}">
          <x14:id>{5E38D1D3-1A8C-415B-B845-E2FAB7DC24FA}</x14:id>
        </ext>
      </extLst>
    </cfRule>
  </conditionalFormatting>
  <conditionalFormatting sqref="C5:D5">
    <cfRule type="dataBar" priority="7">
      <dataBar>
        <cfvo type="min"/>
        <cfvo type="max"/>
        <color rgb="FF008AEF"/>
      </dataBar>
      <extLst>
        <ext xmlns:x14="http://schemas.microsoft.com/office/spreadsheetml/2009/9/main" uri="{B025F937-C7B1-47D3-B67F-A62EFF666E3E}">
          <x14:id>{2B6D18A9-B54D-4891-95D3-73E6537D061C}</x14:id>
        </ext>
      </extLst>
    </cfRule>
  </conditionalFormatting>
  <conditionalFormatting sqref="C6:D6">
    <cfRule type="dataBar" priority="8">
      <dataBar>
        <cfvo type="min"/>
        <cfvo type="max"/>
        <color rgb="FF008AEF"/>
      </dataBar>
      <extLst>
        <ext xmlns:x14="http://schemas.microsoft.com/office/spreadsheetml/2009/9/main" uri="{B025F937-C7B1-47D3-B67F-A62EFF666E3E}">
          <x14:id>{6C363F65-48BF-4BB5-975C-666940217EE6}</x14:id>
        </ext>
      </extLst>
    </cfRule>
  </conditionalFormatting>
  <conditionalFormatting sqref="C7:D7">
    <cfRule type="dataBar" priority="9">
      <dataBar>
        <cfvo type="min"/>
        <cfvo type="max"/>
        <color rgb="FF008AEF"/>
      </dataBar>
      <extLst>
        <ext xmlns:x14="http://schemas.microsoft.com/office/spreadsheetml/2009/9/main" uri="{B025F937-C7B1-47D3-B67F-A62EFF666E3E}">
          <x14:id>{C64D38DB-739E-48EF-B53C-890CB77AFC0A}</x14:id>
        </ext>
      </extLst>
    </cfRule>
  </conditionalFormatting>
  <conditionalFormatting sqref="C8:D8">
    <cfRule type="dataBar" priority="13">
      <dataBar>
        <cfvo type="min"/>
        <cfvo type="max"/>
        <color rgb="FF008AEF"/>
      </dataBar>
      <extLst>
        <ext xmlns:x14="http://schemas.microsoft.com/office/spreadsheetml/2009/9/main" uri="{B025F937-C7B1-47D3-B67F-A62EFF666E3E}">
          <x14:id>{A0671482-F333-4FC6-BD24-0096894B5F15}</x14:id>
        </ext>
      </extLst>
    </cfRule>
  </conditionalFormatting>
  <conditionalFormatting sqref="C9:D9">
    <cfRule type="dataBar" priority="40">
      <dataBar>
        <cfvo type="min"/>
        <cfvo type="max"/>
        <color rgb="FF008AEF"/>
      </dataBar>
      <extLst>
        <ext xmlns:x14="http://schemas.microsoft.com/office/spreadsheetml/2009/9/main" uri="{B025F937-C7B1-47D3-B67F-A62EFF666E3E}">
          <x14:id>{501D57DD-3BCE-4A43-AEAF-C69160D0BB88}</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{4868DC9A-B69F-4B45-A3DB-3DAAF0809636}</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{0DF56A73-F7F8-47F1-9287-51DBF521490C}</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{682F2BDA-57B1-42D3-9EBB-04C35EF7F0C6}</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{176B683E-C306-46F2-812D-11A382B293EB}</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{CBC5FCE3-A877-4A8C-8C5D-26B356BA8BFE}</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{93478DE0-6FD3-41B9-9030-86CB5000D694}</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{4C515D12-0780-4FAD-890D-E23B0372A261}</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{3F130394-8443-4678-840F-A0CA73A3504D}</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{D205C40C-01F1-4497-8740-064FAAD014C7}</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{2CCC2695-9B41-4221-8BD9-ECF91A08FDCD}</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{3A9C59F4-3067-4F52-8319-34C60058B772}</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{D9EA128F-E536-4316-B001-873D284DBDBF}</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{894BE199-EE74-48DC-A28A-9C00B81068F8}</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{6ED14AEF-213D-466A-988A-C200AADD3F91}</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{0069F42C-2515-4DBE-A109-399D0F7A240C}</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{AC2ED47D-3144-42BF-B5CD-9C63F6919DA9}</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{4FCD775B-BE3C-4A14-B463-B55B92F00119}</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{9750255E-9A11-4001-9966-AA371812B82B}</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{FE9BAF99-A2B8-427D-8D9D-C8C8C86FB156}</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{69B92E6E-5170-49BC-8ED4-84B612164B5F}</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{F5DACDCF-B9D3-45F8-AB14-8F1D95E6E30F}</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{955EE7D4-7C7B-4591-87FF-01F592074C8E}</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{E6DF6B9C-41A8-452D-BBDA-DD67EE8B5460}</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{D0D9186B-E2A0-483C-B2DE-D886A55F5A5B}</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{548A54E1-20B5-48FA-A5AF-454A44417CEC}</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{D0A4623C-A4FE-4A2A-8D03-CE4F46F63D5B}</x14:id>
        </ext>
      </extLst>
    </cfRule>
  </conditionalFormatting>
  <conditionalFormatting sqref="E3:F31 E32:O35">
    <cfRule type="cellIs" dxfId="15" priority="3" operator="greaterThan">
      <formula>0</formula>
    </cfRule>
  </conditionalFormatting>
  <conditionalFormatting sqref="G8:O31">
    <cfRule type="cellIs" dxfId="14" priority="12" operator="greaterThan">
      <formula>0</formula>
    </cfRule>
  </conditionalFormatting>
  <conditionalFormatting sqref="G3:P7">
    <cfRule type="cellIs" dxfId="13" priority="4"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D85DFC5-C6AA-403D-A495-0390585478A5}">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5E38D1D3-1A8C-415B-B845-E2FAB7DC24FA}">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2B6D18A9-B54D-4891-95D3-73E6537D061C}">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6C363F65-48BF-4BB5-975C-666940217EE6}">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C64D38DB-739E-48EF-B53C-890CB77AFC0A}">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A0671482-F333-4FC6-BD24-0096894B5F15}">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501D57DD-3BCE-4A43-AEAF-C69160D0BB88}">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4868DC9A-B69F-4B45-A3DB-3DAAF0809636}">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0DF56A73-F7F8-47F1-9287-51DBF521490C}">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682F2BDA-57B1-42D3-9EBB-04C35EF7F0C6}">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176B683E-C306-46F2-812D-11A382B293EB}">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CBC5FCE3-A877-4A8C-8C5D-26B356BA8BFE}">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93478DE0-6FD3-41B9-9030-86CB5000D694}">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4C515D12-0780-4FAD-890D-E23B0372A261}">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3F130394-8443-4678-840F-A0CA73A3504D}">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D205C40C-01F1-4497-8740-064FAAD014C7}">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2CCC2695-9B41-4221-8BD9-ECF91A08FDCD}">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3A9C59F4-3067-4F52-8319-34C60058B772}">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D9EA128F-E536-4316-B001-873D284DBDBF}">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894BE199-EE74-48DC-A28A-9C00B81068F8}">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6ED14AEF-213D-466A-988A-C200AADD3F91}">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0069F42C-2515-4DBE-A109-399D0F7A240C}">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AC2ED47D-3144-42BF-B5CD-9C63F6919DA9}">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4FCD775B-BE3C-4A14-B463-B55B92F00119}">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750255E-9A11-4001-9966-AA371812B82B}">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FE9BAF99-A2B8-427D-8D9D-C8C8C86FB156}">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69B92E6E-5170-49BC-8ED4-84B612164B5F}">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F5DACDCF-B9D3-45F8-AB14-8F1D95E6E30F}">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955EE7D4-7C7B-4591-87FF-01F592074C8E}">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E6DF6B9C-41A8-452D-BBDA-DD67EE8B5460}">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D0D9186B-E2A0-483C-B2DE-D886A55F5A5B}">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548A54E1-20B5-48FA-A5AF-454A44417CEC}">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D0A4623C-A4FE-4A2A-8D03-CE4F46F63D5B}">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35"/>
  <sheetViews>
    <sheetView zoomScale="70" zoomScaleNormal="70" workbookViewId="0">
      <selection activeCell="N15" sqref="N15"/>
    </sheetView>
  </sheetViews>
  <sheetFormatPr baseColWidth="10" defaultColWidth="11.42578125" defaultRowHeight="15" x14ac:dyDescent="0.25"/>
  <cols>
    <col min="1" max="1" width="8.42578125" style="2" customWidth="1"/>
    <col min="2" max="2" width="105.140625" style="2" customWidth="1"/>
    <col min="3" max="3" width="11.42578125" style="2"/>
    <col min="4" max="4" width="22.42578125" style="2" customWidth="1"/>
    <col min="5" max="9" width="17.28515625" style="2" customWidth="1"/>
    <col min="10" max="16384" width="11.42578125" style="2"/>
  </cols>
  <sheetData>
    <row r="1" spans="1:16" ht="61.5" customHeight="1" x14ac:dyDescent="0.25">
      <c r="A1" s="41" t="s">
        <v>1</v>
      </c>
      <c r="B1" s="21" t="s">
        <v>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2"/>
      <c r="B2" s="21"/>
      <c r="C2" s="3">
        <v>2026</v>
      </c>
      <c r="D2" s="3" t="s">
        <v>16</v>
      </c>
      <c r="E2" s="22"/>
      <c r="F2" s="22"/>
      <c r="G2" s="22"/>
      <c r="H2" s="22"/>
      <c r="I2" s="22"/>
      <c r="J2" s="22"/>
      <c r="K2" s="22"/>
      <c r="L2" s="22"/>
      <c r="M2" s="22"/>
      <c r="N2" s="22"/>
      <c r="O2" s="22"/>
      <c r="P2" s="22"/>
    </row>
    <row r="3" spans="1:16" ht="81" customHeight="1" x14ac:dyDescent="0.25">
      <c r="A3" s="23" t="s">
        <v>18</v>
      </c>
      <c r="B3" s="5" t="s">
        <v>17</v>
      </c>
      <c r="C3" s="24">
        <v>2</v>
      </c>
      <c r="D3" s="20">
        <f t="shared" ref="D3:D5" si="0">SUM(E3:P3)</f>
        <v>1</v>
      </c>
      <c r="E3" s="25"/>
      <c r="F3" s="25"/>
      <c r="G3" s="25">
        <v>1</v>
      </c>
      <c r="H3" s="25"/>
      <c r="I3" s="25"/>
      <c r="J3" s="25"/>
      <c r="K3" s="25"/>
      <c r="L3" s="25"/>
      <c r="M3" s="25"/>
      <c r="N3" s="25"/>
      <c r="O3" s="25"/>
      <c r="P3" s="25"/>
    </row>
    <row r="4" spans="1:16" ht="81" customHeight="1" x14ac:dyDescent="0.25">
      <c r="A4" s="26" t="s">
        <v>20</v>
      </c>
      <c r="B4" s="6" t="s">
        <v>19</v>
      </c>
      <c r="C4" s="27">
        <v>2</v>
      </c>
      <c r="D4" s="20">
        <f t="shared" si="0"/>
        <v>1</v>
      </c>
      <c r="E4" s="25">
        <v>0</v>
      </c>
      <c r="F4" s="25">
        <v>0</v>
      </c>
      <c r="G4" s="25">
        <v>0</v>
      </c>
      <c r="H4" s="25">
        <v>0</v>
      </c>
      <c r="I4" s="25"/>
      <c r="J4" s="25">
        <v>1</v>
      </c>
      <c r="K4" s="25"/>
      <c r="L4" s="25"/>
      <c r="M4" s="25"/>
      <c r="N4" s="25"/>
      <c r="O4" s="25"/>
      <c r="P4" s="25"/>
    </row>
    <row r="5" spans="1:16" ht="81" customHeight="1" x14ac:dyDescent="0.25">
      <c r="A5" s="28" t="s">
        <v>22</v>
      </c>
      <c r="B5" s="7" t="s">
        <v>21</v>
      </c>
      <c r="C5" s="29">
        <v>2</v>
      </c>
      <c r="D5" s="20">
        <f t="shared" si="0"/>
        <v>0</v>
      </c>
      <c r="E5" s="25">
        <v>0</v>
      </c>
      <c r="F5" s="25">
        <v>0</v>
      </c>
      <c r="G5" s="25">
        <v>0</v>
      </c>
      <c r="H5" s="25">
        <v>0</v>
      </c>
      <c r="I5" s="25"/>
      <c r="J5" s="25"/>
      <c r="K5" s="25"/>
      <c r="L5" s="25"/>
      <c r="M5" s="25"/>
      <c r="N5" s="25"/>
      <c r="O5" s="25"/>
      <c r="P5" s="25"/>
    </row>
    <row r="6" spans="1:16" ht="28.5" customHeight="1" x14ac:dyDescent="0.25">
      <c r="A6" s="43" t="s">
        <v>50</v>
      </c>
      <c r="B6" s="31" t="s">
        <v>51</v>
      </c>
      <c r="C6" s="30">
        <v>3</v>
      </c>
      <c r="D6" s="20">
        <f t="shared" ref="D6:D33" si="1">SUM(E6:O6)</f>
        <v>0</v>
      </c>
      <c r="E6" s="25"/>
      <c r="F6" s="25"/>
      <c r="G6" s="25"/>
      <c r="H6" s="25"/>
      <c r="I6" s="25"/>
      <c r="J6" s="25"/>
      <c r="K6" s="25"/>
      <c r="L6" s="25"/>
      <c r="M6" s="25"/>
      <c r="N6" s="25"/>
      <c r="O6" s="25"/>
      <c r="P6" s="32"/>
    </row>
    <row r="7" spans="1:16" ht="28.5" customHeight="1" x14ac:dyDescent="0.25">
      <c r="A7" s="44"/>
      <c r="B7" s="31" t="s">
        <v>52</v>
      </c>
      <c r="C7" s="30">
        <v>3</v>
      </c>
      <c r="D7" s="20">
        <f t="shared" si="1"/>
        <v>0</v>
      </c>
      <c r="E7" s="25"/>
      <c r="F7" s="25"/>
      <c r="G7" s="25"/>
      <c r="H7" s="25"/>
      <c r="I7" s="25"/>
      <c r="J7" s="25"/>
      <c r="K7" s="25"/>
      <c r="L7" s="25"/>
      <c r="M7" s="25"/>
      <c r="N7" s="25"/>
      <c r="O7" s="25"/>
      <c r="P7" s="32"/>
    </row>
    <row r="8" spans="1:16" ht="28.5" customHeight="1" x14ac:dyDescent="0.25">
      <c r="A8" s="44"/>
      <c r="B8" s="31" t="s">
        <v>53</v>
      </c>
      <c r="C8" s="30">
        <v>100</v>
      </c>
      <c r="D8" s="20">
        <f t="shared" si="1"/>
        <v>28</v>
      </c>
      <c r="E8" s="25">
        <v>8</v>
      </c>
      <c r="F8" s="25">
        <v>7</v>
      </c>
      <c r="G8" s="25">
        <v>8</v>
      </c>
      <c r="H8" s="25">
        <v>3</v>
      </c>
      <c r="I8" s="25">
        <v>2</v>
      </c>
      <c r="J8" s="25"/>
      <c r="K8" s="25"/>
      <c r="L8" s="25"/>
      <c r="M8" s="25"/>
      <c r="N8" s="25"/>
      <c r="O8" s="25"/>
      <c r="P8" s="32"/>
    </row>
    <row r="9" spans="1:16" ht="28.5" customHeight="1" x14ac:dyDescent="0.25">
      <c r="A9" s="44"/>
      <c r="B9" s="31" t="s">
        <v>54</v>
      </c>
      <c r="C9" s="30">
        <v>55</v>
      </c>
      <c r="D9" s="20">
        <f t="shared" si="1"/>
        <v>17</v>
      </c>
      <c r="E9" s="25">
        <v>6</v>
      </c>
      <c r="F9" s="25"/>
      <c r="G9" s="25">
        <v>1</v>
      </c>
      <c r="H9" s="25">
        <v>10</v>
      </c>
      <c r="I9" s="25"/>
      <c r="J9" s="25"/>
      <c r="K9" s="25"/>
      <c r="L9" s="25"/>
      <c r="M9" s="25"/>
      <c r="N9" s="25"/>
      <c r="O9" s="25"/>
      <c r="P9" s="32"/>
    </row>
    <row r="10" spans="1:16" ht="28.5" customHeight="1" x14ac:dyDescent="0.25">
      <c r="A10" s="44"/>
      <c r="B10" s="31" t="s">
        <v>55</v>
      </c>
      <c r="C10" s="30">
        <v>0</v>
      </c>
      <c r="D10" s="20">
        <f t="shared" si="1"/>
        <v>0</v>
      </c>
      <c r="E10" s="25"/>
      <c r="F10" s="25"/>
      <c r="G10" s="25"/>
      <c r="H10" s="25"/>
      <c r="I10" s="25"/>
      <c r="J10" s="25"/>
      <c r="K10" s="25"/>
      <c r="L10" s="25"/>
      <c r="M10" s="25"/>
      <c r="N10" s="25"/>
      <c r="O10" s="25"/>
      <c r="P10" s="32"/>
    </row>
    <row r="11" spans="1:16" ht="28.5" customHeight="1" x14ac:dyDescent="0.25">
      <c r="A11" s="44"/>
      <c r="B11" s="31" t="s">
        <v>56</v>
      </c>
      <c r="C11" s="30">
        <v>5</v>
      </c>
      <c r="D11" s="20">
        <f t="shared" si="1"/>
        <v>1</v>
      </c>
      <c r="E11" s="25"/>
      <c r="F11" s="25"/>
      <c r="G11" s="25"/>
      <c r="H11" s="25">
        <v>1</v>
      </c>
      <c r="I11" s="25"/>
      <c r="J11" s="25"/>
      <c r="K11" s="25"/>
      <c r="L11" s="25"/>
      <c r="M11" s="25"/>
      <c r="N11" s="25"/>
      <c r="O11" s="25"/>
      <c r="P11" s="32"/>
    </row>
    <row r="12" spans="1:16" ht="28.5" customHeight="1" x14ac:dyDescent="0.25">
      <c r="A12" s="44"/>
      <c r="B12" s="31" t="s">
        <v>57</v>
      </c>
      <c r="C12" s="30">
        <v>0</v>
      </c>
      <c r="D12" s="20">
        <f t="shared" si="1"/>
        <v>0</v>
      </c>
      <c r="E12" s="25"/>
      <c r="F12" s="25"/>
      <c r="G12" s="25"/>
      <c r="H12" s="25"/>
      <c r="I12" s="25"/>
      <c r="J12" s="25"/>
      <c r="K12" s="25"/>
      <c r="L12" s="25"/>
      <c r="M12" s="25"/>
      <c r="N12" s="25"/>
      <c r="O12" s="25"/>
      <c r="P12" s="32"/>
    </row>
    <row r="13" spans="1:16" ht="28.5" customHeight="1" x14ac:dyDescent="0.25">
      <c r="A13" s="44"/>
      <c r="B13" s="31" t="s">
        <v>58</v>
      </c>
      <c r="C13" s="30">
        <v>4</v>
      </c>
      <c r="D13" s="20">
        <f t="shared" si="1"/>
        <v>2</v>
      </c>
      <c r="E13" s="25"/>
      <c r="F13" s="25"/>
      <c r="G13" s="25"/>
      <c r="H13" s="25">
        <v>2</v>
      </c>
      <c r="I13" s="25"/>
      <c r="J13" s="25"/>
      <c r="K13" s="25"/>
      <c r="L13" s="25"/>
      <c r="M13" s="25"/>
      <c r="N13" s="25"/>
      <c r="O13" s="25"/>
      <c r="P13" s="32"/>
    </row>
    <row r="14" spans="1:16" ht="28.5" customHeight="1" x14ac:dyDescent="0.25">
      <c r="A14" s="44"/>
      <c r="B14" s="31" t="s">
        <v>59</v>
      </c>
      <c r="C14" s="30">
        <v>0</v>
      </c>
      <c r="D14" s="20">
        <f t="shared" si="1"/>
        <v>0</v>
      </c>
      <c r="E14" s="25"/>
      <c r="F14" s="25"/>
      <c r="G14" s="25"/>
      <c r="H14" s="25"/>
      <c r="I14" s="25"/>
      <c r="J14" s="25"/>
      <c r="K14" s="25"/>
      <c r="L14" s="25"/>
      <c r="M14" s="25"/>
      <c r="N14" s="25"/>
      <c r="O14" s="25"/>
      <c r="P14" s="32"/>
    </row>
    <row r="15" spans="1:16" ht="28.5" customHeight="1" x14ac:dyDescent="0.25">
      <c r="A15" s="44"/>
      <c r="B15" s="31" t="s">
        <v>60</v>
      </c>
      <c r="C15" s="30">
        <v>0</v>
      </c>
      <c r="D15" s="20">
        <f t="shared" si="1"/>
        <v>0</v>
      </c>
      <c r="E15" s="25"/>
      <c r="F15" s="25"/>
      <c r="G15" s="25"/>
      <c r="H15" s="25"/>
      <c r="I15" s="25"/>
      <c r="J15" s="25"/>
      <c r="K15" s="25"/>
      <c r="L15" s="25"/>
      <c r="M15" s="25"/>
      <c r="N15" s="25"/>
      <c r="O15" s="25"/>
      <c r="P15" s="32"/>
    </row>
    <row r="16" spans="1:16" ht="28.5" customHeight="1" x14ac:dyDescent="0.25">
      <c r="A16" s="44"/>
      <c r="B16" s="31" t="s">
        <v>61</v>
      </c>
      <c r="C16" s="30">
        <v>0</v>
      </c>
      <c r="D16" s="20">
        <f t="shared" si="1"/>
        <v>0</v>
      </c>
      <c r="E16" s="25"/>
      <c r="F16" s="25"/>
      <c r="G16" s="25"/>
      <c r="H16" s="25"/>
      <c r="I16" s="25"/>
      <c r="J16" s="25"/>
      <c r="K16" s="25"/>
      <c r="L16" s="25"/>
      <c r="M16" s="25"/>
      <c r="N16" s="25"/>
      <c r="O16" s="25"/>
      <c r="P16" s="32"/>
    </row>
    <row r="17" spans="1:16" ht="28.5" customHeight="1" x14ac:dyDescent="0.25">
      <c r="A17" s="44"/>
      <c r="B17" s="31" t="s">
        <v>62</v>
      </c>
      <c r="C17" s="30">
        <v>0</v>
      </c>
      <c r="D17" s="20">
        <f t="shared" si="1"/>
        <v>0</v>
      </c>
      <c r="E17" s="25"/>
      <c r="F17" s="25"/>
      <c r="G17" s="25"/>
      <c r="H17" s="25"/>
      <c r="I17" s="25"/>
      <c r="J17" s="25"/>
      <c r="K17" s="25"/>
      <c r="L17" s="25"/>
      <c r="M17" s="25"/>
      <c r="N17" s="25"/>
      <c r="O17" s="25"/>
      <c r="P17" s="32"/>
    </row>
    <row r="18" spans="1:16" ht="28.5" customHeight="1" x14ac:dyDescent="0.25">
      <c r="A18" s="44"/>
      <c r="B18" s="31" t="s">
        <v>63</v>
      </c>
      <c r="C18" s="30">
        <v>0</v>
      </c>
      <c r="D18" s="20">
        <f t="shared" si="1"/>
        <v>0</v>
      </c>
      <c r="E18" s="25"/>
      <c r="F18" s="25"/>
      <c r="G18" s="25"/>
      <c r="H18" s="25"/>
      <c r="I18" s="25"/>
      <c r="J18" s="25"/>
      <c r="K18" s="25"/>
      <c r="L18" s="25"/>
      <c r="M18" s="25"/>
      <c r="N18" s="25"/>
      <c r="O18" s="25"/>
      <c r="P18" s="32"/>
    </row>
    <row r="19" spans="1:16" ht="28.5" customHeight="1" x14ac:dyDescent="0.25">
      <c r="A19" s="44"/>
      <c r="B19" s="31" t="s">
        <v>64</v>
      </c>
      <c r="C19" s="30">
        <v>0</v>
      </c>
      <c r="D19" s="20">
        <f t="shared" si="1"/>
        <v>0</v>
      </c>
      <c r="E19" s="25"/>
      <c r="F19" s="25"/>
      <c r="G19" s="25"/>
      <c r="H19" s="25"/>
      <c r="I19" s="25"/>
      <c r="J19" s="25"/>
      <c r="K19" s="25"/>
      <c r="L19" s="25"/>
      <c r="M19" s="25"/>
      <c r="N19" s="25"/>
      <c r="O19" s="25"/>
      <c r="P19" s="32"/>
    </row>
    <row r="20" spans="1:16" ht="28.5" customHeight="1" x14ac:dyDescent="0.25">
      <c r="A20" s="44"/>
      <c r="B20" s="31" t="s">
        <v>65</v>
      </c>
      <c r="C20" s="30">
        <v>172</v>
      </c>
      <c r="D20" s="20">
        <f t="shared" si="1"/>
        <v>53</v>
      </c>
      <c r="E20" s="25">
        <v>8</v>
      </c>
      <c r="F20" s="25">
        <v>35</v>
      </c>
      <c r="G20" s="25">
        <v>9</v>
      </c>
      <c r="H20" s="25">
        <v>1</v>
      </c>
      <c r="I20" s="25"/>
      <c r="J20" s="25"/>
      <c r="K20" s="25"/>
      <c r="L20" s="25"/>
      <c r="M20" s="25"/>
      <c r="N20" s="25"/>
      <c r="O20" s="25"/>
      <c r="P20" s="32"/>
    </row>
    <row r="21" spans="1:16" ht="28.5" customHeight="1" x14ac:dyDescent="0.25">
      <c r="A21" s="44"/>
      <c r="B21" s="31" t="s">
        <v>66</v>
      </c>
      <c r="C21" s="30">
        <v>0</v>
      </c>
      <c r="D21" s="20">
        <f t="shared" si="1"/>
        <v>0</v>
      </c>
      <c r="E21" s="25"/>
      <c r="F21" s="25"/>
      <c r="G21" s="25"/>
      <c r="H21" s="25"/>
      <c r="I21" s="25"/>
      <c r="J21" s="25"/>
      <c r="K21" s="25"/>
      <c r="L21" s="25"/>
      <c r="M21" s="25"/>
      <c r="N21" s="25"/>
      <c r="O21" s="25"/>
      <c r="P21" s="32"/>
    </row>
    <row r="22" spans="1:16" ht="24" customHeight="1" x14ac:dyDescent="0.25">
      <c r="A22" s="44"/>
      <c r="B22" s="33" t="s">
        <v>67</v>
      </c>
      <c r="C22" s="30">
        <v>6</v>
      </c>
      <c r="D22" s="20">
        <f t="shared" si="1"/>
        <v>5</v>
      </c>
      <c r="E22" s="25"/>
      <c r="F22" s="25">
        <v>1</v>
      </c>
      <c r="G22" s="25">
        <v>4</v>
      </c>
      <c r="H22" s="25"/>
      <c r="I22" s="25"/>
      <c r="J22" s="25"/>
      <c r="K22" s="25"/>
      <c r="L22" s="25"/>
      <c r="M22" s="25"/>
      <c r="N22" s="25"/>
      <c r="O22" s="25"/>
      <c r="P22" s="32"/>
    </row>
    <row r="23" spans="1:16" ht="24" customHeight="1" x14ac:dyDescent="0.25">
      <c r="A23" s="44"/>
      <c r="B23" s="33" t="s">
        <v>68</v>
      </c>
      <c r="C23" s="30">
        <v>6</v>
      </c>
      <c r="D23" s="20">
        <f t="shared" si="1"/>
        <v>6</v>
      </c>
      <c r="E23" s="25"/>
      <c r="F23" s="25"/>
      <c r="G23" s="25"/>
      <c r="H23" s="25">
        <v>6</v>
      </c>
      <c r="I23" s="25"/>
      <c r="J23" s="25"/>
      <c r="K23" s="25"/>
      <c r="L23" s="25"/>
      <c r="M23" s="25"/>
      <c r="N23" s="25"/>
      <c r="O23" s="25"/>
      <c r="P23" s="32"/>
    </row>
    <row r="24" spans="1:16" ht="24" customHeight="1" x14ac:dyDescent="0.25">
      <c r="A24" s="44"/>
      <c r="B24" s="33" t="s">
        <v>69</v>
      </c>
      <c r="C24" s="30">
        <v>6</v>
      </c>
      <c r="D24" s="20">
        <f t="shared" si="1"/>
        <v>0</v>
      </c>
      <c r="E24" s="25"/>
      <c r="F24" s="25"/>
      <c r="G24" s="25"/>
      <c r="H24" s="25"/>
      <c r="I24" s="25"/>
      <c r="J24" s="25"/>
      <c r="K24" s="25"/>
      <c r="L24" s="25"/>
      <c r="M24" s="25"/>
      <c r="N24" s="25"/>
      <c r="O24" s="25"/>
      <c r="P24" s="32"/>
    </row>
    <row r="25" spans="1:16" ht="24" customHeight="1" x14ac:dyDescent="0.25">
      <c r="A25" s="44"/>
      <c r="B25" s="33" t="s">
        <v>70</v>
      </c>
      <c r="C25" s="30">
        <v>6</v>
      </c>
      <c r="D25" s="20">
        <f t="shared" si="1"/>
        <v>0</v>
      </c>
      <c r="E25" s="25"/>
      <c r="F25" s="25"/>
      <c r="G25" s="25"/>
      <c r="H25" s="25"/>
      <c r="I25" s="25"/>
      <c r="J25" s="25"/>
      <c r="K25" s="25"/>
      <c r="L25" s="25"/>
      <c r="M25" s="25"/>
      <c r="N25" s="25"/>
      <c r="O25" s="25"/>
      <c r="P25" s="32"/>
    </row>
    <row r="26" spans="1:16" ht="24" customHeight="1" x14ac:dyDescent="0.25">
      <c r="A26" s="44"/>
      <c r="B26" s="33" t="s">
        <v>71</v>
      </c>
      <c r="C26" s="30">
        <v>6</v>
      </c>
      <c r="D26" s="20">
        <f t="shared" si="1"/>
        <v>0</v>
      </c>
      <c r="E26" s="25"/>
      <c r="F26" s="25"/>
      <c r="G26" s="25"/>
      <c r="H26" s="25"/>
      <c r="I26" s="25"/>
      <c r="J26" s="25"/>
      <c r="K26" s="25"/>
      <c r="L26" s="25"/>
      <c r="M26" s="25"/>
      <c r="N26" s="25"/>
      <c r="O26" s="25"/>
      <c r="P26" s="32"/>
    </row>
    <row r="27" spans="1:16" ht="24" customHeight="1" x14ac:dyDescent="0.25">
      <c r="A27" s="44"/>
      <c r="B27" s="33" t="s">
        <v>72</v>
      </c>
      <c r="C27" s="30">
        <v>1</v>
      </c>
      <c r="D27" s="20">
        <f t="shared" si="1"/>
        <v>0</v>
      </c>
      <c r="E27" s="25"/>
      <c r="F27" s="25"/>
      <c r="G27" s="25"/>
      <c r="H27" s="25"/>
      <c r="I27" s="25"/>
      <c r="J27" s="25"/>
      <c r="K27" s="25"/>
      <c r="L27" s="25"/>
      <c r="M27" s="25"/>
      <c r="N27" s="25"/>
      <c r="O27" s="25"/>
      <c r="P27" s="32"/>
    </row>
    <row r="28" spans="1:16" ht="24" customHeight="1" x14ac:dyDescent="0.25">
      <c r="A28" s="44"/>
      <c r="B28" s="33" t="s">
        <v>73</v>
      </c>
      <c r="C28" s="30">
        <v>1</v>
      </c>
      <c r="D28" s="20">
        <f t="shared" si="1"/>
        <v>0</v>
      </c>
      <c r="E28" s="25"/>
      <c r="F28" s="25"/>
      <c r="G28" s="25"/>
      <c r="H28" s="25"/>
      <c r="I28" s="25"/>
      <c r="J28" s="25"/>
      <c r="K28" s="25"/>
      <c r="L28" s="25"/>
      <c r="M28" s="25"/>
      <c r="N28" s="25"/>
      <c r="O28" s="25"/>
      <c r="P28" s="32"/>
    </row>
    <row r="29" spans="1:16" ht="24" customHeight="1" x14ac:dyDescent="0.25">
      <c r="A29" s="44"/>
      <c r="B29" s="33" t="s">
        <v>74</v>
      </c>
      <c r="C29" s="30">
        <v>1</v>
      </c>
      <c r="D29" s="20">
        <f t="shared" si="1"/>
        <v>0</v>
      </c>
      <c r="E29" s="25"/>
      <c r="F29" s="25"/>
      <c r="G29" s="25"/>
      <c r="H29" s="25"/>
      <c r="I29" s="25"/>
      <c r="J29" s="25"/>
      <c r="K29" s="25"/>
      <c r="L29" s="25"/>
      <c r="M29" s="25"/>
      <c r="N29" s="25"/>
      <c r="O29" s="25"/>
      <c r="P29" s="32"/>
    </row>
    <row r="30" spans="1:16" ht="24" customHeight="1" x14ac:dyDescent="0.25">
      <c r="A30" s="44"/>
      <c r="B30" s="33" t="s">
        <v>75</v>
      </c>
      <c r="C30" s="30">
        <v>1</v>
      </c>
      <c r="D30" s="20">
        <f t="shared" si="1"/>
        <v>0</v>
      </c>
      <c r="E30" s="25"/>
      <c r="F30" s="25"/>
      <c r="G30" s="25"/>
      <c r="H30" s="25"/>
      <c r="I30" s="25"/>
      <c r="J30" s="25"/>
      <c r="K30" s="25"/>
      <c r="L30" s="25"/>
      <c r="M30" s="25"/>
      <c r="N30" s="25"/>
      <c r="O30" s="25"/>
      <c r="P30" s="32"/>
    </row>
    <row r="31" spans="1:16" ht="24" customHeight="1" x14ac:dyDescent="0.25">
      <c r="A31" s="44"/>
      <c r="B31" s="33" t="s">
        <v>76</v>
      </c>
      <c r="C31" s="30">
        <v>1</v>
      </c>
      <c r="D31" s="20">
        <f t="shared" si="1"/>
        <v>0</v>
      </c>
      <c r="E31" s="25"/>
      <c r="F31" s="25"/>
      <c r="G31" s="25"/>
      <c r="H31" s="25"/>
      <c r="I31" s="25"/>
      <c r="J31" s="25"/>
      <c r="K31" s="25"/>
      <c r="L31" s="25"/>
      <c r="M31" s="25"/>
      <c r="N31" s="25"/>
      <c r="O31" s="25"/>
      <c r="P31" s="32"/>
    </row>
    <row r="32" spans="1:16" ht="24" customHeight="1" x14ac:dyDescent="0.25">
      <c r="A32" s="44"/>
      <c r="B32" s="33" t="s">
        <v>77</v>
      </c>
      <c r="C32" s="30">
        <v>1</v>
      </c>
      <c r="D32" s="20">
        <f t="shared" si="1"/>
        <v>0</v>
      </c>
      <c r="E32" s="25"/>
      <c r="F32" s="25"/>
      <c r="G32" s="25"/>
      <c r="H32" s="25"/>
      <c r="I32" s="25"/>
      <c r="J32" s="25"/>
      <c r="K32" s="25"/>
      <c r="L32" s="25"/>
      <c r="M32" s="25"/>
      <c r="N32" s="25"/>
      <c r="O32" s="25"/>
      <c r="P32" s="32"/>
    </row>
    <row r="33" spans="1:16" ht="24" customHeight="1" thickBot="1" x14ac:dyDescent="0.3">
      <c r="A33" s="45"/>
      <c r="B33" s="34" t="s">
        <v>78</v>
      </c>
      <c r="C33" s="30">
        <v>1</v>
      </c>
      <c r="D33" s="20">
        <f t="shared" si="1"/>
        <v>0</v>
      </c>
      <c r="E33" s="25"/>
      <c r="F33" s="25"/>
      <c r="G33" s="25"/>
      <c r="H33" s="25"/>
      <c r="I33" s="25"/>
      <c r="J33" s="25"/>
      <c r="K33" s="25"/>
      <c r="L33" s="25"/>
      <c r="M33" s="25"/>
      <c r="N33" s="25"/>
      <c r="O33" s="25"/>
      <c r="P33" s="32"/>
    </row>
    <row r="34" spans="1:16" x14ac:dyDescent="0.25">
      <c r="C34" s="35">
        <f>SUM(C3:C33)</f>
        <v>385</v>
      </c>
      <c r="D34" s="36">
        <f>SUM(D3:D33)</f>
        <v>114</v>
      </c>
    </row>
    <row r="35" spans="1:16" x14ac:dyDescent="0.25">
      <c r="C35" s="37"/>
      <c r="D35" s="38">
        <f>D34/C34</f>
        <v>0.29610389610389609</v>
      </c>
    </row>
  </sheetData>
  <sheetProtection algorithmName="SHA-512" hashValue="+rQu7LOcH27OoH9kiEMF0F3r9mtVyacdTqFpGP+gctxQUVQrTRrJlCrHz+SkkJWNBs0oWy/yZdz0Lp0qDRJNoQ==" saltValue="k4Z4y1U0KEG8D6H/I7boNg==" spinCount="100000" sheet="1" objects="1" scenarios="1" autoFilter="0"/>
  <mergeCells count="2">
    <mergeCell ref="A1:A2"/>
    <mergeCell ref="A6:A33"/>
  </mergeCells>
  <conditionalFormatting sqref="C3:D3 D4:D5">
    <cfRule type="dataBar" priority="45">
      <dataBar>
        <cfvo type="min"/>
        <cfvo type="max"/>
        <color rgb="FF008AEF"/>
      </dataBar>
      <extLst>
        <ext xmlns:x14="http://schemas.microsoft.com/office/spreadsheetml/2009/9/main" uri="{B025F937-C7B1-47D3-B67F-A62EFF666E3E}">
          <x14:id>{ACAC6C8E-3158-4B8D-9A1C-C1E6711186AA}</x14:id>
        </ext>
      </extLst>
    </cfRule>
  </conditionalFormatting>
  <conditionalFormatting sqref="C4:D4">
    <cfRule type="dataBar" priority="6">
      <dataBar>
        <cfvo type="min"/>
        <cfvo type="max"/>
        <color rgb="FF008AEF"/>
      </dataBar>
      <extLst>
        <ext xmlns:x14="http://schemas.microsoft.com/office/spreadsheetml/2009/9/main" uri="{B025F937-C7B1-47D3-B67F-A62EFF666E3E}">
          <x14:id>{74DB5E24-F14A-4427-BD5F-B6BB67137924}</x14:id>
        </ext>
      </extLst>
    </cfRule>
  </conditionalFormatting>
  <conditionalFormatting sqref="C5:D5">
    <cfRule type="dataBar" priority="7">
      <dataBar>
        <cfvo type="min"/>
        <cfvo type="max"/>
        <color rgb="FF008AEF"/>
      </dataBar>
      <extLst>
        <ext xmlns:x14="http://schemas.microsoft.com/office/spreadsheetml/2009/9/main" uri="{B025F937-C7B1-47D3-B67F-A62EFF666E3E}">
          <x14:id>{D94FA021-01AE-47E1-8FB6-53C8D16C1F76}</x14:id>
        </ext>
      </extLst>
    </cfRule>
  </conditionalFormatting>
  <conditionalFormatting sqref="C6:D6">
    <cfRule type="dataBar" priority="13">
      <dataBar>
        <cfvo type="min"/>
        <cfvo type="max"/>
        <color rgb="FF008AEF"/>
      </dataBar>
      <extLst>
        <ext xmlns:x14="http://schemas.microsoft.com/office/spreadsheetml/2009/9/main" uri="{B025F937-C7B1-47D3-B67F-A62EFF666E3E}">
          <x14:id>{A29E6D7B-AF98-4CB4-96A2-CBBECF153362}</x14:id>
        </ext>
      </extLst>
    </cfRule>
  </conditionalFormatting>
  <conditionalFormatting sqref="C7:D7">
    <cfRule type="dataBar" priority="40">
      <dataBar>
        <cfvo type="min"/>
        <cfvo type="max"/>
        <color rgb="FF008AEF"/>
      </dataBar>
      <extLst>
        <ext xmlns:x14="http://schemas.microsoft.com/office/spreadsheetml/2009/9/main" uri="{B025F937-C7B1-47D3-B67F-A62EFF666E3E}">
          <x14:id>{25938A30-FB93-471F-9F4C-F8980D524C89}</x14:id>
        </ext>
      </extLst>
    </cfRule>
  </conditionalFormatting>
  <conditionalFormatting sqref="C8:D8">
    <cfRule type="dataBar" priority="39">
      <dataBar>
        <cfvo type="min"/>
        <cfvo type="max"/>
        <color rgb="FF008AEF"/>
      </dataBar>
      <extLst>
        <ext xmlns:x14="http://schemas.microsoft.com/office/spreadsheetml/2009/9/main" uri="{B025F937-C7B1-47D3-B67F-A62EFF666E3E}">
          <x14:id>{BC678132-BB1A-4A39-B56F-7BE3B19E08EB}</x14:id>
        </ext>
      </extLst>
    </cfRule>
  </conditionalFormatting>
  <conditionalFormatting sqref="C9:D9">
    <cfRule type="dataBar" priority="38">
      <dataBar>
        <cfvo type="min"/>
        <cfvo type="max"/>
        <color rgb="FF008AEF"/>
      </dataBar>
      <extLst>
        <ext xmlns:x14="http://schemas.microsoft.com/office/spreadsheetml/2009/9/main" uri="{B025F937-C7B1-47D3-B67F-A62EFF666E3E}">
          <x14:id>{FEF7B274-7CD2-435C-BEA3-3391A190D863}</x14:id>
        </ext>
      </extLst>
    </cfRule>
  </conditionalFormatting>
  <conditionalFormatting sqref="C10:D10">
    <cfRule type="dataBar" priority="37">
      <dataBar>
        <cfvo type="min"/>
        <cfvo type="max"/>
        <color rgb="FF008AEF"/>
      </dataBar>
      <extLst>
        <ext xmlns:x14="http://schemas.microsoft.com/office/spreadsheetml/2009/9/main" uri="{B025F937-C7B1-47D3-B67F-A62EFF666E3E}">
          <x14:id>{D79ACE77-EE6D-48DF-ABB8-7D1792CF7A2C}</x14:id>
        </ext>
      </extLst>
    </cfRule>
  </conditionalFormatting>
  <conditionalFormatting sqref="C11:D11">
    <cfRule type="dataBar" priority="36">
      <dataBar>
        <cfvo type="min"/>
        <cfvo type="max"/>
        <color rgb="FF008AEF"/>
      </dataBar>
      <extLst>
        <ext xmlns:x14="http://schemas.microsoft.com/office/spreadsheetml/2009/9/main" uri="{B025F937-C7B1-47D3-B67F-A62EFF666E3E}">
          <x14:id>{9CB67B77-88AB-4E0E-A5F7-133573DECFD8}</x14:id>
        </ext>
      </extLst>
    </cfRule>
  </conditionalFormatting>
  <conditionalFormatting sqref="C12:D12">
    <cfRule type="dataBar" priority="35">
      <dataBar>
        <cfvo type="min"/>
        <cfvo type="max"/>
        <color rgb="FF008AEF"/>
      </dataBar>
      <extLst>
        <ext xmlns:x14="http://schemas.microsoft.com/office/spreadsheetml/2009/9/main" uri="{B025F937-C7B1-47D3-B67F-A62EFF666E3E}">
          <x14:id>{3EF9549F-1DA3-4624-9099-58CF645042A4}</x14:id>
        </ext>
      </extLst>
    </cfRule>
  </conditionalFormatting>
  <conditionalFormatting sqref="C13:D13">
    <cfRule type="dataBar" priority="34">
      <dataBar>
        <cfvo type="min"/>
        <cfvo type="max"/>
        <color rgb="FF008AEF"/>
      </dataBar>
      <extLst>
        <ext xmlns:x14="http://schemas.microsoft.com/office/spreadsheetml/2009/9/main" uri="{B025F937-C7B1-47D3-B67F-A62EFF666E3E}">
          <x14:id>{89EFCC04-B7BA-462B-AC9E-87AE2D48B4C8}</x14:id>
        </ext>
      </extLst>
    </cfRule>
  </conditionalFormatting>
  <conditionalFormatting sqref="C14:D14">
    <cfRule type="dataBar" priority="33">
      <dataBar>
        <cfvo type="min"/>
        <cfvo type="max"/>
        <color rgb="FF008AEF"/>
      </dataBar>
      <extLst>
        <ext xmlns:x14="http://schemas.microsoft.com/office/spreadsheetml/2009/9/main" uri="{B025F937-C7B1-47D3-B67F-A62EFF666E3E}">
          <x14:id>{9AF45826-5A0D-481B-A949-C97384E975E9}</x14:id>
        </ext>
      </extLst>
    </cfRule>
  </conditionalFormatting>
  <conditionalFormatting sqref="C15:D15">
    <cfRule type="dataBar" priority="32">
      <dataBar>
        <cfvo type="min"/>
        <cfvo type="max"/>
        <color rgb="FF008AEF"/>
      </dataBar>
      <extLst>
        <ext xmlns:x14="http://schemas.microsoft.com/office/spreadsheetml/2009/9/main" uri="{B025F937-C7B1-47D3-B67F-A62EFF666E3E}">
          <x14:id>{70A27A09-5FB4-4B5B-B672-21A751D294A1}</x14:id>
        </ext>
      </extLst>
    </cfRule>
  </conditionalFormatting>
  <conditionalFormatting sqref="C16:D16">
    <cfRule type="dataBar" priority="31">
      <dataBar>
        <cfvo type="min"/>
        <cfvo type="max"/>
        <color rgb="FF008AEF"/>
      </dataBar>
      <extLst>
        <ext xmlns:x14="http://schemas.microsoft.com/office/spreadsheetml/2009/9/main" uri="{B025F937-C7B1-47D3-B67F-A62EFF666E3E}">
          <x14:id>{107EC720-729B-4830-A996-4DE522F33357}</x14:id>
        </ext>
      </extLst>
    </cfRule>
  </conditionalFormatting>
  <conditionalFormatting sqref="C17:D17">
    <cfRule type="dataBar" priority="30">
      <dataBar>
        <cfvo type="min"/>
        <cfvo type="max"/>
        <color rgb="FF008AEF"/>
      </dataBar>
      <extLst>
        <ext xmlns:x14="http://schemas.microsoft.com/office/spreadsheetml/2009/9/main" uri="{B025F937-C7B1-47D3-B67F-A62EFF666E3E}">
          <x14:id>{95EC375D-B7A9-40AF-ABA2-281BAF8CB650}</x14:id>
        </ext>
      </extLst>
    </cfRule>
  </conditionalFormatting>
  <conditionalFormatting sqref="C18:D18">
    <cfRule type="dataBar" priority="29">
      <dataBar>
        <cfvo type="min"/>
        <cfvo type="max"/>
        <color rgb="FF008AEF"/>
      </dataBar>
      <extLst>
        <ext xmlns:x14="http://schemas.microsoft.com/office/spreadsheetml/2009/9/main" uri="{B025F937-C7B1-47D3-B67F-A62EFF666E3E}">
          <x14:id>{D5B00399-A44F-4A28-9E2D-C954145D0CD9}</x14:id>
        </ext>
      </extLst>
    </cfRule>
  </conditionalFormatting>
  <conditionalFormatting sqref="C19:D19">
    <cfRule type="dataBar" priority="28">
      <dataBar>
        <cfvo type="min"/>
        <cfvo type="max"/>
        <color rgb="FF008AEF"/>
      </dataBar>
      <extLst>
        <ext xmlns:x14="http://schemas.microsoft.com/office/spreadsheetml/2009/9/main" uri="{B025F937-C7B1-47D3-B67F-A62EFF666E3E}">
          <x14:id>{BE477F50-250E-42EC-8F7A-E3157A89DC74}</x14:id>
        </ext>
      </extLst>
    </cfRule>
  </conditionalFormatting>
  <conditionalFormatting sqref="C20:D20">
    <cfRule type="dataBar" priority="27">
      <dataBar>
        <cfvo type="min"/>
        <cfvo type="max"/>
        <color rgb="FF008AEF"/>
      </dataBar>
      <extLst>
        <ext xmlns:x14="http://schemas.microsoft.com/office/spreadsheetml/2009/9/main" uri="{B025F937-C7B1-47D3-B67F-A62EFF666E3E}">
          <x14:id>{8AEB9B99-C6C8-48AB-BE60-8F00DA358652}</x14:id>
        </ext>
      </extLst>
    </cfRule>
  </conditionalFormatting>
  <conditionalFormatting sqref="C21:D21">
    <cfRule type="dataBar" priority="26">
      <dataBar>
        <cfvo type="min"/>
        <cfvo type="max"/>
        <color rgb="FF008AEF"/>
      </dataBar>
      <extLst>
        <ext xmlns:x14="http://schemas.microsoft.com/office/spreadsheetml/2009/9/main" uri="{B025F937-C7B1-47D3-B67F-A62EFF666E3E}">
          <x14:id>{F39F2B9D-4A57-425B-9A56-5BF819833A7F}</x14:id>
        </ext>
      </extLst>
    </cfRule>
  </conditionalFormatting>
  <conditionalFormatting sqref="C22:D22">
    <cfRule type="dataBar" priority="25">
      <dataBar>
        <cfvo type="min"/>
        <cfvo type="max"/>
        <color rgb="FF008AEF"/>
      </dataBar>
      <extLst>
        <ext xmlns:x14="http://schemas.microsoft.com/office/spreadsheetml/2009/9/main" uri="{B025F937-C7B1-47D3-B67F-A62EFF666E3E}">
          <x14:id>{BD4B5865-7E55-43BC-876C-CB54F9CC9A60}</x14:id>
        </ext>
      </extLst>
    </cfRule>
  </conditionalFormatting>
  <conditionalFormatting sqref="C23:D23">
    <cfRule type="dataBar" priority="24">
      <dataBar>
        <cfvo type="min"/>
        <cfvo type="max"/>
        <color rgb="FF008AEF"/>
      </dataBar>
      <extLst>
        <ext xmlns:x14="http://schemas.microsoft.com/office/spreadsheetml/2009/9/main" uri="{B025F937-C7B1-47D3-B67F-A62EFF666E3E}">
          <x14:id>{6BA232C5-1B9E-4BDF-A272-03230B1DE664}</x14:id>
        </ext>
      </extLst>
    </cfRule>
  </conditionalFormatting>
  <conditionalFormatting sqref="C24:D24">
    <cfRule type="dataBar" priority="23">
      <dataBar>
        <cfvo type="min"/>
        <cfvo type="max"/>
        <color rgb="FF008AEF"/>
      </dataBar>
      <extLst>
        <ext xmlns:x14="http://schemas.microsoft.com/office/spreadsheetml/2009/9/main" uri="{B025F937-C7B1-47D3-B67F-A62EFF666E3E}">
          <x14:id>{DDF563C9-55F1-4426-9E59-8FF0524ADEC6}</x14:id>
        </ext>
      </extLst>
    </cfRule>
  </conditionalFormatting>
  <conditionalFormatting sqref="C25:D25">
    <cfRule type="dataBar" priority="22">
      <dataBar>
        <cfvo type="min"/>
        <cfvo type="max"/>
        <color rgb="FF008AEF"/>
      </dataBar>
      <extLst>
        <ext xmlns:x14="http://schemas.microsoft.com/office/spreadsheetml/2009/9/main" uri="{B025F937-C7B1-47D3-B67F-A62EFF666E3E}">
          <x14:id>{70035221-F9FE-431D-A2FE-D14737D643A3}</x14:id>
        </ext>
      </extLst>
    </cfRule>
  </conditionalFormatting>
  <conditionalFormatting sqref="C26:D26">
    <cfRule type="dataBar" priority="21">
      <dataBar>
        <cfvo type="min"/>
        <cfvo type="max"/>
        <color rgb="FF008AEF"/>
      </dataBar>
      <extLst>
        <ext xmlns:x14="http://schemas.microsoft.com/office/spreadsheetml/2009/9/main" uri="{B025F937-C7B1-47D3-B67F-A62EFF666E3E}">
          <x14:id>{72154E08-9734-4B53-8AA0-FCD4292F183D}</x14:id>
        </ext>
      </extLst>
    </cfRule>
  </conditionalFormatting>
  <conditionalFormatting sqref="C27:D27">
    <cfRule type="dataBar" priority="20">
      <dataBar>
        <cfvo type="min"/>
        <cfvo type="max"/>
        <color rgb="FF008AEF"/>
      </dataBar>
      <extLst>
        <ext xmlns:x14="http://schemas.microsoft.com/office/spreadsheetml/2009/9/main" uri="{B025F937-C7B1-47D3-B67F-A62EFF666E3E}">
          <x14:id>{1BDA6FAF-99ED-4A16-B9FF-000465588930}</x14:id>
        </ext>
      </extLst>
    </cfRule>
  </conditionalFormatting>
  <conditionalFormatting sqref="C28:D28">
    <cfRule type="dataBar" priority="19">
      <dataBar>
        <cfvo type="min"/>
        <cfvo type="max"/>
        <color rgb="FF008AEF"/>
      </dataBar>
      <extLst>
        <ext xmlns:x14="http://schemas.microsoft.com/office/spreadsheetml/2009/9/main" uri="{B025F937-C7B1-47D3-B67F-A62EFF666E3E}">
          <x14:id>{44E57A1F-92B5-4140-8F5C-F401FE406103}</x14:id>
        </ext>
      </extLst>
    </cfRule>
  </conditionalFormatting>
  <conditionalFormatting sqref="C29:D29">
    <cfRule type="dataBar" priority="18">
      <dataBar>
        <cfvo type="min"/>
        <cfvo type="max"/>
        <color rgb="FF008AEF"/>
      </dataBar>
      <extLst>
        <ext xmlns:x14="http://schemas.microsoft.com/office/spreadsheetml/2009/9/main" uri="{B025F937-C7B1-47D3-B67F-A62EFF666E3E}">
          <x14:id>{A5008B2D-C025-45F1-8333-0DF547047E60}</x14:id>
        </ext>
      </extLst>
    </cfRule>
  </conditionalFormatting>
  <conditionalFormatting sqref="C30:D30">
    <cfRule type="dataBar" priority="17">
      <dataBar>
        <cfvo type="min"/>
        <cfvo type="max"/>
        <color rgb="FF008AEF"/>
      </dataBar>
      <extLst>
        <ext xmlns:x14="http://schemas.microsoft.com/office/spreadsheetml/2009/9/main" uri="{B025F937-C7B1-47D3-B67F-A62EFF666E3E}">
          <x14:id>{AE927978-C221-4094-ACD6-DECCD9DF9041}</x14:id>
        </ext>
      </extLst>
    </cfRule>
  </conditionalFormatting>
  <conditionalFormatting sqref="C31:D31">
    <cfRule type="dataBar" priority="16">
      <dataBar>
        <cfvo type="min"/>
        <cfvo type="max"/>
        <color rgb="FF008AEF"/>
      </dataBar>
      <extLst>
        <ext xmlns:x14="http://schemas.microsoft.com/office/spreadsheetml/2009/9/main" uri="{B025F937-C7B1-47D3-B67F-A62EFF666E3E}">
          <x14:id>{D7FC87FF-FF13-41F0-8CBB-809EAE33DC59}</x14:id>
        </ext>
      </extLst>
    </cfRule>
  </conditionalFormatting>
  <conditionalFormatting sqref="C32:D32">
    <cfRule type="dataBar" priority="15">
      <dataBar>
        <cfvo type="min"/>
        <cfvo type="max"/>
        <color rgb="FF008AEF"/>
      </dataBar>
      <extLst>
        <ext xmlns:x14="http://schemas.microsoft.com/office/spreadsheetml/2009/9/main" uri="{B025F937-C7B1-47D3-B67F-A62EFF666E3E}">
          <x14:id>{84AC42B6-0B92-4137-B7B7-03A678E040CF}</x14:id>
        </ext>
      </extLst>
    </cfRule>
  </conditionalFormatting>
  <conditionalFormatting sqref="C33:D33">
    <cfRule type="dataBar" priority="14">
      <dataBar>
        <cfvo type="min"/>
        <cfvo type="max"/>
        <color rgb="FF008AEF"/>
      </dataBar>
      <extLst>
        <ext xmlns:x14="http://schemas.microsoft.com/office/spreadsheetml/2009/9/main" uri="{B025F937-C7B1-47D3-B67F-A62EFF666E3E}">
          <x14:id>{F39DF726-016C-42FE-A315-C386CEF4B269}</x14:id>
        </ext>
      </extLst>
    </cfRule>
  </conditionalFormatting>
  <conditionalFormatting sqref="E3:F29 E30:O33">
    <cfRule type="cellIs" dxfId="12" priority="3" operator="greaterThan">
      <formula>0</formula>
    </cfRule>
  </conditionalFormatting>
  <conditionalFormatting sqref="G6:O29">
    <cfRule type="cellIs" dxfId="11" priority="12" operator="greaterThan">
      <formula>0</formula>
    </cfRule>
  </conditionalFormatting>
  <conditionalFormatting sqref="G3:P5">
    <cfRule type="cellIs" dxfId="10" priority="4"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CAC6C8E-3158-4B8D-9A1C-C1E6711186AA}">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74DB5E24-F14A-4427-BD5F-B6BB67137924}">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94FA021-01AE-47E1-8FB6-53C8D16C1F76}">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A29E6D7B-AF98-4CB4-96A2-CBBECF153362}">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25938A30-FB93-471F-9F4C-F8980D524C89}">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BC678132-BB1A-4A39-B56F-7BE3B19E08EB}">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FEF7B274-7CD2-435C-BEA3-3391A190D863}">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D79ACE77-EE6D-48DF-ABB8-7D1792CF7A2C}">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9CB67B77-88AB-4E0E-A5F7-133573DECFD8}">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3EF9549F-1DA3-4624-9099-58CF645042A4}">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89EFCC04-B7BA-462B-AC9E-87AE2D48B4C8}">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9AF45826-5A0D-481B-A949-C97384E975E9}">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70A27A09-5FB4-4B5B-B672-21A751D294A1}">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107EC720-729B-4830-A996-4DE522F33357}">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95EC375D-B7A9-40AF-ABA2-281BAF8CB650}">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D5B00399-A44F-4A28-9E2D-C954145D0CD9}">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BE477F50-250E-42EC-8F7A-E3157A89DC74}">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8AEB9B99-C6C8-48AB-BE60-8F00DA358652}">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F39F2B9D-4A57-425B-9A56-5BF819833A7F}">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BD4B5865-7E55-43BC-876C-CB54F9CC9A60}">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6BA232C5-1B9E-4BDF-A272-03230B1DE664}">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DDF563C9-55F1-4426-9E59-8FF0524ADEC6}">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70035221-F9FE-431D-A2FE-D14737D643A3}">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72154E08-9734-4B53-8AA0-FCD4292F183D}">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1BDA6FAF-99ED-4A16-B9FF-00046558893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44E57A1F-92B5-4140-8F5C-F401FE406103}">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A5008B2D-C025-45F1-8333-0DF547047E60}">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AE927978-C221-4094-ACD6-DECCD9DF9041}">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D7FC87FF-FF13-41F0-8CBB-809EAE33DC59}">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84AC42B6-0B92-4137-B7B7-03A678E040CF}">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F39DF726-016C-42FE-A315-C386CEF4B269}">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37"/>
  <sheetViews>
    <sheetView zoomScale="70" zoomScaleNormal="70" workbookViewId="0">
      <selection activeCell="K6" sqref="K6"/>
    </sheetView>
  </sheetViews>
  <sheetFormatPr baseColWidth="10" defaultColWidth="11.42578125" defaultRowHeight="15" x14ac:dyDescent="0.25"/>
  <cols>
    <col min="1" max="1" width="7.5703125" style="2" customWidth="1"/>
    <col min="2" max="2" width="104.7109375" style="2" customWidth="1"/>
    <col min="3" max="3" width="11.42578125" style="2"/>
    <col min="4" max="4" width="22.42578125" style="2" customWidth="1"/>
    <col min="5" max="9" width="17.28515625" style="2" customWidth="1"/>
    <col min="10" max="16384" width="11.42578125" style="2"/>
  </cols>
  <sheetData>
    <row r="1" spans="1:16" ht="61.5" customHeight="1" x14ac:dyDescent="0.25">
      <c r="A1" s="41" t="s">
        <v>1</v>
      </c>
      <c r="B1" s="21" t="s">
        <v>27</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2"/>
      <c r="B2" s="21"/>
      <c r="C2" s="3">
        <v>2026</v>
      </c>
      <c r="D2" s="3" t="s">
        <v>16</v>
      </c>
      <c r="E2" s="22"/>
      <c r="F2" s="22"/>
      <c r="G2" s="22"/>
      <c r="H2" s="22"/>
      <c r="I2" s="22"/>
      <c r="J2" s="22"/>
      <c r="K2" s="22"/>
      <c r="L2" s="22"/>
      <c r="M2" s="22"/>
      <c r="N2" s="22"/>
      <c r="O2" s="22"/>
      <c r="P2" s="22"/>
    </row>
    <row r="3" spans="1:16" ht="81" customHeight="1" thickBot="1" x14ac:dyDescent="0.3">
      <c r="A3" s="23" t="s">
        <v>18</v>
      </c>
      <c r="B3" s="8" t="s">
        <v>28</v>
      </c>
      <c r="C3" s="24">
        <v>2</v>
      </c>
      <c r="D3" s="20">
        <f t="shared" ref="D3:D7" si="0">SUM(E3:P3)</f>
        <v>1</v>
      </c>
      <c r="E3" s="25">
        <v>1</v>
      </c>
      <c r="F3" s="25"/>
      <c r="G3" s="25"/>
      <c r="H3" s="25"/>
      <c r="I3" s="25"/>
      <c r="J3" s="25"/>
      <c r="K3" s="25"/>
      <c r="L3" s="25"/>
      <c r="M3" s="25"/>
      <c r="N3" s="25"/>
      <c r="O3" s="25"/>
      <c r="P3" s="25"/>
    </row>
    <row r="4" spans="1:16" ht="81" customHeight="1" thickBot="1" x14ac:dyDescent="0.3">
      <c r="A4" s="26" t="s">
        <v>20</v>
      </c>
      <c r="B4" s="9" t="s">
        <v>19</v>
      </c>
      <c r="C4" s="27">
        <v>1</v>
      </c>
      <c r="D4" s="20">
        <f t="shared" si="0"/>
        <v>1</v>
      </c>
      <c r="E4" s="25">
        <v>0</v>
      </c>
      <c r="F4" s="25">
        <v>0</v>
      </c>
      <c r="G4" s="25">
        <v>0</v>
      </c>
      <c r="H4" s="25">
        <v>0</v>
      </c>
      <c r="I4" s="25">
        <v>1</v>
      </c>
      <c r="J4" s="25"/>
      <c r="K4" s="25"/>
      <c r="L4" s="25"/>
      <c r="M4" s="25"/>
      <c r="N4" s="25"/>
      <c r="O4" s="25"/>
      <c r="P4" s="25"/>
    </row>
    <row r="5" spans="1:16" ht="81" customHeight="1" thickBot="1" x14ac:dyDescent="0.3">
      <c r="A5" s="28" t="s">
        <v>22</v>
      </c>
      <c r="B5" s="10" t="s">
        <v>29</v>
      </c>
      <c r="C5" s="29">
        <v>2</v>
      </c>
      <c r="D5" s="20">
        <f t="shared" si="0"/>
        <v>0</v>
      </c>
      <c r="E5" s="25">
        <v>0</v>
      </c>
      <c r="F5" s="25">
        <v>0</v>
      </c>
      <c r="G5" s="25">
        <v>0</v>
      </c>
      <c r="H5" s="25">
        <v>0</v>
      </c>
      <c r="I5" s="25"/>
      <c r="J5" s="25"/>
      <c r="K5" s="25"/>
      <c r="L5" s="25"/>
      <c r="M5" s="25"/>
      <c r="N5" s="25"/>
      <c r="O5" s="25"/>
      <c r="P5" s="25"/>
    </row>
    <row r="6" spans="1:16" ht="81" customHeight="1" thickBot="1" x14ac:dyDescent="0.3">
      <c r="A6" s="23" t="s">
        <v>18</v>
      </c>
      <c r="B6" s="8" t="s">
        <v>30</v>
      </c>
      <c r="C6" s="30">
        <v>2</v>
      </c>
      <c r="D6" s="20">
        <f t="shared" si="0"/>
        <v>0</v>
      </c>
      <c r="E6" s="25"/>
      <c r="F6" s="25"/>
      <c r="G6" s="25"/>
      <c r="H6" s="25"/>
      <c r="I6" s="25"/>
      <c r="J6" s="25"/>
      <c r="K6" s="25"/>
      <c r="L6" s="25"/>
      <c r="M6" s="25"/>
      <c r="N6" s="25"/>
      <c r="O6" s="25"/>
      <c r="P6" s="25"/>
    </row>
    <row r="7" spans="1:16" ht="81" customHeight="1" thickBot="1" x14ac:dyDescent="0.3">
      <c r="A7" s="23" t="s">
        <v>18</v>
      </c>
      <c r="B7" s="8" t="s">
        <v>31</v>
      </c>
      <c r="C7" s="30">
        <v>2</v>
      </c>
      <c r="D7" s="20">
        <f t="shared" si="0"/>
        <v>1</v>
      </c>
      <c r="E7" s="25"/>
      <c r="F7" s="25"/>
      <c r="G7" s="25"/>
      <c r="H7" s="25"/>
      <c r="I7" s="25">
        <v>1</v>
      </c>
      <c r="J7" s="25"/>
      <c r="K7" s="25"/>
      <c r="L7" s="25"/>
      <c r="M7" s="25"/>
      <c r="N7" s="25"/>
      <c r="O7" s="25"/>
      <c r="P7" s="25"/>
    </row>
    <row r="8" spans="1:16" ht="28.5" customHeight="1" x14ac:dyDescent="0.25">
      <c r="A8" s="43" t="s">
        <v>50</v>
      </c>
      <c r="B8" s="31" t="s">
        <v>51</v>
      </c>
      <c r="C8" s="30">
        <v>0</v>
      </c>
      <c r="D8" s="20">
        <f t="shared" ref="D8:D35" si="1">SUM(E8:O8)</f>
        <v>0</v>
      </c>
      <c r="E8" s="25"/>
      <c r="F8" s="25"/>
      <c r="G8" s="25"/>
      <c r="H8" s="25"/>
      <c r="I8" s="25"/>
      <c r="J8" s="25"/>
      <c r="K8" s="25"/>
      <c r="L8" s="25"/>
      <c r="M8" s="25"/>
      <c r="N8" s="25"/>
      <c r="O8" s="25"/>
      <c r="P8" s="32"/>
    </row>
    <row r="9" spans="1:16" ht="28.5" customHeight="1" x14ac:dyDescent="0.25">
      <c r="A9" s="44"/>
      <c r="B9" s="31" t="s">
        <v>52</v>
      </c>
      <c r="C9" s="30">
        <v>0</v>
      </c>
      <c r="D9" s="20">
        <f t="shared" si="1"/>
        <v>0</v>
      </c>
      <c r="E9" s="25"/>
      <c r="F9" s="25"/>
      <c r="G9" s="25"/>
      <c r="H9" s="25"/>
      <c r="I9" s="25"/>
      <c r="J9" s="25"/>
      <c r="K9" s="25"/>
      <c r="L9" s="25"/>
      <c r="M9" s="25"/>
      <c r="N9" s="25"/>
      <c r="O9" s="25"/>
      <c r="P9" s="32"/>
    </row>
    <row r="10" spans="1:16" ht="28.5" customHeight="1" x14ac:dyDescent="0.25">
      <c r="A10" s="44"/>
      <c r="B10" s="31" t="s">
        <v>53</v>
      </c>
      <c r="C10" s="30">
        <v>40</v>
      </c>
      <c r="D10" s="20">
        <f t="shared" si="1"/>
        <v>19</v>
      </c>
      <c r="E10" s="25">
        <v>6</v>
      </c>
      <c r="F10" s="25">
        <v>3</v>
      </c>
      <c r="G10" s="25">
        <v>1</v>
      </c>
      <c r="H10" s="25">
        <v>5</v>
      </c>
      <c r="I10" s="25">
        <v>3</v>
      </c>
      <c r="J10" s="25">
        <v>1</v>
      </c>
      <c r="K10" s="25"/>
      <c r="L10" s="25"/>
      <c r="M10" s="25"/>
      <c r="N10" s="25"/>
      <c r="O10" s="25"/>
      <c r="P10" s="32"/>
    </row>
    <row r="11" spans="1:16" ht="28.5" customHeight="1" x14ac:dyDescent="0.25">
      <c r="A11" s="44"/>
      <c r="B11" s="31" t="s">
        <v>54</v>
      </c>
      <c r="C11" s="30">
        <v>20</v>
      </c>
      <c r="D11" s="20">
        <f t="shared" si="1"/>
        <v>6</v>
      </c>
      <c r="E11" s="25"/>
      <c r="F11" s="25"/>
      <c r="G11" s="25"/>
      <c r="H11" s="25">
        <v>6</v>
      </c>
      <c r="I11" s="25"/>
      <c r="J11" s="25"/>
      <c r="K11" s="25"/>
      <c r="L11" s="25"/>
      <c r="M11" s="25"/>
      <c r="N11" s="25"/>
      <c r="O11" s="25"/>
      <c r="P11" s="32"/>
    </row>
    <row r="12" spans="1:16" ht="28.5" customHeight="1" x14ac:dyDescent="0.25">
      <c r="A12" s="44"/>
      <c r="B12" s="31" t="s">
        <v>55</v>
      </c>
      <c r="C12" s="30">
        <v>0</v>
      </c>
      <c r="D12" s="20">
        <f t="shared" si="1"/>
        <v>0</v>
      </c>
      <c r="E12" s="25"/>
      <c r="F12" s="25"/>
      <c r="G12" s="25"/>
      <c r="H12" s="25"/>
      <c r="I12" s="25"/>
      <c r="J12" s="25"/>
      <c r="K12" s="25"/>
      <c r="L12" s="25"/>
      <c r="M12" s="25"/>
      <c r="N12" s="25"/>
      <c r="O12" s="25"/>
      <c r="P12" s="32"/>
    </row>
    <row r="13" spans="1:16" ht="28.5" customHeight="1" x14ac:dyDescent="0.25">
      <c r="A13" s="44"/>
      <c r="B13" s="31" t="s">
        <v>56</v>
      </c>
      <c r="C13" s="30">
        <v>0</v>
      </c>
      <c r="D13" s="20">
        <f t="shared" si="1"/>
        <v>0</v>
      </c>
      <c r="E13" s="25"/>
      <c r="F13" s="25"/>
      <c r="G13" s="25"/>
      <c r="H13" s="25"/>
      <c r="I13" s="25"/>
      <c r="J13" s="25"/>
      <c r="K13" s="25"/>
      <c r="L13" s="25"/>
      <c r="M13" s="25"/>
      <c r="N13" s="25"/>
      <c r="O13" s="25"/>
      <c r="P13" s="32"/>
    </row>
    <row r="14" spans="1:16" ht="28.5" customHeight="1" x14ac:dyDescent="0.25">
      <c r="A14" s="44"/>
      <c r="B14" s="31" t="s">
        <v>57</v>
      </c>
      <c r="C14" s="30">
        <v>0</v>
      </c>
      <c r="D14" s="20">
        <f t="shared" si="1"/>
        <v>0</v>
      </c>
      <c r="E14" s="25"/>
      <c r="F14" s="25"/>
      <c r="G14" s="25"/>
      <c r="H14" s="25"/>
      <c r="I14" s="25"/>
      <c r="J14" s="25"/>
      <c r="K14" s="25"/>
      <c r="L14" s="25"/>
      <c r="M14" s="25"/>
      <c r="N14" s="25"/>
      <c r="O14" s="25"/>
      <c r="P14" s="32"/>
    </row>
    <row r="15" spans="1:16" ht="28.5" customHeight="1" x14ac:dyDescent="0.25">
      <c r="A15" s="44"/>
      <c r="B15" s="31" t="s">
        <v>58</v>
      </c>
      <c r="C15" s="30">
        <v>0</v>
      </c>
      <c r="D15" s="20">
        <f t="shared" si="1"/>
        <v>0</v>
      </c>
      <c r="E15" s="25"/>
      <c r="F15" s="25"/>
      <c r="G15" s="25"/>
      <c r="H15" s="25"/>
      <c r="I15" s="25"/>
      <c r="J15" s="25"/>
      <c r="K15" s="25"/>
      <c r="L15" s="25"/>
      <c r="M15" s="25"/>
      <c r="N15" s="25"/>
      <c r="O15" s="25"/>
      <c r="P15" s="32"/>
    </row>
    <row r="16" spans="1:16" ht="28.5" customHeight="1" x14ac:dyDescent="0.25">
      <c r="A16" s="44"/>
      <c r="B16" s="31" t="s">
        <v>59</v>
      </c>
      <c r="C16" s="30">
        <v>0</v>
      </c>
      <c r="D16" s="20">
        <f t="shared" si="1"/>
        <v>0</v>
      </c>
      <c r="E16" s="25"/>
      <c r="F16" s="25"/>
      <c r="G16" s="25"/>
      <c r="H16" s="25"/>
      <c r="I16" s="25"/>
      <c r="J16" s="25"/>
      <c r="K16" s="25"/>
      <c r="L16" s="25"/>
      <c r="M16" s="25"/>
      <c r="N16" s="25"/>
      <c r="O16" s="25"/>
      <c r="P16" s="32"/>
    </row>
    <row r="17" spans="1:16" ht="28.5" customHeight="1" x14ac:dyDescent="0.25">
      <c r="A17" s="44"/>
      <c r="B17" s="31" t="s">
        <v>60</v>
      </c>
      <c r="C17" s="30">
        <v>0</v>
      </c>
      <c r="D17" s="20">
        <f t="shared" si="1"/>
        <v>0</v>
      </c>
      <c r="E17" s="25"/>
      <c r="F17" s="25"/>
      <c r="G17" s="25"/>
      <c r="H17" s="25"/>
      <c r="I17" s="25"/>
      <c r="J17" s="25"/>
      <c r="K17" s="25"/>
      <c r="L17" s="25"/>
      <c r="M17" s="25"/>
      <c r="N17" s="25"/>
      <c r="O17" s="25"/>
      <c r="P17" s="32"/>
    </row>
    <row r="18" spans="1:16" ht="28.5" customHeight="1" x14ac:dyDescent="0.25">
      <c r="A18" s="44"/>
      <c r="B18" s="31" t="s">
        <v>61</v>
      </c>
      <c r="C18" s="30">
        <v>0</v>
      </c>
      <c r="D18" s="20">
        <f t="shared" si="1"/>
        <v>0</v>
      </c>
      <c r="E18" s="25"/>
      <c r="F18" s="25"/>
      <c r="G18" s="25"/>
      <c r="H18" s="25"/>
      <c r="I18" s="25"/>
      <c r="J18" s="25"/>
      <c r="K18" s="25"/>
      <c r="L18" s="25"/>
      <c r="M18" s="25"/>
      <c r="N18" s="25"/>
      <c r="O18" s="25"/>
      <c r="P18" s="32"/>
    </row>
    <row r="19" spans="1:16" ht="28.5" customHeight="1" x14ac:dyDescent="0.25">
      <c r="A19" s="44"/>
      <c r="B19" s="31" t="s">
        <v>62</v>
      </c>
      <c r="C19" s="30">
        <v>0</v>
      </c>
      <c r="D19" s="20">
        <f t="shared" si="1"/>
        <v>0</v>
      </c>
      <c r="E19" s="25"/>
      <c r="F19" s="25"/>
      <c r="G19" s="25"/>
      <c r="H19" s="25"/>
      <c r="I19" s="25"/>
      <c r="J19" s="25"/>
      <c r="K19" s="25"/>
      <c r="L19" s="25"/>
      <c r="M19" s="25"/>
      <c r="N19" s="25"/>
      <c r="O19" s="25"/>
      <c r="P19" s="32"/>
    </row>
    <row r="20" spans="1:16" ht="28.5" customHeight="1" x14ac:dyDescent="0.25">
      <c r="A20" s="44"/>
      <c r="B20" s="31" t="s">
        <v>63</v>
      </c>
      <c r="C20" s="30">
        <v>0</v>
      </c>
      <c r="D20" s="20">
        <f t="shared" si="1"/>
        <v>0</v>
      </c>
      <c r="E20" s="25"/>
      <c r="F20" s="25"/>
      <c r="G20" s="25"/>
      <c r="H20" s="25"/>
      <c r="I20" s="25"/>
      <c r="J20" s="25"/>
      <c r="K20" s="25"/>
      <c r="L20" s="25"/>
      <c r="M20" s="25"/>
      <c r="N20" s="25"/>
      <c r="O20" s="25"/>
      <c r="P20" s="32"/>
    </row>
    <row r="21" spans="1:16" ht="28.5" customHeight="1" x14ac:dyDescent="0.25">
      <c r="A21" s="44"/>
      <c r="B21" s="31" t="s">
        <v>64</v>
      </c>
      <c r="C21" s="30">
        <v>0</v>
      </c>
      <c r="D21" s="20">
        <f t="shared" si="1"/>
        <v>0</v>
      </c>
      <c r="E21" s="25"/>
      <c r="F21" s="25"/>
      <c r="G21" s="25"/>
      <c r="H21" s="25"/>
      <c r="I21" s="25"/>
      <c r="J21" s="25"/>
      <c r="K21" s="25"/>
      <c r="L21" s="25"/>
      <c r="M21" s="25"/>
      <c r="N21" s="25"/>
      <c r="O21" s="25"/>
      <c r="P21" s="32"/>
    </row>
    <row r="22" spans="1:16" ht="28.5" customHeight="1" x14ac:dyDescent="0.25">
      <c r="A22" s="44"/>
      <c r="B22" s="31" t="s">
        <v>65</v>
      </c>
      <c r="C22" s="30">
        <v>92</v>
      </c>
      <c r="D22" s="20">
        <f t="shared" si="1"/>
        <v>46</v>
      </c>
      <c r="E22" s="25">
        <v>21</v>
      </c>
      <c r="F22" s="25">
        <v>7</v>
      </c>
      <c r="G22" s="25"/>
      <c r="H22" s="25">
        <v>11</v>
      </c>
      <c r="I22" s="25">
        <v>7</v>
      </c>
      <c r="J22" s="25"/>
      <c r="K22" s="25"/>
      <c r="L22" s="25"/>
      <c r="M22" s="25"/>
      <c r="N22" s="25"/>
      <c r="O22" s="25"/>
      <c r="P22" s="32"/>
    </row>
    <row r="23" spans="1:16" ht="28.5" customHeight="1" x14ac:dyDescent="0.25">
      <c r="A23" s="44"/>
      <c r="B23" s="31" t="s">
        <v>66</v>
      </c>
      <c r="C23" s="30">
        <v>0</v>
      </c>
      <c r="D23" s="20">
        <f t="shared" si="1"/>
        <v>0</v>
      </c>
      <c r="E23" s="25"/>
      <c r="F23" s="25"/>
      <c r="G23" s="25"/>
      <c r="H23" s="25"/>
      <c r="I23" s="25"/>
      <c r="J23" s="25"/>
      <c r="K23" s="25"/>
      <c r="L23" s="25"/>
      <c r="M23" s="25"/>
      <c r="N23" s="25"/>
      <c r="O23" s="25"/>
      <c r="P23" s="32"/>
    </row>
    <row r="24" spans="1:16" ht="24" customHeight="1" x14ac:dyDescent="0.25">
      <c r="A24" s="44"/>
      <c r="B24" s="33" t="s">
        <v>67</v>
      </c>
      <c r="C24" s="30">
        <v>7</v>
      </c>
      <c r="D24" s="20">
        <f t="shared" si="1"/>
        <v>7</v>
      </c>
      <c r="E24" s="25"/>
      <c r="F24" s="25"/>
      <c r="G24" s="25">
        <v>7</v>
      </c>
      <c r="H24" s="25"/>
      <c r="I24" s="25"/>
      <c r="J24" s="25"/>
      <c r="K24" s="25"/>
      <c r="L24" s="25"/>
      <c r="M24" s="25"/>
      <c r="N24" s="25"/>
      <c r="O24" s="25"/>
      <c r="P24" s="32"/>
    </row>
    <row r="25" spans="1:16" ht="24" customHeight="1" x14ac:dyDescent="0.25">
      <c r="A25" s="44"/>
      <c r="B25" s="33" t="s">
        <v>68</v>
      </c>
      <c r="C25" s="30">
        <v>7</v>
      </c>
      <c r="D25" s="20">
        <f t="shared" si="1"/>
        <v>7</v>
      </c>
      <c r="E25" s="25"/>
      <c r="F25" s="25"/>
      <c r="G25" s="25"/>
      <c r="H25" s="25">
        <v>7</v>
      </c>
      <c r="I25" s="25"/>
      <c r="J25" s="25"/>
      <c r="K25" s="25"/>
      <c r="L25" s="25"/>
      <c r="M25" s="25"/>
      <c r="N25" s="25"/>
      <c r="O25" s="25"/>
      <c r="P25" s="32"/>
    </row>
    <row r="26" spans="1:16" ht="24" customHeight="1" x14ac:dyDescent="0.25">
      <c r="A26" s="44"/>
      <c r="B26" s="33" t="s">
        <v>69</v>
      </c>
      <c r="C26" s="30">
        <v>7</v>
      </c>
      <c r="D26" s="20">
        <f t="shared" si="1"/>
        <v>7</v>
      </c>
      <c r="E26" s="25"/>
      <c r="F26" s="25"/>
      <c r="G26" s="25"/>
      <c r="H26" s="25"/>
      <c r="I26" s="25">
        <v>7</v>
      </c>
      <c r="J26" s="25"/>
      <c r="K26" s="25"/>
      <c r="L26" s="25"/>
      <c r="M26" s="25"/>
      <c r="N26" s="25"/>
      <c r="O26" s="25"/>
      <c r="P26" s="32"/>
    </row>
    <row r="27" spans="1:16" ht="24" customHeight="1" x14ac:dyDescent="0.25">
      <c r="A27" s="44"/>
      <c r="B27" s="33" t="s">
        <v>70</v>
      </c>
      <c r="C27" s="30">
        <v>7</v>
      </c>
      <c r="D27" s="20">
        <f t="shared" si="1"/>
        <v>3</v>
      </c>
      <c r="E27" s="25"/>
      <c r="F27" s="25"/>
      <c r="G27" s="25"/>
      <c r="H27" s="25"/>
      <c r="I27" s="25"/>
      <c r="J27" s="25">
        <v>3</v>
      </c>
      <c r="K27" s="25"/>
      <c r="L27" s="25"/>
      <c r="M27" s="25"/>
      <c r="N27" s="25"/>
      <c r="O27" s="25"/>
      <c r="P27" s="32"/>
    </row>
    <row r="28" spans="1:16" ht="24" customHeight="1" x14ac:dyDescent="0.25">
      <c r="A28" s="44"/>
      <c r="B28" s="33" t="s">
        <v>71</v>
      </c>
      <c r="C28" s="30">
        <v>7</v>
      </c>
      <c r="D28" s="20">
        <f t="shared" si="1"/>
        <v>0</v>
      </c>
      <c r="E28" s="25"/>
      <c r="F28" s="25"/>
      <c r="G28" s="25"/>
      <c r="H28" s="25"/>
      <c r="I28" s="25"/>
      <c r="J28" s="25"/>
      <c r="K28" s="25"/>
      <c r="L28" s="25"/>
      <c r="M28" s="25"/>
      <c r="N28" s="25"/>
      <c r="O28" s="25"/>
      <c r="P28" s="32"/>
    </row>
    <row r="29" spans="1:16" ht="24" customHeight="1" x14ac:dyDescent="0.25">
      <c r="A29" s="44"/>
      <c r="B29" s="33" t="s">
        <v>72</v>
      </c>
      <c r="C29" s="30">
        <v>1</v>
      </c>
      <c r="D29" s="20">
        <f t="shared" si="1"/>
        <v>0</v>
      </c>
      <c r="E29" s="25"/>
      <c r="F29" s="25"/>
      <c r="G29" s="25"/>
      <c r="H29" s="25"/>
      <c r="I29" s="25"/>
      <c r="J29" s="25"/>
      <c r="K29" s="25"/>
      <c r="L29" s="25"/>
      <c r="M29" s="25"/>
      <c r="N29" s="25"/>
      <c r="O29" s="25"/>
      <c r="P29" s="32"/>
    </row>
    <row r="30" spans="1:16" ht="24" customHeight="1" x14ac:dyDescent="0.25">
      <c r="A30" s="44"/>
      <c r="B30" s="33" t="s">
        <v>73</v>
      </c>
      <c r="C30" s="30">
        <v>1</v>
      </c>
      <c r="D30" s="20">
        <f t="shared" si="1"/>
        <v>0</v>
      </c>
      <c r="E30" s="25"/>
      <c r="F30" s="25"/>
      <c r="G30" s="25"/>
      <c r="H30" s="25"/>
      <c r="I30" s="25"/>
      <c r="J30" s="25"/>
      <c r="K30" s="25"/>
      <c r="L30" s="25"/>
      <c r="M30" s="25"/>
      <c r="N30" s="25"/>
      <c r="O30" s="25"/>
      <c r="P30" s="32"/>
    </row>
    <row r="31" spans="1:16" ht="24" customHeight="1" x14ac:dyDescent="0.25">
      <c r="A31" s="44"/>
      <c r="B31" s="33" t="s">
        <v>74</v>
      </c>
      <c r="C31" s="30">
        <v>1</v>
      </c>
      <c r="D31" s="20">
        <f t="shared" si="1"/>
        <v>0</v>
      </c>
      <c r="E31" s="25"/>
      <c r="F31" s="25"/>
      <c r="G31" s="25"/>
      <c r="H31" s="25"/>
      <c r="I31" s="25"/>
      <c r="J31" s="25"/>
      <c r="K31" s="25"/>
      <c r="L31" s="25"/>
      <c r="M31" s="25"/>
      <c r="N31" s="25"/>
      <c r="O31" s="25"/>
      <c r="P31" s="32"/>
    </row>
    <row r="32" spans="1:16" ht="24" customHeight="1" x14ac:dyDescent="0.25">
      <c r="A32" s="44"/>
      <c r="B32" s="33" t="s">
        <v>75</v>
      </c>
      <c r="C32" s="30">
        <v>1</v>
      </c>
      <c r="D32" s="20">
        <f t="shared" si="1"/>
        <v>0</v>
      </c>
      <c r="E32" s="25"/>
      <c r="F32" s="25"/>
      <c r="G32" s="25"/>
      <c r="H32" s="25"/>
      <c r="I32" s="25"/>
      <c r="J32" s="25"/>
      <c r="K32" s="25"/>
      <c r="L32" s="25"/>
      <c r="M32" s="25"/>
      <c r="N32" s="25"/>
      <c r="O32" s="25"/>
      <c r="P32" s="32"/>
    </row>
    <row r="33" spans="1:16" ht="24" customHeight="1" x14ac:dyDescent="0.25">
      <c r="A33" s="44"/>
      <c r="B33" s="33" t="s">
        <v>76</v>
      </c>
      <c r="C33" s="30">
        <v>1</v>
      </c>
      <c r="D33" s="20">
        <f t="shared" si="1"/>
        <v>0</v>
      </c>
      <c r="E33" s="25"/>
      <c r="F33" s="25"/>
      <c r="G33" s="25"/>
      <c r="H33" s="25"/>
      <c r="I33" s="25"/>
      <c r="J33" s="25"/>
      <c r="K33" s="25"/>
      <c r="L33" s="25"/>
      <c r="M33" s="25"/>
      <c r="N33" s="25"/>
      <c r="O33" s="25"/>
      <c r="P33" s="32"/>
    </row>
    <row r="34" spans="1:16" ht="24" customHeight="1" x14ac:dyDescent="0.25">
      <c r="A34" s="44"/>
      <c r="B34" s="33" t="s">
        <v>77</v>
      </c>
      <c r="C34" s="30">
        <v>1</v>
      </c>
      <c r="D34" s="20">
        <f t="shared" si="1"/>
        <v>0</v>
      </c>
      <c r="E34" s="25"/>
      <c r="F34" s="25"/>
      <c r="G34" s="25"/>
      <c r="H34" s="25"/>
      <c r="I34" s="25"/>
      <c r="J34" s="25"/>
      <c r="K34" s="25"/>
      <c r="L34" s="25"/>
      <c r="M34" s="25"/>
      <c r="N34" s="25"/>
      <c r="O34" s="25"/>
      <c r="P34" s="32"/>
    </row>
    <row r="35" spans="1:16" ht="24" customHeight="1" thickBot="1" x14ac:dyDescent="0.3">
      <c r="A35" s="45"/>
      <c r="B35" s="34" t="s">
        <v>78</v>
      </c>
      <c r="C35" s="30">
        <v>1</v>
      </c>
      <c r="D35" s="20">
        <f t="shared" si="1"/>
        <v>0</v>
      </c>
      <c r="E35" s="25"/>
      <c r="F35" s="25"/>
      <c r="G35" s="25"/>
      <c r="H35" s="25"/>
      <c r="I35" s="25"/>
      <c r="J35" s="25"/>
      <c r="K35" s="25"/>
      <c r="L35" s="25"/>
      <c r="M35" s="25"/>
      <c r="N35" s="25"/>
      <c r="O35" s="25"/>
      <c r="P35" s="32"/>
    </row>
    <row r="36" spans="1:16" x14ac:dyDescent="0.25">
      <c r="C36" s="35">
        <f>SUM(C3:C35)</f>
        <v>203</v>
      </c>
      <c r="D36" s="36">
        <f>SUM(D3:D35)</f>
        <v>98</v>
      </c>
    </row>
    <row r="37" spans="1:16" x14ac:dyDescent="0.25">
      <c r="C37" s="37"/>
      <c r="D37" s="38">
        <f>D36/C36</f>
        <v>0.48275862068965519</v>
      </c>
    </row>
  </sheetData>
  <sheetProtection algorithmName="SHA-512" hashValue="Q6pvpFVXYIai1R+neorKu/UK5iMBRnYLDJyrQMJiOEgRSalJsymgEC6eqI8UziRWJEuQ08clN8KyCzHNerNK1g==" saltValue="5wBWL/hiyqmofjcltfKnZw==" spinCount="100000" sheet="1" objects="1" scenarios="1" autoFilter="0"/>
  <mergeCells count="2">
    <mergeCell ref="A1:A2"/>
    <mergeCell ref="A8:A35"/>
  </mergeCells>
  <conditionalFormatting sqref="C3:D3 D4:D7">
    <cfRule type="dataBar" priority="46">
      <dataBar>
        <cfvo type="min"/>
        <cfvo type="max"/>
        <color rgb="FF008AEF"/>
      </dataBar>
      <extLst>
        <ext xmlns:x14="http://schemas.microsoft.com/office/spreadsheetml/2009/9/main" uri="{B025F937-C7B1-47D3-B67F-A62EFF666E3E}">
          <x14:id>{2843D84D-D149-43F9-BF2F-6B4827E7EB38}</x14:id>
        </ext>
      </extLst>
    </cfRule>
  </conditionalFormatting>
  <conditionalFormatting sqref="C4:D4">
    <cfRule type="dataBar" priority="6">
      <dataBar>
        <cfvo type="min"/>
        <cfvo type="max"/>
        <color rgb="FF008AEF"/>
      </dataBar>
      <extLst>
        <ext xmlns:x14="http://schemas.microsoft.com/office/spreadsheetml/2009/9/main" uri="{B025F937-C7B1-47D3-B67F-A62EFF666E3E}">
          <x14:id>{95A81F5B-5474-4714-A71F-62297115162B}</x14:id>
        </ext>
      </extLst>
    </cfRule>
  </conditionalFormatting>
  <conditionalFormatting sqref="C5:D5">
    <cfRule type="dataBar" priority="7">
      <dataBar>
        <cfvo type="min"/>
        <cfvo type="max"/>
        <color rgb="FF008AEF"/>
      </dataBar>
      <extLst>
        <ext xmlns:x14="http://schemas.microsoft.com/office/spreadsheetml/2009/9/main" uri="{B025F937-C7B1-47D3-B67F-A62EFF666E3E}">
          <x14:id>{2033265C-CEA4-4091-A370-8D8DAFD8082A}</x14:id>
        </ext>
      </extLst>
    </cfRule>
  </conditionalFormatting>
  <conditionalFormatting sqref="C6:D6">
    <cfRule type="dataBar" priority="8">
      <dataBar>
        <cfvo type="min"/>
        <cfvo type="max"/>
        <color rgb="FF008AEF"/>
      </dataBar>
      <extLst>
        <ext xmlns:x14="http://schemas.microsoft.com/office/spreadsheetml/2009/9/main" uri="{B025F937-C7B1-47D3-B67F-A62EFF666E3E}">
          <x14:id>{A34A24DD-A47A-45FD-98E0-89783BF80877}</x14:id>
        </ext>
      </extLst>
    </cfRule>
  </conditionalFormatting>
  <conditionalFormatting sqref="C7:D7">
    <cfRule type="dataBar" priority="9">
      <dataBar>
        <cfvo type="min"/>
        <cfvo type="max"/>
        <color rgb="FF008AEF"/>
      </dataBar>
      <extLst>
        <ext xmlns:x14="http://schemas.microsoft.com/office/spreadsheetml/2009/9/main" uri="{B025F937-C7B1-47D3-B67F-A62EFF666E3E}">
          <x14:id>{227C1AA7-DEEB-46E5-8566-8406EA43764A}</x14:id>
        </ext>
      </extLst>
    </cfRule>
  </conditionalFormatting>
  <conditionalFormatting sqref="C8:D8">
    <cfRule type="dataBar" priority="13">
      <dataBar>
        <cfvo type="min"/>
        <cfvo type="max"/>
        <color rgb="FF008AEF"/>
      </dataBar>
      <extLst>
        <ext xmlns:x14="http://schemas.microsoft.com/office/spreadsheetml/2009/9/main" uri="{B025F937-C7B1-47D3-B67F-A62EFF666E3E}">
          <x14:id>{7A06001D-983C-4B9F-AAA1-6B73113544B6}</x14:id>
        </ext>
      </extLst>
    </cfRule>
  </conditionalFormatting>
  <conditionalFormatting sqref="C9:D9">
    <cfRule type="dataBar" priority="40">
      <dataBar>
        <cfvo type="min"/>
        <cfvo type="max"/>
        <color rgb="FF008AEF"/>
      </dataBar>
      <extLst>
        <ext xmlns:x14="http://schemas.microsoft.com/office/spreadsheetml/2009/9/main" uri="{B025F937-C7B1-47D3-B67F-A62EFF666E3E}">
          <x14:id>{C024E58F-0925-4764-81B1-0528BB3E75E3}</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{3AB260DA-A846-4DE0-8C5A-BBAD567153B8}</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{73716D5F-C920-45C9-A73B-F5A1887FCE57}</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{A00A2BAE-60B2-49B1-862F-BB07E99A86DA}</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{E01B2093-0E1D-4FAA-B5EA-AC813669935C}</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{B35906A2-9924-4BC8-88FC-31E812BD9300}</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{06B733BB-F5A6-499A-A987-BA3EBAF95E71}</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{430E673E-8613-480C-8760-C65BACB4CF1D}</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{A0D2753D-BFD0-467D-B157-626A7BFFA6A3}</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{1CB79C75-5FF6-4F3B-B1E1-287495EEFF80}</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{4D49CF02-6D5E-4A93-A5F1-DB20988A8E10}</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{7D3F4458-AF25-4CC0-8013-12024F5C893E}</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{FD991FCC-F350-4777-A897-CC7587905EE0}</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{18CCF75E-C30B-4376-AE60-9F69B88B8214}</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{6AB56576-0085-4527-B696-79CA4180C9CB}</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{C2525286-52AF-4A05-A9E7-1305CDBFD8C3}</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{F4CEEB9F-9493-4503-81CC-DC1042765204}</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{1E9C0DA0-6B9D-4EE8-A9E8-7B4D96311337}</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{8CEF9F3C-CB2F-42DF-A60E-E862E603CA9F}</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{44B68789-4958-4824-8B91-6CCB63CBE863}</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{89910D95-C397-419B-A287-8F951A397016}</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{DD29C01E-5C36-4760-A6A3-CE7F6950AEDB}</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{9E4F0782-8FEB-4B21-8CF3-40923F1CF242}</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{A43EAEC2-6D4C-4593-894C-295EE76430AB}</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{E1C2F8B6-5986-42A0-99D5-6D2977B7D2BD}</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{53D6B8F8-1020-40BF-87E3-CF9F69D8031B}</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{F4B74AB9-2F38-478F-80F1-60DAA7FFAA13}</x14:id>
        </ext>
      </extLst>
    </cfRule>
  </conditionalFormatting>
  <conditionalFormatting sqref="E3:F31 E32:O35">
    <cfRule type="cellIs" dxfId="9" priority="3" operator="greaterThan">
      <formula>0</formula>
    </cfRule>
  </conditionalFormatting>
  <conditionalFormatting sqref="G8:O31">
    <cfRule type="cellIs" dxfId="8" priority="12" operator="greaterThan">
      <formula>0</formula>
    </cfRule>
  </conditionalFormatting>
  <conditionalFormatting sqref="G3:P7">
    <cfRule type="cellIs" dxfId="7" priority="4"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2843D84D-D149-43F9-BF2F-6B4827E7EB38}">
            <x14:dataBar minLength="0" maxLength="100" gradient="0">
              <x14:cfvo type="autoMin"/>
              <x14:cfvo type="autoMax"/>
              <x14:negativeFillColor rgb="FFFF0000"/>
              <x14:axisColor rgb="FF000000"/>
            </x14:dataBar>
          </x14:cfRule>
          <xm:sqref>C3:D3 D4:D7</xm:sqref>
        </x14:conditionalFormatting>
        <x14:conditionalFormatting xmlns:xm="http://schemas.microsoft.com/office/excel/2006/main">
          <x14:cfRule type="dataBar" id="{95A81F5B-5474-4714-A71F-62297115162B}">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2033265C-CEA4-4091-A370-8D8DAFD8082A}">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A34A24DD-A47A-45FD-98E0-89783BF80877}">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227C1AA7-DEEB-46E5-8566-8406EA43764A}">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7A06001D-983C-4B9F-AAA1-6B73113544B6}">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C024E58F-0925-4764-81B1-0528BB3E75E3}">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3AB260DA-A846-4DE0-8C5A-BBAD567153B8}">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73716D5F-C920-45C9-A73B-F5A1887FCE57}">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A00A2BAE-60B2-49B1-862F-BB07E99A86DA}">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E01B2093-0E1D-4FAA-B5EA-AC813669935C}">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B35906A2-9924-4BC8-88FC-31E812BD9300}">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06B733BB-F5A6-499A-A987-BA3EBAF95E71}">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430E673E-8613-480C-8760-C65BACB4CF1D}">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A0D2753D-BFD0-467D-B157-626A7BFFA6A3}">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1CB79C75-5FF6-4F3B-B1E1-287495EEFF80}">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4D49CF02-6D5E-4A93-A5F1-DB20988A8E10}">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7D3F4458-AF25-4CC0-8013-12024F5C893E}">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FD991FCC-F350-4777-A897-CC7587905EE0}">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18CCF75E-C30B-4376-AE60-9F69B88B8214}">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6AB56576-0085-4527-B696-79CA4180C9CB}">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C2525286-52AF-4A05-A9E7-1305CDBFD8C3}">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F4CEEB9F-9493-4503-81CC-DC1042765204}">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1E9C0DA0-6B9D-4EE8-A9E8-7B4D96311337}">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8CEF9F3C-CB2F-42DF-A60E-E862E603CA9F}">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44B68789-4958-4824-8B91-6CCB63CBE863}">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89910D95-C397-419B-A287-8F951A397016}">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DD29C01E-5C36-4760-A6A3-CE7F6950AEDB}">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9E4F0782-8FEB-4B21-8CF3-40923F1CF242}">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A43EAEC2-6D4C-4593-894C-295EE76430AB}">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E1C2F8B6-5986-42A0-99D5-6D2977B7D2BD}">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53D6B8F8-1020-40BF-87E3-CF9F69D8031B}">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F4B74AB9-2F38-478F-80F1-60DAA7FFAA13}">
            <x14:dataBar minLength="0" maxLength="100" gradient="0">
              <x14:cfvo type="autoMin"/>
              <x14:cfvo type="autoMax"/>
              <x14:negativeFillColor rgb="FFFF0000"/>
              <x14:axisColor rgb="FF000000"/>
            </x14:dataBar>
          </x14:cfRule>
          <xm:sqref>C35:D35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P35"/>
  <sheetViews>
    <sheetView zoomScale="70" zoomScaleNormal="70" workbookViewId="0">
      <selection activeCell="K20" sqref="K20"/>
    </sheetView>
  </sheetViews>
  <sheetFormatPr baseColWidth="10" defaultColWidth="11.42578125" defaultRowHeight="15" x14ac:dyDescent="0.25"/>
  <cols>
    <col min="1" max="1" width="7.7109375" style="2" customWidth="1"/>
    <col min="2" max="2" width="106.5703125" style="2" customWidth="1"/>
    <col min="3" max="3" width="11.42578125" style="2"/>
    <col min="4" max="4" width="22.42578125" style="2" customWidth="1"/>
    <col min="5" max="9" width="17.28515625" style="2" customWidth="1"/>
    <col min="10" max="16384" width="11.42578125" style="2"/>
  </cols>
  <sheetData>
    <row r="1" spans="1:16" ht="61.5" customHeight="1" x14ac:dyDescent="0.25">
      <c r="A1" s="41" t="s">
        <v>1</v>
      </c>
      <c r="B1" s="21" t="s">
        <v>32</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2"/>
      <c r="B2" s="21"/>
      <c r="C2" s="3">
        <v>2026</v>
      </c>
      <c r="D2" s="3" t="s">
        <v>16</v>
      </c>
      <c r="E2" s="22"/>
      <c r="F2" s="22"/>
      <c r="G2" s="22"/>
      <c r="H2" s="22"/>
      <c r="I2" s="22"/>
      <c r="J2" s="22"/>
      <c r="K2" s="22"/>
      <c r="L2" s="22"/>
      <c r="M2" s="22"/>
      <c r="N2" s="22"/>
      <c r="O2" s="22"/>
      <c r="P2" s="22"/>
    </row>
    <row r="3" spans="1:16" ht="81" customHeight="1" thickBot="1" x14ac:dyDescent="0.3">
      <c r="A3" s="23" t="s">
        <v>18</v>
      </c>
      <c r="B3" s="11" t="s">
        <v>28</v>
      </c>
      <c r="C3" s="24">
        <v>2</v>
      </c>
      <c r="D3" s="20">
        <f t="shared" ref="D3:D5" si="0">SUM(E3:P3)</f>
        <v>0</v>
      </c>
      <c r="E3" s="25"/>
      <c r="F3" s="25"/>
      <c r="G3" s="25"/>
      <c r="H3" s="25"/>
      <c r="I3" s="25"/>
      <c r="J3" s="25"/>
      <c r="K3" s="25"/>
      <c r="L3" s="25"/>
      <c r="M3" s="25"/>
      <c r="N3" s="25"/>
      <c r="O3" s="25"/>
      <c r="P3" s="25"/>
    </row>
    <row r="4" spans="1:16" ht="81" customHeight="1" x14ac:dyDescent="0.25">
      <c r="A4" s="26" t="s">
        <v>20</v>
      </c>
      <c r="B4" s="6" t="s">
        <v>19</v>
      </c>
      <c r="C4" s="27">
        <v>1</v>
      </c>
      <c r="D4" s="20">
        <f t="shared" si="0"/>
        <v>0</v>
      </c>
      <c r="E4" s="25">
        <v>0</v>
      </c>
      <c r="F4" s="25">
        <v>0</v>
      </c>
      <c r="G4" s="25">
        <v>0</v>
      </c>
      <c r="H4" s="25">
        <v>0</v>
      </c>
      <c r="I4" s="25"/>
      <c r="J4" s="25"/>
      <c r="K4" s="25"/>
      <c r="L4" s="25"/>
      <c r="M4" s="25"/>
      <c r="N4" s="25"/>
      <c r="O4" s="25"/>
      <c r="P4" s="25"/>
    </row>
    <row r="5" spans="1:16" ht="81" customHeight="1" thickBot="1" x14ac:dyDescent="0.3">
      <c r="A5" s="23" t="s">
        <v>18</v>
      </c>
      <c r="B5" s="11" t="s">
        <v>33</v>
      </c>
      <c r="C5" s="30">
        <v>1</v>
      </c>
      <c r="D5" s="20">
        <f t="shared" si="0"/>
        <v>1</v>
      </c>
      <c r="E5" s="25"/>
      <c r="F5" s="25"/>
      <c r="G5" s="25"/>
      <c r="H5" s="25">
        <v>1</v>
      </c>
      <c r="I5" s="25"/>
      <c r="J5" s="25"/>
      <c r="K5" s="25"/>
      <c r="L5" s="25"/>
      <c r="M5" s="25"/>
      <c r="N5" s="25"/>
      <c r="O5" s="25"/>
      <c r="P5" s="25"/>
    </row>
    <row r="6" spans="1:16" ht="28.5" customHeight="1" x14ac:dyDescent="0.25">
      <c r="A6" s="43" t="s">
        <v>50</v>
      </c>
      <c r="B6" s="31" t="s">
        <v>51</v>
      </c>
      <c r="C6" s="30">
        <v>3</v>
      </c>
      <c r="D6" s="20">
        <f t="shared" ref="D6:D33" si="1">SUM(E6:O6)</f>
        <v>1</v>
      </c>
      <c r="E6" s="25"/>
      <c r="F6" s="25"/>
      <c r="G6" s="25"/>
      <c r="H6" s="25">
        <v>1</v>
      </c>
      <c r="I6" s="25"/>
      <c r="J6" s="25"/>
      <c r="K6" s="25"/>
      <c r="L6" s="25"/>
      <c r="M6" s="25"/>
      <c r="N6" s="25"/>
      <c r="O6" s="25"/>
      <c r="P6" s="32"/>
    </row>
    <row r="7" spans="1:16" ht="28.5" customHeight="1" x14ac:dyDescent="0.25">
      <c r="A7" s="44"/>
      <c r="B7" s="31" t="s">
        <v>52</v>
      </c>
      <c r="C7" s="30">
        <v>3</v>
      </c>
      <c r="D7" s="20">
        <f t="shared" si="1"/>
        <v>1</v>
      </c>
      <c r="E7" s="25"/>
      <c r="F7" s="25"/>
      <c r="G7" s="25">
        <v>1</v>
      </c>
      <c r="H7" s="25"/>
      <c r="I7" s="25"/>
      <c r="J7" s="25"/>
      <c r="K7" s="25"/>
      <c r="L7" s="25"/>
      <c r="M7" s="25"/>
      <c r="N7" s="25"/>
      <c r="O7" s="25"/>
      <c r="P7" s="32"/>
    </row>
    <row r="8" spans="1:16" ht="28.5" customHeight="1" x14ac:dyDescent="0.25">
      <c r="A8" s="44"/>
      <c r="B8" s="31" t="s">
        <v>53</v>
      </c>
      <c r="C8" s="30">
        <v>24</v>
      </c>
      <c r="D8" s="20">
        <f t="shared" si="1"/>
        <v>8</v>
      </c>
      <c r="E8" s="25"/>
      <c r="F8" s="25">
        <v>2</v>
      </c>
      <c r="G8" s="25"/>
      <c r="H8" s="25">
        <v>3</v>
      </c>
      <c r="I8" s="25">
        <v>3</v>
      </c>
      <c r="J8" s="25"/>
      <c r="K8" s="25"/>
      <c r="L8" s="25"/>
      <c r="M8" s="25"/>
      <c r="N8" s="25"/>
      <c r="O8" s="25"/>
      <c r="P8" s="32"/>
    </row>
    <row r="9" spans="1:16" ht="28.5" customHeight="1" x14ac:dyDescent="0.25">
      <c r="A9" s="44"/>
      <c r="B9" s="31" t="s">
        <v>54</v>
      </c>
      <c r="C9" s="30">
        <v>26</v>
      </c>
      <c r="D9" s="20">
        <f t="shared" si="1"/>
        <v>11</v>
      </c>
      <c r="E9" s="25"/>
      <c r="F9" s="25"/>
      <c r="G9" s="25"/>
      <c r="H9" s="25">
        <v>11</v>
      </c>
      <c r="I9" s="25"/>
      <c r="J9" s="25"/>
      <c r="K9" s="25"/>
      <c r="L9" s="25"/>
      <c r="M9" s="25"/>
      <c r="N9" s="25"/>
      <c r="O9" s="25"/>
      <c r="P9" s="32"/>
    </row>
    <row r="10" spans="1:16" ht="28.5" customHeight="1" x14ac:dyDescent="0.25">
      <c r="A10" s="44"/>
      <c r="B10" s="31" t="s">
        <v>55</v>
      </c>
      <c r="C10" s="30">
        <v>0</v>
      </c>
      <c r="D10" s="20">
        <f t="shared" si="1"/>
        <v>0</v>
      </c>
      <c r="E10" s="25"/>
      <c r="F10" s="25"/>
      <c r="G10" s="25"/>
      <c r="H10" s="25"/>
      <c r="I10" s="25"/>
      <c r="J10" s="25"/>
      <c r="K10" s="25"/>
      <c r="L10" s="25"/>
      <c r="M10" s="25"/>
      <c r="N10" s="25"/>
      <c r="O10" s="25"/>
      <c r="P10" s="32"/>
    </row>
    <row r="11" spans="1:16" ht="28.5" customHeight="1" x14ac:dyDescent="0.25">
      <c r="A11" s="44"/>
      <c r="B11" s="31" t="s">
        <v>56</v>
      </c>
      <c r="C11" s="30">
        <v>0</v>
      </c>
      <c r="D11" s="20">
        <f t="shared" si="1"/>
        <v>0</v>
      </c>
      <c r="E11" s="25"/>
      <c r="F11" s="25"/>
      <c r="G11" s="25"/>
      <c r="H11" s="25"/>
      <c r="I11" s="25"/>
      <c r="J11" s="25"/>
      <c r="K11" s="25"/>
      <c r="L11" s="25"/>
      <c r="M11" s="25"/>
      <c r="N11" s="25"/>
      <c r="O11" s="25"/>
      <c r="P11" s="32"/>
    </row>
    <row r="12" spans="1:16" ht="28.5" customHeight="1" x14ac:dyDescent="0.25">
      <c r="A12" s="44"/>
      <c r="B12" s="31" t="s">
        <v>57</v>
      </c>
      <c r="C12" s="30">
        <v>0</v>
      </c>
      <c r="D12" s="20">
        <f t="shared" si="1"/>
        <v>0</v>
      </c>
      <c r="E12" s="25"/>
      <c r="F12" s="25"/>
      <c r="G12" s="25"/>
      <c r="H12" s="25"/>
      <c r="I12" s="25"/>
      <c r="J12" s="25"/>
      <c r="K12" s="25"/>
      <c r="L12" s="25"/>
      <c r="M12" s="25"/>
      <c r="N12" s="25"/>
      <c r="O12" s="25"/>
      <c r="P12" s="32"/>
    </row>
    <row r="13" spans="1:16" ht="28.5" customHeight="1" x14ac:dyDescent="0.25">
      <c r="A13" s="44"/>
      <c r="B13" s="31" t="s">
        <v>58</v>
      </c>
      <c r="C13" s="30">
        <v>0</v>
      </c>
      <c r="D13" s="20">
        <f t="shared" si="1"/>
        <v>0</v>
      </c>
      <c r="E13" s="25"/>
      <c r="F13" s="25"/>
      <c r="G13" s="25"/>
      <c r="H13" s="25"/>
      <c r="I13" s="25"/>
      <c r="J13" s="25"/>
      <c r="K13" s="25"/>
      <c r="L13" s="25"/>
      <c r="M13" s="25"/>
      <c r="N13" s="25"/>
      <c r="O13" s="25"/>
      <c r="P13" s="32"/>
    </row>
    <row r="14" spans="1:16" ht="28.5" customHeight="1" x14ac:dyDescent="0.25">
      <c r="A14" s="44"/>
      <c r="B14" s="31" t="s">
        <v>59</v>
      </c>
      <c r="C14" s="30">
        <v>0</v>
      </c>
      <c r="D14" s="20">
        <f t="shared" si="1"/>
        <v>0</v>
      </c>
      <c r="E14" s="25"/>
      <c r="F14" s="25"/>
      <c r="G14" s="25"/>
      <c r="H14" s="25"/>
      <c r="I14" s="25"/>
      <c r="J14" s="25"/>
      <c r="K14" s="25"/>
      <c r="L14" s="25"/>
      <c r="M14" s="25"/>
      <c r="N14" s="25"/>
      <c r="O14" s="25"/>
      <c r="P14" s="32"/>
    </row>
    <row r="15" spans="1:16" ht="28.5" customHeight="1" x14ac:dyDescent="0.25">
      <c r="A15" s="44"/>
      <c r="B15" s="31" t="s">
        <v>60</v>
      </c>
      <c r="C15" s="30">
        <v>0</v>
      </c>
      <c r="D15" s="20">
        <f t="shared" si="1"/>
        <v>0</v>
      </c>
      <c r="E15" s="25"/>
      <c r="F15" s="25"/>
      <c r="G15" s="25"/>
      <c r="H15" s="25"/>
      <c r="I15" s="25"/>
      <c r="J15" s="25"/>
      <c r="K15" s="25"/>
      <c r="L15" s="25"/>
      <c r="M15" s="25"/>
      <c r="N15" s="25"/>
      <c r="O15" s="25"/>
      <c r="P15" s="32"/>
    </row>
    <row r="16" spans="1:16" ht="28.5" customHeight="1" x14ac:dyDescent="0.25">
      <c r="A16" s="44"/>
      <c r="B16" s="31" t="s">
        <v>61</v>
      </c>
      <c r="C16" s="30">
        <v>4</v>
      </c>
      <c r="D16" s="20">
        <f t="shared" si="1"/>
        <v>3</v>
      </c>
      <c r="E16" s="25"/>
      <c r="F16" s="25"/>
      <c r="G16" s="25"/>
      <c r="H16" s="25"/>
      <c r="I16" s="25">
        <v>3</v>
      </c>
      <c r="J16" s="25"/>
      <c r="K16" s="25"/>
      <c r="L16" s="25"/>
      <c r="M16" s="25"/>
      <c r="N16" s="25"/>
      <c r="O16" s="25"/>
      <c r="P16" s="32"/>
    </row>
    <row r="17" spans="1:16" ht="28.5" customHeight="1" x14ac:dyDescent="0.25">
      <c r="A17" s="44"/>
      <c r="B17" s="31" t="s">
        <v>62</v>
      </c>
      <c r="C17" s="30">
        <v>0</v>
      </c>
      <c r="D17" s="20">
        <f t="shared" si="1"/>
        <v>0</v>
      </c>
      <c r="E17" s="25"/>
      <c r="F17" s="25"/>
      <c r="G17" s="25"/>
      <c r="H17" s="25"/>
      <c r="I17" s="25"/>
      <c r="J17" s="25"/>
      <c r="K17" s="25"/>
      <c r="L17" s="25"/>
      <c r="M17" s="25"/>
      <c r="N17" s="25"/>
      <c r="O17" s="25"/>
      <c r="P17" s="32"/>
    </row>
    <row r="18" spans="1:16" ht="28.5" customHeight="1" x14ac:dyDescent="0.25">
      <c r="A18" s="44"/>
      <c r="B18" s="31" t="s">
        <v>63</v>
      </c>
      <c r="C18" s="30">
        <v>0</v>
      </c>
      <c r="D18" s="20">
        <f t="shared" si="1"/>
        <v>0</v>
      </c>
      <c r="E18" s="25"/>
      <c r="F18" s="25"/>
      <c r="G18" s="25"/>
      <c r="H18" s="25"/>
      <c r="I18" s="25"/>
      <c r="J18" s="25"/>
      <c r="K18" s="25"/>
      <c r="L18" s="25"/>
      <c r="M18" s="25"/>
      <c r="N18" s="25"/>
      <c r="O18" s="25"/>
      <c r="P18" s="32"/>
    </row>
    <row r="19" spans="1:16" ht="28.5" customHeight="1" x14ac:dyDescent="0.25">
      <c r="A19" s="44"/>
      <c r="B19" s="31" t="s">
        <v>64</v>
      </c>
      <c r="C19" s="30">
        <v>0</v>
      </c>
      <c r="D19" s="20">
        <f t="shared" si="1"/>
        <v>0</v>
      </c>
      <c r="E19" s="25"/>
      <c r="F19" s="25"/>
      <c r="G19" s="25"/>
      <c r="H19" s="25"/>
      <c r="I19" s="25"/>
      <c r="J19" s="25"/>
      <c r="K19" s="25"/>
      <c r="L19" s="25"/>
      <c r="M19" s="25"/>
      <c r="N19" s="25"/>
      <c r="O19" s="25"/>
      <c r="P19" s="32"/>
    </row>
    <row r="20" spans="1:16" ht="28.5" customHeight="1" x14ac:dyDescent="0.25">
      <c r="A20" s="44"/>
      <c r="B20" s="31" t="s">
        <v>65</v>
      </c>
      <c r="C20" s="30">
        <v>47</v>
      </c>
      <c r="D20" s="20">
        <f t="shared" si="1"/>
        <v>0</v>
      </c>
      <c r="E20" s="25"/>
      <c r="F20" s="25"/>
      <c r="G20" s="25"/>
      <c r="H20" s="25"/>
      <c r="I20" s="25"/>
      <c r="J20" s="25"/>
      <c r="K20" s="25"/>
      <c r="L20" s="25"/>
      <c r="M20" s="25"/>
      <c r="N20" s="25"/>
      <c r="O20" s="25"/>
      <c r="P20" s="32"/>
    </row>
    <row r="21" spans="1:16" ht="28.5" customHeight="1" x14ac:dyDescent="0.25">
      <c r="A21" s="44"/>
      <c r="B21" s="31" t="s">
        <v>66</v>
      </c>
      <c r="C21" s="30">
        <v>0</v>
      </c>
      <c r="D21" s="20">
        <f t="shared" si="1"/>
        <v>0</v>
      </c>
      <c r="E21" s="25"/>
      <c r="F21" s="25"/>
      <c r="G21" s="25"/>
      <c r="H21" s="25"/>
      <c r="I21" s="25"/>
      <c r="J21" s="25"/>
      <c r="K21" s="25"/>
      <c r="L21" s="25"/>
      <c r="M21" s="25"/>
      <c r="N21" s="25"/>
      <c r="O21" s="25"/>
      <c r="P21" s="32"/>
    </row>
    <row r="22" spans="1:16" ht="24" customHeight="1" x14ac:dyDescent="0.25">
      <c r="A22" s="44"/>
      <c r="B22" s="33" t="s">
        <v>67</v>
      </c>
      <c r="C22" s="30">
        <v>4</v>
      </c>
      <c r="D22" s="20">
        <f t="shared" si="1"/>
        <v>5</v>
      </c>
      <c r="E22" s="25"/>
      <c r="F22" s="25"/>
      <c r="G22" s="25">
        <v>1</v>
      </c>
      <c r="H22" s="25">
        <v>4</v>
      </c>
      <c r="I22" s="25"/>
      <c r="J22" s="25"/>
      <c r="K22" s="25"/>
      <c r="L22" s="25"/>
      <c r="M22" s="25"/>
      <c r="N22" s="25"/>
      <c r="O22" s="25"/>
      <c r="P22" s="32"/>
    </row>
    <row r="23" spans="1:16" ht="24" customHeight="1" x14ac:dyDescent="0.25">
      <c r="A23" s="44"/>
      <c r="B23" s="33" t="s">
        <v>68</v>
      </c>
      <c r="C23" s="30">
        <v>4</v>
      </c>
      <c r="D23" s="20">
        <f t="shared" si="1"/>
        <v>4</v>
      </c>
      <c r="E23" s="25"/>
      <c r="F23" s="25"/>
      <c r="G23" s="25"/>
      <c r="H23" s="25">
        <v>4</v>
      </c>
      <c r="I23" s="25"/>
      <c r="J23" s="25"/>
      <c r="K23" s="25"/>
      <c r="L23" s="25"/>
      <c r="M23" s="25"/>
      <c r="N23" s="25"/>
      <c r="O23" s="25"/>
      <c r="P23" s="32"/>
    </row>
    <row r="24" spans="1:16" ht="24" customHeight="1" x14ac:dyDescent="0.25">
      <c r="A24" s="44"/>
      <c r="B24" s="33" t="s">
        <v>69</v>
      </c>
      <c r="C24" s="30">
        <v>4</v>
      </c>
      <c r="D24" s="20">
        <f t="shared" si="1"/>
        <v>3</v>
      </c>
      <c r="E24" s="25"/>
      <c r="F24" s="25"/>
      <c r="G24" s="25"/>
      <c r="H24" s="25"/>
      <c r="I24" s="25">
        <v>3</v>
      </c>
      <c r="J24" s="25"/>
      <c r="K24" s="25"/>
      <c r="L24" s="25"/>
      <c r="M24" s="25"/>
      <c r="N24" s="25"/>
      <c r="O24" s="25"/>
      <c r="P24" s="32"/>
    </row>
    <row r="25" spans="1:16" ht="24" customHeight="1" x14ac:dyDescent="0.25">
      <c r="A25" s="44"/>
      <c r="B25" s="33" t="s">
        <v>70</v>
      </c>
      <c r="C25" s="30">
        <v>4</v>
      </c>
      <c r="D25" s="20">
        <f t="shared" si="1"/>
        <v>0</v>
      </c>
      <c r="E25" s="25"/>
      <c r="F25" s="25"/>
      <c r="G25" s="25"/>
      <c r="H25" s="25"/>
      <c r="I25" s="25"/>
      <c r="J25" s="25"/>
      <c r="K25" s="25"/>
      <c r="L25" s="25"/>
      <c r="M25" s="25"/>
      <c r="N25" s="25"/>
      <c r="O25" s="25"/>
      <c r="P25" s="32"/>
    </row>
    <row r="26" spans="1:16" ht="24" customHeight="1" x14ac:dyDescent="0.25">
      <c r="A26" s="44"/>
      <c r="B26" s="33" t="s">
        <v>71</v>
      </c>
      <c r="C26" s="30">
        <v>4</v>
      </c>
      <c r="D26" s="20">
        <f t="shared" si="1"/>
        <v>0</v>
      </c>
      <c r="E26" s="25"/>
      <c r="F26" s="25"/>
      <c r="G26" s="25"/>
      <c r="H26" s="25"/>
      <c r="I26" s="25"/>
      <c r="J26" s="25"/>
      <c r="K26" s="25"/>
      <c r="L26" s="25"/>
      <c r="M26" s="25"/>
      <c r="N26" s="25"/>
      <c r="O26" s="25"/>
      <c r="P26" s="32"/>
    </row>
    <row r="27" spans="1:16" ht="24" customHeight="1" x14ac:dyDescent="0.25">
      <c r="A27" s="44"/>
      <c r="B27" s="33" t="s">
        <v>72</v>
      </c>
      <c r="C27" s="30">
        <v>1</v>
      </c>
      <c r="D27" s="20">
        <f t="shared" si="1"/>
        <v>0</v>
      </c>
      <c r="E27" s="25"/>
      <c r="F27" s="25"/>
      <c r="G27" s="25"/>
      <c r="H27" s="25"/>
      <c r="I27" s="25"/>
      <c r="J27" s="25"/>
      <c r="K27" s="25"/>
      <c r="L27" s="25"/>
      <c r="M27" s="25"/>
      <c r="N27" s="25"/>
      <c r="O27" s="25"/>
      <c r="P27" s="32"/>
    </row>
    <row r="28" spans="1:16" ht="24" customHeight="1" x14ac:dyDescent="0.25">
      <c r="A28" s="44"/>
      <c r="B28" s="33" t="s">
        <v>73</v>
      </c>
      <c r="C28" s="30">
        <v>1</v>
      </c>
      <c r="D28" s="20">
        <f t="shared" si="1"/>
        <v>0</v>
      </c>
      <c r="E28" s="25"/>
      <c r="F28" s="25"/>
      <c r="G28" s="25"/>
      <c r="H28" s="25"/>
      <c r="I28" s="25"/>
      <c r="J28" s="25"/>
      <c r="K28" s="25"/>
      <c r="L28" s="25"/>
      <c r="M28" s="25"/>
      <c r="N28" s="25"/>
      <c r="O28" s="25"/>
      <c r="P28" s="32"/>
    </row>
    <row r="29" spans="1:16" ht="24" customHeight="1" x14ac:dyDescent="0.25">
      <c r="A29" s="44"/>
      <c r="B29" s="33" t="s">
        <v>74</v>
      </c>
      <c r="C29" s="30">
        <v>1</v>
      </c>
      <c r="D29" s="20">
        <f t="shared" si="1"/>
        <v>0</v>
      </c>
      <c r="E29" s="25"/>
      <c r="F29" s="25"/>
      <c r="G29" s="25"/>
      <c r="H29" s="25"/>
      <c r="I29" s="25"/>
      <c r="J29" s="25"/>
      <c r="K29" s="25"/>
      <c r="L29" s="25"/>
      <c r="M29" s="25"/>
      <c r="N29" s="25"/>
      <c r="O29" s="25"/>
      <c r="P29" s="32"/>
    </row>
    <row r="30" spans="1:16" ht="24" customHeight="1" x14ac:dyDescent="0.25">
      <c r="A30" s="44"/>
      <c r="B30" s="33" t="s">
        <v>75</v>
      </c>
      <c r="C30" s="30">
        <v>1</v>
      </c>
      <c r="D30" s="20">
        <f t="shared" si="1"/>
        <v>0</v>
      </c>
      <c r="E30" s="25"/>
      <c r="F30" s="25"/>
      <c r="G30" s="25"/>
      <c r="H30" s="25"/>
      <c r="I30" s="25"/>
      <c r="J30" s="25"/>
      <c r="K30" s="25"/>
      <c r="L30" s="25"/>
      <c r="M30" s="25"/>
      <c r="N30" s="25"/>
      <c r="O30" s="25"/>
      <c r="P30" s="32"/>
    </row>
    <row r="31" spans="1:16" ht="24" customHeight="1" x14ac:dyDescent="0.25">
      <c r="A31" s="44"/>
      <c r="B31" s="33" t="s">
        <v>76</v>
      </c>
      <c r="C31" s="30">
        <v>1</v>
      </c>
      <c r="D31" s="20">
        <f t="shared" si="1"/>
        <v>0</v>
      </c>
      <c r="E31" s="25"/>
      <c r="F31" s="25"/>
      <c r="G31" s="25"/>
      <c r="H31" s="25"/>
      <c r="I31" s="25"/>
      <c r="J31" s="25"/>
      <c r="K31" s="25"/>
      <c r="L31" s="25"/>
      <c r="M31" s="25"/>
      <c r="N31" s="25"/>
      <c r="O31" s="25"/>
      <c r="P31" s="32"/>
    </row>
    <row r="32" spans="1:16" ht="24" customHeight="1" x14ac:dyDescent="0.25">
      <c r="A32" s="44"/>
      <c r="B32" s="33" t="s">
        <v>77</v>
      </c>
      <c r="C32" s="30">
        <v>1</v>
      </c>
      <c r="D32" s="20">
        <f t="shared" si="1"/>
        <v>0</v>
      </c>
      <c r="E32" s="25"/>
      <c r="F32" s="25"/>
      <c r="G32" s="25"/>
      <c r="H32" s="25"/>
      <c r="I32" s="25"/>
      <c r="J32" s="25"/>
      <c r="K32" s="25"/>
      <c r="L32" s="25"/>
      <c r="M32" s="25"/>
      <c r="N32" s="25"/>
      <c r="O32" s="25"/>
      <c r="P32" s="32"/>
    </row>
    <row r="33" spans="1:16" ht="24" customHeight="1" thickBot="1" x14ac:dyDescent="0.3">
      <c r="A33" s="45"/>
      <c r="B33" s="34" t="s">
        <v>78</v>
      </c>
      <c r="C33" s="30">
        <v>1</v>
      </c>
      <c r="D33" s="20">
        <f t="shared" si="1"/>
        <v>0</v>
      </c>
      <c r="E33" s="25"/>
      <c r="F33" s="25"/>
      <c r="G33" s="25"/>
      <c r="H33" s="25"/>
      <c r="I33" s="25"/>
      <c r="J33" s="25"/>
      <c r="K33" s="25"/>
      <c r="L33" s="25"/>
      <c r="M33" s="25"/>
      <c r="N33" s="25"/>
      <c r="O33" s="25"/>
      <c r="P33" s="32"/>
    </row>
    <row r="34" spans="1:16" x14ac:dyDescent="0.25">
      <c r="C34" s="35">
        <f>SUM(C3:C33)</f>
        <v>138</v>
      </c>
      <c r="D34" s="36">
        <f>SUM(D3:D33)</f>
        <v>37</v>
      </c>
    </row>
    <row r="35" spans="1:16" x14ac:dyDescent="0.25">
      <c r="C35" s="37"/>
      <c r="D35" s="38">
        <f>D34/C34</f>
        <v>0.26811594202898553</v>
      </c>
    </row>
  </sheetData>
  <sheetProtection algorithmName="SHA-512" hashValue="Uesb+bthrNdBzi0jFZ8TQ5osJshOy+8obmh25DWbImA6nNp9NC8CxQii5yCTMcR/wLz2XbIOH9D4pbPHxl8RzQ==" saltValue="yCexi8Duy4NZpHbhvb2ngA==" spinCount="100000" sheet="1" objects="1" scenarios="1" autoFilter="0"/>
  <mergeCells count="2">
    <mergeCell ref="A1:A2"/>
    <mergeCell ref="A6:A33"/>
  </mergeCells>
  <conditionalFormatting sqref="C3:D3 D4:D5">
    <cfRule type="dataBar" priority="50">
      <dataBar>
        <cfvo type="min"/>
        <cfvo type="max"/>
        <color rgb="FF008AEF"/>
      </dataBar>
      <extLst>
        <ext xmlns:x14="http://schemas.microsoft.com/office/spreadsheetml/2009/9/main" uri="{B025F937-C7B1-47D3-B67F-A62EFF666E3E}">
          <x14:id>{7C3DB577-E756-4064-AF3C-0B4703C532EA}</x14:id>
        </ext>
      </extLst>
    </cfRule>
  </conditionalFormatting>
  <conditionalFormatting sqref="C4:D4">
    <cfRule type="dataBar" priority="6">
      <dataBar>
        <cfvo type="min"/>
        <cfvo type="max"/>
        <color rgb="FF008AEF"/>
      </dataBar>
      <extLst>
        <ext xmlns:x14="http://schemas.microsoft.com/office/spreadsheetml/2009/9/main" uri="{B025F937-C7B1-47D3-B67F-A62EFF666E3E}">
          <x14:id>{6FD950CD-8189-491A-8264-CECC952FC16B}</x14:id>
        </ext>
      </extLst>
    </cfRule>
  </conditionalFormatting>
  <conditionalFormatting sqref="C5:D5">
    <cfRule type="dataBar" priority="8">
      <dataBar>
        <cfvo type="min"/>
        <cfvo type="max"/>
        <color rgb="FF008AEF"/>
      </dataBar>
      <extLst>
        <ext xmlns:x14="http://schemas.microsoft.com/office/spreadsheetml/2009/9/main" uri="{B025F937-C7B1-47D3-B67F-A62EFF666E3E}">
          <x14:id>{D4665787-8599-4813-8FD8-08EEF9693D8E}</x14:id>
        </ext>
      </extLst>
    </cfRule>
  </conditionalFormatting>
  <conditionalFormatting sqref="C6:D6">
    <cfRule type="dataBar" priority="13">
      <dataBar>
        <cfvo type="min"/>
        <cfvo type="max"/>
        <color rgb="FF008AEF"/>
      </dataBar>
      <extLst>
        <ext xmlns:x14="http://schemas.microsoft.com/office/spreadsheetml/2009/9/main" uri="{B025F937-C7B1-47D3-B67F-A62EFF666E3E}">
          <x14:id>{5B58F1FE-6121-4A09-B89C-E015453EE0AE}</x14:id>
        </ext>
      </extLst>
    </cfRule>
  </conditionalFormatting>
  <conditionalFormatting sqref="C7:D7">
    <cfRule type="dataBar" priority="40">
      <dataBar>
        <cfvo type="min"/>
        <cfvo type="max"/>
        <color rgb="FF008AEF"/>
      </dataBar>
      <extLst>
        <ext xmlns:x14="http://schemas.microsoft.com/office/spreadsheetml/2009/9/main" uri="{B025F937-C7B1-47D3-B67F-A62EFF666E3E}">
          <x14:id>{CCD306E5-07C4-4B16-B5A2-6FA9B045651D}</x14:id>
        </ext>
      </extLst>
    </cfRule>
  </conditionalFormatting>
  <conditionalFormatting sqref="C8:D8">
    <cfRule type="dataBar" priority="39">
      <dataBar>
        <cfvo type="min"/>
        <cfvo type="max"/>
        <color rgb="FF008AEF"/>
      </dataBar>
      <extLst>
        <ext xmlns:x14="http://schemas.microsoft.com/office/spreadsheetml/2009/9/main" uri="{B025F937-C7B1-47D3-B67F-A62EFF666E3E}">
          <x14:id>{ECCF43ED-3E9E-41CF-BEBE-10FB30400D7F}</x14:id>
        </ext>
      </extLst>
    </cfRule>
  </conditionalFormatting>
  <conditionalFormatting sqref="C9:D9">
    <cfRule type="dataBar" priority="38">
      <dataBar>
        <cfvo type="min"/>
        <cfvo type="max"/>
        <color rgb="FF008AEF"/>
      </dataBar>
      <extLst>
        <ext xmlns:x14="http://schemas.microsoft.com/office/spreadsheetml/2009/9/main" uri="{B025F937-C7B1-47D3-B67F-A62EFF666E3E}">
          <x14:id>{2C583C23-F3A7-4C1D-995C-B6897BE683ED}</x14:id>
        </ext>
      </extLst>
    </cfRule>
  </conditionalFormatting>
  <conditionalFormatting sqref="C10:D10">
    <cfRule type="dataBar" priority="37">
      <dataBar>
        <cfvo type="min"/>
        <cfvo type="max"/>
        <color rgb="FF008AEF"/>
      </dataBar>
      <extLst>
        <ext xmlns:x14="http://schemas.microsoft.com/office/spreadsheetml/2009/9/main" uri="{B025F937-C7B1-47D3-B67F-A62EFF666E3E}">
          <x14:id>{91865FD7-41C8-4BD8-99DD-8BC9739960C9}</x14:id>
        </ext>
      </extLst>
    </cfRule>
  </conditionalFormatting>
  <conditionalFormatting sqref="C11:D11">
    <cfRule type="dataBar" priority="36">
      <dataBar>
        <cfvo type="min"/>
        <cfvo type="max"/>
        <color rgb="FF008AEF"/>
      </dataBar>
      <extLst>
        <ext xmlns:x14="http://schemas.microsoft.com/office/spreadsheetml/2009/9/main" uri="{B025F937-C7B1-47D3-B67F-A62EFF666E3E}">
          <x14:id>{CD50D18C-51E0-4CE3-BB8C-5C068FD623E6}</x14:id>
        </ext>
      </extLst>
    </cfRule>
  </conditionalFormatting>
  <conditionalFormatting sqref="C12:D12">
    <cfRule type="dataBar" priority="35">
      <dataBar>
        <cfvo type="min"/>
        <cfvo type="max"/>
        <color rgb="FF008AEF"/>
      </dataBar>
      <extLst>
        <ext xmlns:x14="http://schemas.microsoft.com/office/spreadsheetml/2009/9/main" uri="{B025F937-C7B1-47D3-B67F-A62EFF666E3E}">
          <x14:id>{9E716DDA-3DB6-404D-B41A-2ADC2F3CEED1}</x14:id>
        </ext>
      </extLst>
    </cfRule>
  </conditionalFormatting>
  <conditionalFormatting sqref="C13:D13">
    <cfRule type="dataBar" priority="34">
      <dataBar>
        <cfvo type="min"/>
        <cfvo type="max"/>
        <color rgb="FF008AEF"/>
      </dataBar>
      <extLst>
        <ext xmlns:x14="http://schemas.microsoft.com/office/spreadsheetml/2009/9/main" uri="{B025F937-C7B1-47D3-B67F-A62EFF666E3E}">
          <x14:id>{17397C53-52CC-43DB-B8D6-2E011F31FC2C}</x14:id>
        </ext>
      </extLst>
    </cfRule>
  </conditionalFormatting>
  <conditionalFormatting sqref="C14:D14">
    <cfRule type="dataBar" priority="33">
      <dataBar>
        <cfvo type="min"/>
        <cfvo type="max"/>
        <color rgb="FF008AEF"/>
      </dataBar>
      <extLst>
        <ext xmlns:x14="http://schemas.microsoft.com/office/spreadsheetml/2009/9/main" uri="{B025F937-C7B1-47D3-B67F-A62EFF666E3E}">
          <x14:id>{59B09E57-962E-41E8-9464-770C48D07057}</x14:id>
        </ext>
      </extLst>
    </cfRule>
  </conditionalFormatting>
  <conditionalFormatting sqref="C15:D15">
    <cfRule type="dataBar" priority="32">
      <dataBar>
        <cfvo type="min"/>
        <cfvo type="max"/>
        <color rgb="FF008AEF"/>
      </dataBar>
      <extLst>
        <ext xmlns:x14="http://schemas.microsoft.com/office/spreadsheetml/2009/9/main" uri="{B025F937-C7B1-47D3-B67F-A62EFF666E3E}">
          <x14:id>{BAE0516C-EAE3-47BA-BD6F-4D29B2D3A256}</x14:id>
        </ext>
      </extLst>
    </cfRule>
  </conditionalFormatting>
  <conditionalFormatting sqref="C16:D16">
    <cfRule type="dataBar" priority="31">
      <dataBar>
        <cfvo type="min"/>
        <cfvo type="max"/>
        <color rgb="FF008AEF"/>
      </dataBar>
      <extLst>
        <ext xmlns:x14="http://schemas.microsoft.com/office/spreadsheetml/2009/9/main" uri="{B025F937-C7B1-47D3-B67F-A62EFF666E3E}">
          <x14:id>{ABEBBD74-BBD3-4FC9-937F-6D897FABA2A8}</x14:id>
        </ext>
      </extLst>
    </cfRule>
  </conditionalFormatting>
  <conditionalFormatting sqref="C17:D17">
    <cfRule type="dataBar" priority="30">
      <dataBar>
        <cfvo type="min"/>
        <cfvo type="max"/>
        <color rgb="FF008AEF"/>
      </dataBar>
      <extLst>
        <ext xmlns:x14="http://schemas.microsoft.com/office/spreadsheetml/2009/9/main" uri="{B025F937-C7B1-47D3-B67F-A62EFF666E3E}">
          <x14:id>{D316DA16-413C-4D48-857B-6EC0AE16C3D3}</x14:id>
        </ext>
      </extLst>
    </cfRule>
  </conditionalFormatting>
  <conditionalFormatting sqref="C18:D18">
    <cfRule type="dataBar" priority="29">
      <dataBar>
        <cfvo type="min"/>
        <cfvo type="max"/>
        <color rgb="FF008AEF"/>
      </dataBar>
      <extLst>
        <ext xmlns:x14="http://schemas.microsoft.com/office/spreadsheetml/2009/9/main" uri="{B025F937-C7B1-47D3-B67F-A62EFF666E3E}">
          <x14:id>{5DDCD187-433E-4DCA-9709-134109E830F6}</x14:id>
        </ext>
      </extLst>
    </cfRule>
  </conditionalFormatting>
  <conditionalFormatting sqref="C19:D19">
    <cfRule type="dataBar" priority="28">
      <dataBar>
        <cfvo type="min"/>
        <cfvo type="max"/>
        <color rgb="FF008AEF"/>
      </dataBar>
      <extLst>
        <ext xmlns:x14="http://schemas.microsoft.com/office/spreadsheetml/2009/9/main" uri="{B025F937-C7B1-47D3-B67F-A62EFF666E3E}">
          <x14:id>{07FBA3BD-AFD6-482B-84B5-39B4BE7366E4}</x14:id>
        </ext>
      </extLst>
    </cfRule>
  </conditionalFormatting>
  <conditionalFormatting sqref="C20:D20">
    <cfRule type="dataBar" priority="27">
      <dataBar>
        <cfvo type="min"/>
        <cfvo type="max"/>
        <color rgb="FF008AEF"/>
      </dataBar>
      <extLst>
        <ext xmlns:x14="http://schemas.microsoft.com/office/spreadsheetml/2009/9/main" uri="{B025F937-C7B1-47D3-B67F-A62EFF666E3E}">
          <x14:id>{22E83981-69D9-4622-B2F4-A58A18F5AB89}</x14:id>
        </ext>
      </extLst>
    </cfRule>
  </conditionalFormatting>
  <conditionalFormatting sqref="C21:D21">
    <cfRule type="dataBar" priority="26">
      <dataBar>
        <cfvo type="min"/>
        <cfvo type="max"/>
        <color rgb="FF008AEF"/>
      </dataBar>
      <extLst>
        <ext xmlns:x14="http://schemas.microsoft.com/office/spreadsheetml/2009/9/main" uri="{B025F937-C7B1-47D3-B67F-A62EFF666E3E}">
          <x14:id>{4BC74D37-97F8-49AC-9661-1121BC8B20B5}</x14:id>
        </ext>
      </extLst>
    </cfRule>
  </conditionalFormatting>
  <conditionalFormatting sqref="C22:D22">
    <cfRule type="dataBar" priority="25">
      <dataBar>
        <cfvo type="min"/>
        <cfvo type="max"/>
        <color rgb="FF008AEF"/>
      </dataBar>
      <extLst>
        <ext xmlns:x14="http://schemas.microsoft.com/office/spreadsheetml/2009/9/main" uri="{B025F937-C7B1-47D3-B67F-A62EFF666E3E}">
          <x14:id>{10B1FEEB-481A-4CEF-9CC4-3CAE5B743FDA}</x14:id>
        </ext>
      </extLst>
    </cfRule>
  </conditionalFormatting>
  <conditionalFormatting sqref="C23:D23">
    <cfRule type="dataBar" priority="24">
      <dataBar>
        <cfvo type="min"/>
        <cfvo type="max"/>
        <color rgb="FF008AEF"/>
      </dataBar>
      <extLst>
        <ext xmlns:x14="http://schemas.microsoft.com/office/spreadsheetml/2009/9/main" uri="{B025F937-C7B1-47D3-B67F-A62EFF666E3E}">
          <x14:id>{0FEA4013-AF09-4A8A-AD16-7DC632C64BCC}</x14:id>
        </ext>
      </extLst>
    </cfRule>
  </conditionalFormatting>
  <conditionalFormatting sqref="C24:D24">
    <cfRule type="dataBar" priority="23">
      <dataBar>
        <cfvo type="min"/>
        <cfvo type="max"/>
        <color rgb="FF008AEF"/>
      </dataBar>
      <extLst>
        <ext xmlns:x14="http://schemas.microsoft.com/office/spreadsheetml/2009/9/main" uri="{B025F937-C7B1-47D3-B67F-A62EFF666E3E}">
          <x14:id>{203540AE-7978-4150-8DCE-7B01D76AB1B9}</x14:id>
        </ext>
      </extLst>
    </cfRule>
  </conditionalFormatting>
  <conditionalFormatting sqref="C25:D25">
    <cfRule type="dataBar" priority="22">
      <dataBar>
        <cfvo type="min"/>
        <cfvo type="max"/>
        <color rgb="FF008AEF"/>
      </dataBar>
      <extLst>
        <ext xmlns:x14="http://schemas.microsoft.com/office/spreadsheetml/2009/9/main" uri="{B025F937-C7B1-47D3-B67F-A62EFF666E3E}">
          <x14:id>{59B9C05D-8B8F-4DB9-A704-DF0E1029C1A4}</x14:id>
        </ext>
      </extLst>
    </cfRule>
  </conditionalFormatting>
  <conditionalFormatting sqref="C26:D26">
    <cfRule type="dataBar" priority="21">
      <dataBar>
        <cfvo type="min"/>
        <cfvo type="max"/>
        <color rgb="FF008AEF"/>
      </dataBar>
      <extLst>
        <ext xmlns:x14="http://schemas.microsoft.com/office/spreadsheetml/2009/9/main" uri="{B025F937-C7B1-47D3-B67F-A62EFF666E3E}">
          <x14:id>{BC8BE64D-E5BC-4B0A-A0EA-3F97DA7A7A8F}</x14:id>
        </ext>
      </extLst>
    </cfRule>
  </conditionalFormatting>
  <conditionalFormatting sqref="C27:D27">
    <cfRule type="dataBar" priority="20">
      <dataBar>
        <cfvo type="min"/>
        <cfvo type="max"/>
        <color rgb="FF008AEF"/>
      </dataBar>
      <extLst>
        <ext xmlns:x14="http://schemas.microsoft.com/office/spreadsheetml/2009/9/main" uri="{B025F937-C7B1-47D3-B67F-A62EFF666E3E}">
          <x14:id>{33A075E2-9A0C-46C4-8D7F-EA401BEA878F}</x14:id>
        </ext>
      </extLst>
    </cfRule>
  </conditionalFormatting>
  <conditionalFormatting sqref="C28:D28">
    <cfRule type="dataBar" priority="19">
      <dataBar>
        <cfvo type="min"/>
        <cfvo type="max"/>
        <color rgb="FF008AEF"/>
      </dataBar>
      <extLst>
        <ext xmlns:x14="http://schemas.microsoft.com/office/spreadsheetml/2009/9/main" uri="{B025F937-C7B1-47D3-B67F-A62EFF666E3E}">
          <x14:id>{F2747953-6AC0-4FC3-890A-9B8C114B0859}</x14:id>
        </ext>
      </extLst>
    </cfRule>
  </conditionalFormatting>
  <conditionalFormatting sqref="C29:D29">
    <cfRule type="dataBar" priority="18">
      <dataBar>
        <cfvo type="min"/>
        <cfvo type="max"/>
        <color rgb="FF008AEF"/>
      </dataBar>
      <extLst>
        <ext xmlns:x14="http://schemas.microsoft.com/office/spreadsheetml/2009/9/main" uri="{B025F937-C7B1-47D3-B67F-A62EFF666E3E}">
          <x14:id>{870C0590-1C05-452C-B88B-C4B479C94FCF}</x14:id>
        </ext>
      </extLst>
    </cfRule>
  </conditionalFormatting>
  <conditionalFormatting sqref="C30:D30">
    <cfRule type="dataBar" priority="17">
      <dataBar>
        <cfvo type="min"/>
        <cfvo type="max"/>
        <color rgb="FF008AEF"/>
      </dataBar>
      <extLst>
        <ext xmlns:x14="http://schemas.microsoft.com/office/spreadsheetml/2009/9/main" uri="{B025F937-C7B1-47D3-B67F-A62EFF666E3E}">
          <x14:id>{D7968A92-E29F-45A7-A935-907F0977F5F6}</x14:id>
        </ext>
      </extLst>
    </cfRule>
  </conditionalFormatting>
  <conditionalFormatting sqref="C31:D31">
    <cfRule type="dataBar" priority="16">
      <dataBar>
        <cfvo type="min"/>
        <cfvo type="max"/>
        <color rgb="FF008AEF"/>
      </dataBar>
      <extLst>
        <ext xmlns:x14="http://schemas.microsoft.com/office/spreadsheetml/2009/9/main" uri="{B025F937-C7B1-47D3-B67F-A62EFF666E3E}">
          <x14:id>{CF2525EF-AF49-4CAF-AF8E-DBF8EB0B8CCF}</x14:id>
        </ext>
      </extLst>
    </cfRule>
  </conditionalFormatting>
  <conditionalFormatting sqref="C32:D32">
    <cfRule type="dataBar" priority="15">
      <dataBar>
        <cfvo type="min"/>
        <cfvo type="max"/>
        <color rgb="FF008AEF"/>
      </dataBar>
      <extLst>
        <ext xmlns:x14="http://schemas.microsoft.com/office/spreadsheetml/2009/9/main" uri="{B025F937-C7B1-47D3-B67F-A62EFF666E3E}">
          <x14:id>{7ECDBFC7-6503-41F0-B100-6FE96889B797}</x14:id>
        </ext>
      </extLst>
    </cfRule>
  </conditionalFormatting>
  <conditionalFormatting sqref="C33:D33">
    <cfRule type="dataBar" priority="14">
      <dataBar>
        <cfvo type="min"/>
        <cfvo type="max"/>
        <color rgb="FF008AEF"/>
      </dataBar>
      <extLst>
        <ext xmlns:x14="http://schemas.microsoft.com/office/spreadsheetml/2009/9/main" uri="{B025F937-C7B1-47D3-B67F-A62EFF666E3E}">
          <x14:id>{5047F881-E674-4722-A608-01C8495A4CE3}</x14:id>
        </ext>
      </extLst>
    </cfRule>
  </conditionalFormatting>
  <conditionalFormatting sqref="G6:O29">
    <cfRule type="cellIs" dxfId="6" priority="12" operator="greaterThan">
      <formula>0</formula>
    </cfRule>
  </conditionalFormatting>
  <conditionalFormatting sqref="G3:P5 E3:F29 E30:O33">
    <cfRule type="cellIs" dxfId="5" priority="3"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C3DB577-E756-4064-AF3C-0B4703C532EA}">
            <x14:dataBar minLength="0" maxLength="100" gradient="0">
              <x14:cfvo type="autoMin"/>
              <x14:cfvo type="autoMax"/>
              <x14:negativeFillColor rgb="FFFF0000"/>
              <x14:axisColor rgb="FF000000"/>
            </x14:dataBar>
          </x14:cfRule>
          <xm:sqref>C3:D3 D4:D5</xm:sqref>
        </x14:conditionalFormatting>
        <x14:conditionalFormatting xmlns:xm="http://schemas.microsoft.com/office/excel/2006/main">
          <x14:cfRule type="dataBar" id="{6FD950CD-8189-491A-8264-CECC952FC16B}">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D4665787-8599-4813-8FD8-08EEF9693D8E}">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5B58F1FE-6121-4A09-B89C-E015453EE0AE}">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CCD306E5-07C4-4B16-B5A2-6FA9B045651D}">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ECCF43ED-3E9E-41CF-BEBE-10FB30400D7F}">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2C583C23-F3A7-4C1D-995C-B6897BE683ED}">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91865FD7-41C8-4BD8-99DD-8BC9739960C9}">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CD50D18C-51E0-4CE3-BB8C-5C068FD623E6}">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9E716DDA-3DB6-404D-B41A-2ADC2F3CEED1}">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17397C53-52CC-43DB-B8D6-2E011F31FC2C}">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59B09E57-962E-41E8-9464-770C48D07057}">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BAE0516C-EAE3-47BA-BD6F-4D29B2D3A256}">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ABEBBD74-BBD3-4FC9-937F-6D897FABA2A8}">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D316DA16-413C-4D48-857B-6EC0AE16C3D3}">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5DDCD187-433E-4DCA-9709-134109E830F6}">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07FBA3BD-AFD6-482B-84B5-39B4BE7366E4}">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22E83981-69D9-4622-B2F4-A58A18F5AB89}">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4BC74D37-97F8-49AC-9661-1121BC8B20B5}">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10B1FEEB-481A-4CEF-9CC4-3CAE5B743FDA}">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0FEA4013-AF09-4A8A-AD16-7DC632C64BCC}">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203540AE-7978-4150-8DCE-7B01D76AB1B9}">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59B9C05D-8B8F-4DB9-A704-DF0E1029C1A4}">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BC8BE64D-E5BC-4B0A-A0EA-3F97DA7A7A8F}">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33A075E2-9A0C-46C4-8D7F-EA401BEA878F}">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F2747953-6AC0-4FC3-890A-9B8C114B0859}">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870C0590-1C05-452C-B88B-C4B479C94FCF}">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D7968A92-E29F-45A7-A935-907F0977F5F6}">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CF2525EF-AF49-4CAF-AF8E-DBF8EB0B8CCF}">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7ECDBFC7-6503-41F0-B100-6FE96889B797}">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5047F881-E674-4722-A608-01C8495A4CE3}">
            <x14:dataBar minLength="0" maxLength="100" gradient="0">
              <x14:cfvo type="autoMin"/>
              <x14:cfvo type="autoMax"/>
              <x14:negativeFillColor rgb="FFFF0000"/>
              <x14:axisColor rgb="FF000000"/>
            </x14:dataBar>
          </x14:cfRule>
          <xm:sqref>C33:D33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P39"/>
  <sheetViews>
    <sheetView zoomScale="70" zoomScaleNormal="70" workbookViewId="0">
      <selection activeCell="K6" sqref="K6"/>
    </sheetView>
  </sheetViews>
  <sheetFormatPr baseColWidth="10" defaultColWidth="11.42578125" defaultRowHeight="15" x14ac:dyDescent="0.25"/>
  <cols>
    <col min="1" max="1" width="6.7109375" style="2" customWidth="1"/>
    <col min="2" max="2" width="106.85546875" style="2" customWidth="1"/>
    <col min="3" max="3" width="11.42578125" style="2"/>
    <col min="4" max="4" width="22.42578125" style="2" customWidth="1"/>
    <col min="5" max="9" width="17.28515625" style="2" customWidth="1"/>
    <col min="10" max="16384" width="11.42578125" style="2"/>
  </cols>
  <sheetData>
    <row r="1" spans="1:16" ht="61.5" customHeight="1" x14ac:dyDescent="0.25">
      <c r="A1" s="41" t="s">
        <v>1</v>
      </c>
      <c r="B1" s="21" t="s">
        <v>34</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4" customFormat="1" ht="15.75" thickBot="1" x14ac:dyDescent="0.3">
      <c r="A2" s="42"/>
      <c r="B2" s="21"/>
      <c r="C2" s="3">
        <v>2026</v>
      </c>
      <c r="D2" s="3" t="s">
        <v>16</v>
      </c>
      <c r="E2" s="22"/>
      <c r="F2" s="22"/>
      <c r="G2" s="22"/>
      <c r="H2" s="22"/>
      <c r="I2" s="22"/>
      <c r="J2" s="22"/>
      <c r="K2" s="22"/>
      <c r="L2" s="22"/>
      <c r="M2" s="22"/>
      <c r="N2" s="22"/>
      <c r="O2" s="22"/>
      <c r="P2" s="22"/>
    </row>
    <row r="3" spans="1:16" ht="81" customHeight="1" thickBot="1" x14ac:dyDescent="0.3">
      <c r="A3" s="23" t="s">
        <v>18</v>
      </c>
      <c r="B3" s="8" t="s">
        <v>28</v>
      </c>
      <c r="C3" s="24">
        <v>2</v>
      </c>
      <c r="D3" s="20">
        <f t="shared" ref="D3:D9" si="0">SUM(E3:P3)</f>
        <v>1</v>
      </c>
      <c r="E3" s="25"/>
      <c r="F3" s="25"/>
      <c r="G3" s="25"/>
      <c r="H3" s="25">
        <v>1</v>
      </c>
      <c r="I3" s="25"/>
      <c r="J3" s="25"/>
      <c r="K3" s="25"/>
      <c r="L3" s="25"/>
      <c r="M3" s="25"/>
      <c r="N3" s="25"/>
      <c r="O3" s="25"/>
      <c r="P3" s="25"/>
    </row>
    <row r="4" spans="1:16" ht="81" customHeight="1" thickBot="1" x14ac:dyDescent="0.3">
      <c r="A4" s="26" t="s">
        <v>20</v>
      </c>
      <c r="B4" s="9" t="s">
        <v>19</v>
      </c>
      <c r="C4" s="27">
        <v>1</v>
      </c>
      <c r="D4" s="20">
        <f t="shared" si="0"/>
        <v>1</v>
      </c>
      <c r="E4" s="25">
        <v>0</v>
      </c>
      <c r="F4" s="25">
        <v>0</v>
      </c>
      <c r="G4" s="25">
        <v>0</v>
      </c>
      <c r="H4" s="25">
        <v>0</v>
      </c>
      <c r="I4" s="25">
        <v>1</v>
      </c>
      <c r="J4" s="25"/>
      <c r="K4" s="25"/>
      <c r="L4" s="25"/>
      <c r="M4" s="25"/>
      <c r="N4" s="25"/>
      <c r="O4" s="25"/>
      <c r="P4" s="25"/>
    </row>
    <row r="5" spans="1:16" ht="81" customHeight="1" thickBot="1" x14ac:dyDescent="0.3">
      <c r="A5" s="28" t="s">
        <v>22</v>
      </c>
      <c r="B5" s="10" t="s">
        <v>35</v>
      </c>
      <c r="C5" s="29">
        <v>1</v>
      </c>
      <c r="D5" s="20">
        <f t="shared" si="0"/>
        <v>0</v>
      </c>
      <c r="E5" s="25">
        <v>0</v>
      </c>
      <c r="F5" s="25">
        <v>0</v>
      </c>
      <c r="G5" s="25">
        <v>0</v>
      </c>
      <c r="H5" s="25">
        <v>0</v>
      </c>
      <c r="I5" s="25"/>
      <c r="J5" s="25"/>
      <c r="K5" s="25"/>
      <c r="L5" s="25"/>
      <c r="M5" s="25"/>
      <c r="N5" s="25"/>
      <c r="O5" s="25"/>
      <c r="P5" s="25"/>
    </row>
    <row r="6" spans="1:16" ht="81" customHeight="1" thickBot="1" x14ac:dyDescent="0.3">
      <c r="A6" s="23" t="s">
        <v>18</v>
      </c>
      <c r="B6" s="8" t="s">
        <v>30</v>
      </c>
      <c r="C6" s="30">
        <v>2</v>
      </c>
      <c r="D6" s="20">
        <f t="shared" si="0"/>
        <v>1</v>
      </c>
      <c r="E6" s="25"/>
      <c r="F6" s="25"/>
      <c r="G6" s="25">
        <v>1</v>
      </c>
      <c r="H6" s="25"/>
      <c r="I6" s="25"/>
      <c r="J6" s="25"/>
      <c r="K6" s="25"/>
      <c r="L6" s="25"/>
      <c r="M6" s="25"/>
      <c r="N6" s="25"/>
      <c r="O6" s="25"/>
      <c r="P6" s="25"/>
    </row>
    <row r="7" spans="1:16" ht="81" customHeight="1" thickBot="1" x14ac:dyDescent="0.3">
      <c r="A7" s="23" t="s">
        <v>18</v>
      </c>
      <c r="B7" s="8" t="s">
        <v>31</v>
      </c>
      <c r="C7" s="30">
        <v>2</v>
      </c>
      <c r="D7" s="20">
        <f t="shared" si="0"/>
        <v>1</v>
      </c>
      <c r="E7" s="25"/>
      <c r="F7" s="25">
        <v>1</v>
      </c>
      <c r="G7" s="25"/>
      <c r="H7" s="25"/>
      <c r="I7" s="25"/>
      <c r="J7" s="25"/>
      <c r="K7" s="25"/>
      <c r="L7" s="25"/>
      <c r="M7" s="25"/>
      <c r="N7" s="25"/>
      <c r="O7" s="25"/>
      <c r="P7" s="25"/>
    </row>
    <row r="8" spans="1:16" ht="81" customHeight="1" thickBot="1" x14ac:dyDescent="0.3">
      <c r="A8" s="23" t="s">
        <v>18</v>
      </c>
      <c r="B8" s="11" t="s">
        <v>25</v>
      </c>
      <c r="C8" s="30">
        <v>2</v>
      </c>
      <c r="D8" s="20">
        <f t="shared" si="0"/>
        <v>1</v>
      </c>
      <c r="E8" s="25"/>
      <c r="F8" s="25">
        <v>1</v>
      </c>
      <c r="G8" s="25"/>
      <c r="H8" s="25"/>
      <c r="I8" s="25"/>
      <c r="J8" s="25"/>
      <c r="K8" s="25"/>
      <c r="L8" s="25"/>
      <c r="M8" s="25"/>
      <c r="N8" s="25"/>
      <c r="O8" s="25"/>
      <c r="P8" s="25"/>
    </row>
    <row r="9" spans="1:16" ht="81" customHeight="1" thickBot="1" x14ac:dyDescent="0.3">
      <c r="A9" s="23" t="s">
        <v>18</v>
      </c>
      <c r="B9" s="11" t="s">
        <v>36</v>
      </c>
      <c r="C9" s="30">
        <v>1</v>
      </c>
      <c r="D9" s="20">
        <f t="shared" si="0"/>
        <v>1</v>
      </c>
      <c r="E9" s="25"/>
      <c r="F9" s="25">
        <v>1</v>
      </c>
      <c r="G9" s="25"/>
      <c r="H9" s="25"/>
      <c r="I9" s="25"/>
      <c r="J9" s="25"/>
      <c r="K9" s="25"/>
      <c r="L9" s="25"/>
      <c r="M9" s="25"/>
      <c r="N9" s="25"/>
      <c r="O9" s="25"/>
      <c r="P9" s="25"/>
    </row>
    <row r="10" spans="1:16" ht="28.5" customHeight="1" x14ac:dyDescent="0.25">
      <c r="A10" s="43" t="s">
        <v>50</v>
      </c>
      <c r="B10" s="31" t="s">
        <v>51</v>
      </c>
      <c r="C10" s="30">
        <v>3</v>
      </c>
      <c r="D10" s="20">
        <f t="shared" ref="D10:D37" si="1">SUM(E10:O10)</f>
        <v>3</v>
      </c>
      <c r="E10" s="25"/>
      <c r="F10" s="25"/>
      <c r="G10" s="25">
        <v>1</v>
      </c>
      <c r="H10" s="25">
        <v>1</v>
      </c>
      <c r="I10" s="25"/>
      <c r="J10" s="25">
        <v>1</v>
      </c>
      <c r="K10" s="25"/>
      <c r="L10" s="25"/>
      <c r="M10" s="25"/>
      <c r="N10" s="25"/>
      <c r="O10" s="25"/>
      <c r="P10" s="32"/>
    </row>
    <row r="11" spans="1:16" ht="28.5" customHeight="1" x14ac:dyDescent="0.25">
      <c r="A11" s="44"/>
      <c r="B11" s="31" t="s">
        <v>52</v>
      </c>
      <c r="C11" s="30">
        <v>3</v>
      </c>
      <c r="D11" s="20">
        <f t="shared" si="1"/>
        <v>1</v>
      </c>
      <c r="E11" s="25"/>
      <c r="F11" s="25"/>
      <c r="G11" s="25">
        <v>1</v>
      </c>
      <c r="H11" s="25"/>
      <c r="I11" s="25"/>
      <c r="J11" s="25"/>
      <c r="K11" s="25"/>
      <c r="L11" s="25"/>
      <c r="M11" s="25"/>
      <c r="N11" s="25"/>
      <c r="O11" s="25"/>
      <c r="P11" s="32"/>
    </row>
    <row r="12" spans="1:16" ht="28.5" customHeight="1" x14ac:dyDescent="0.25">
      <c r="A12" s="44"/>
      <c r="B12" s="31" t="s">
        <v>53</v>
      </c>
      <c r="C12" s="30">
        <v>20</v>
      </c>
      <c r="D12" s="20">
        <f t="shared" si="1"/>
        <v>10</v>
      </c>
      <c r="E12" s="25"/>
      <c r="F12" s="25">
        <v>4</v>
      </c>
      <c r="G12" s="25">
        <v>1</v>
      </c>
      <c r="H12" s="25"/>
      <c r="I12" s="25">
        <v>5</v>
      </c>
      <c r="J12" s="25"/>
      <c r="K12" s="25"/>
      <c r="L12" s="25"/>
      <c r="M12" s="25"/>
      <c r="N12" s="25"/>
      <c r="O12" s="25"/>
      <c r="P12" s="32"/>
    </row>
    <row r="13" spans="1:16" ht="28.5" customHeight="1" x14ac:dyDescent="0.25">
      <c r="A13" s="44"/>
      <c r="B13" s="31" t="s">
        <v>54</v>
      </c>
      <c r="C13" s="30">
        <v>6</v>
      </c>
      <c r="D13" s="20">
        <f t="shared" si="1"/>
        <v>2</v>
      </c>
      <c r="E13" s="25"/>
      <c r="F13" s="25"/>
      <c r="G13" s="25">
        <v>2</v>
      </c>
      <c r="H13" s="25"/>
      <c r="I13" s="25"/>
      <c r="J13" s="25"/>
      <c r="K13" s="25"/>
      <c r="L13" s="25"/>
      <c r="M13" s="25"/>
      <c r="N13" s="25"/>
      <c r="O13" s="25"/>
      <c r="P13" s="32"/>
    </row>
    <row r="14" spans="1:16" ht="28.5" customHeight="1" x14ac:dyDescent="0.25">
      <c r="A14" s="44"/>
      <c r="B14" s="31" t="s">
        <v>55</v>
      </c>
      <c r="C14" s="30">
        <v>0</v>
      </c>
      <c r="D14" s="20">
        <f t="shared" si="1"/>
        <v>0</v>
      </c>
      <c r="E14" s="25"/>
      <c r="F14" s="25"/>
      <c r="G14" s="25"/>
      <c r="H14" s="25"/>
      <c r="I14" s="25"/>
      <c r="J14" s="25"/>
      <c r="K14" s="25"/>
      <c r="L14" s="25"/>
      <c r="M14" s="25"/>
      <c r="N14" s="25"/>
      <c r="O14" s="25"/>
      <c r="P14" s="32"/>
    </row>
    <row r="15" spans="1:16" ht="28.5" customHeight="1" x14ac:dyDescent="0.25">
      <c r="A15" s="44"/>
      <c r="B15" s="31" t="s">
        <v>56</v>
      </c>
      <c r="C15" s="30">
        <v>8</v>
      </c>
      <c r="D15" s="20">
        <f t="shared" si="1"/>
        <v>1</v>
      </c>
      <c r="E15" s="25"/>
      <c r="F15" s="25">
        <v>1</v>
      </c>
      <c r="G15" s="25"/>
      <c r="H15" s="25"/>
      <c r="I15" s="25"/>
      <c r="J15" s="25"/>
      <c r="K15" s="25"/>
      <c r="L15" s="25"/>
      <c r="M15" s="25"/>
      <c r="N15" s="25"/>
      <c r="O15" s="25"/>
      <c r="P15" s="32"/>
    </row>
    <row r="16" spans="1:16" ht="28.5" customHeight="1" x14ac:dyDescent="0.25">
      <c r="A16" s="44"/>
      <c r="B16" s="31" t="s">
        <v>57</v>
      </c>
      <c r="C16" s="30">
        <v>0</v>
      </c>
      <c r="D16" s="20">
        <f t="shared" si="1"/>
        <v>0</v>
      </c>
      <c r="E16" s="25"/>
      <c r="F16" s="25"/>
      <c r="G16" s="25"/>
      <c r="H16" s="25"/>
      <c r="I16" s="25"/>
      <c r="J16" s="25"/>
      <c r="K16" s="25"/>
      <c r="L16" s="25"/>
      <c r="M16" s="25"/>
      <c r="N16" s="25"/>
      <c r="O16" s="25"/>
      <c r="P16" s="32"/>
    </row>
    <row r="17" spans="1:16" ht="28.5" customHeight="1" x14ac:dyDescent="0.25">
      <c r="A17" s="44"/>
      <c r="B17" s="31" t="s">
        <v>58</v>
      </c>
      <c r="C17" s="30">
        <v>0</v>
      </c>
      <c r="D17" s="20">
        <f t="shared" si="1"/>
        <v>0</v>
      </c>
      <c r="E17" s="25"/>
      <c r="F17" s="25"/>
      <c r="G17" s="25"/>
      <c r="H17" s="25"/>
      <c r="I17" s="25"/>
      <c r="J17" s="25"/>
      <c r="K17" s="25"/>
      <c r="L17" s="25"/>
      <c r="M17" s="25"/>
      <c r="N17" s="25"/>
      <c r="O17" s="25"/>
      <c r="P17" s="32"/>
    </row>
    <row r="18" spans="1:16" ht="28.5" customHeight="1" x14ac:dyDescent="0.25">
      <c r="A18" s="44"/>
      <c r="B18" s="31" t="s">
        <v>59</v>
      </c>
      <c r="C18" s="30">
        <v>0</v>
      </c>
      <c r="D18" s="20">
        <f t="shared" si="1"/>
        <v>0</v>
      </c>
      <c r="E18" s="25"/>
      <c r="F18" s="25"/>
      <c r="G18" s="25"/>
      <c r="H18" s="25"/>
      <c r="I18" s="25"/>
      <c r="J18" s="25"/>
      <c r="K18" s="25"/>
      <c r="L18" s="25"/>
      <c r="M18" s="25"/>
      <c r="N18" s="25"/>
      <c r="O18" s="25"/>
      <c r="P18" s="32"/>
    </row>
    <row r="19" spans="1:16" ht="28.5" customHeight="1" x14ac:dyDescent="0.25">
      <c r="A19" s="44"/>
      <c r="B19" s="31" t="s">
        <v>60</v>
      </c>
      <c r="C19" s="30">
        <v>0</v>
      </c>
      <c r="D19" s="20">
        <f t="shared" si="1"/>
        <v>0</v>
      </c>
      <c r="E19" s="25"/>
      <c r="F19" s="25"/>
      <c r="G19" s="25"/>
      <c r="H19" s="25"/>
      <c r="I19" s="25"/>
      <c r="J19" s="25"/>
      <c r="K19" s="25"/>
      <c r="L19" s="25"/>
      <c r="M19" s="25"/>
      <c r="N19" s="25"/>
      <c r="O19" s="25"/>
      <c r="P19" s="32"/>
    </row>
    <row r="20" spans="1:16" ht="28.5" customHeight="1" x14ac:dyDescent="0.25">
      <c r="A20" s="44"/>
      <c r="B20" s="31" t="s">
        <v>61</v>
      </c>
      <c r="C20" s="30">
        <v>0</v>
      </c>
      <c r="D20" s="20">
        <f t="shared" si="1"/>
        <v>0</v>
      </c>
      <c r="E20" s="25"/>
      <c r="F20" s="25"/>
      <c r="G20" s="25"/>
      <c r="H20" s="25"/>
      <c r="I20" s="25"/>
      <c r="J20" s="25"/>
      <c r="K20" s="25"/>
      <c r="L20" s="25"/>
      <c r="M20" s="25"/>
      <c r="N20" s="25"/>
      <c r="O20" s="25"/>
      <c r="P20" s="32"/>
    </row>
    <row r="21" spans="1:16" ht="28.5" customHeight="1" x14ac:dyDescent="0.25">
      <c r="A21" s="44"/>
      <c r="B21" s="31" t="s">
        <v>62</v>
      </c>
      <c r="C21" s="30">
        <v>0</v>
      </c>
      <c r="D21" s="20">
        <f t="shared" si="1"/>
        <v>0</v>
      </c>
      <c r="E21" s="25"/>
      <c r="F21" s="25"/>
      <c r="G21" s="25"/>
      <c r="H21" s="25"/>
      <c r="I21" s="25"/>
      <c r="J21" s="25"/>
      <c r="K21" s="25"/>
      <c r="L21" s="25"/>
      <c r="M21" s="25"/>
      <c r="N21" s="25"/>
      <c r="O21" s="25"/>
      <c r="P21" s="32"/>
    </row>
    <row r="22" spans="1:16" ht="28.5" customHeight="1" x14ac:dyDescent="0.25">
      <c r="A22" s="44"/>
      <c r="B22" s="31" t="s">
        <v>63</v>
      </c>
      <c r="C22" s="30">
        <v>0</v>
      </c>
      <c r="D22" s="20">
        <f t="shared" si="1"/>
        <v>0</v>
      </c>
      <c r="E22" s="25"/>
      <c r="F22" s="25"/>
      <c r="G22" s="25"/>
      <c r="H22" s="25"/>
      <c r="I22" s="25"/>
      <c r="J22" s="25"/>
      <c r="K22" s="25"/>
      <c r="L22" s="25"/>
      <c r="M22" s="25"/>
      <c r="N22" s="25"/>
      <c r="O22" s="25"/>
      <c r="P22" s="32"/>
    </row>
    <row r="23" spans="1:16" ht="28.5" customHeight="1" x14ac:dyDescent="0.25">
      <c r="A23" s="44"/>
      <c r="B23" s="31" t="s">
        <v>64</v>
      </c>
      <c r="C23" s="30">
        <v>0</v>
      </c>
      <c r="D23" s="20">
        <f t="shared" si="1"/>
        <v>0</v>
      </c>
      <c r="E23" s="25"/>
      <c r="F23" s="25"/>
      <c r="G23" s="25"/>
      <c r="H23" s="25"/>
      <c r="I23" s="25"/>
      <c r="J23" s="25"/>
      <c r="K23" s="25"/>
      <c r="L23" s="25"/>
      <c r="M23" s="25"/>
      <c r="N23" s="25"/>
      <c r="O23" s="25"/>
      <c r="P23" s="32"/>
    </row>
    <row r="24" spans="1:16" ht="28.5" customHeight="1" x14ac:dyDescent="0.25">
      <c r="A24" s="44"/>
      <c r="B24" s="31" t="s">
        <v>65</v>
      </c>
      <c r="C24" s="30">
        <v>86</v>
      </c>
      <c r="D24" s="20">
        <f t="shared" si="1"/>
        <v>85</v>
      </c>
      <c r="E24" s="25">
        <v>21</v>
      </c>
      <c r="F24" s="25">
        <v>21</v>
      </c>
      <c r="G24" s="25">
        <v>21</v>
      </c>
      <c r="H24" s="25">
        <v>22</v>
      </c>
      <c r="I24" s="25"/>
      <c r="J24" s="25"/>
      <c r="K24" s="25"/>
      <c r="L24" s="25"/>
      <c r="M24" s="25"/>
      <c r="N24" s="25"/>
      <c r="O24" s="25"/>
      <c r="P24" s="32"/>
    </row>
    <row r="25" spans="1:16" ht="28.5" customHeight="1" x14ac:dyDescent="0.25">
      <c r="A25" s="44"/>
      <c r="B25" s="31" t="s">
        <v>66</v>
      </c>
      <c r="C25" s="30">
        <v>0</v>
      </c>
      <c r="D25" s="20">
        <f t="shared" si="1"/>
        <v>0</v>
      </c>
      <c r="E25" s="25"/>
      <c r="F25" s="25"/>
      <c r="G25" s="25"/>
      <c r="H25" s="25"/>
      <c r="I25" s="25"/>
      <c r="J25" s="25"/>
      <c r="K25" s="25"/>
      <c r="L25" s="25"/>
      <c r="M25" s="25"/>
      <c r="N25" s="25"/>
      <c r="O25" s="25"/>
      <c r="P25" s="32"/>
    </row>
    <row r="26" spans="1:16" ht="24" customHeight="1" x14ac:dyDescent="0.25">
      <c r="A26" s="44"/>
      <c r="B26" s="33" t="s">
        <v>67</v>
      </c>
      <c r="C26" s="30">
        <v>3</v>
      </c>
      <c r="D26" s="20">
        <f t="shared" si="1"/>
        <v>1</v>
      </c>
      <c r="E26" s="25"/>
      <c r="F26" s="25"/>
      <c r="G26" s="25">
        <v>1</v>
      </c>
      <c r="H26" s="25"/>
      <c r="I26" s="25"/>
      <c r="J26" s="25"/>
      <c r="K26" s="25"/>
      <c r="L26" s="25"/>
      <c r="M26" s="25"/>
      <c r="N26" s="25"/>
      <c r="O26" s="25"/>
      <c r="P26" s="32"/>
    </row>
    <row r="27" spans="1:16" ht="24" customHeight="1" x14ac:dyDescent="0.25">
      <c r="A27" s="44"/>
      <c r="B27" s="33" t="s">
        <v>68</v>
      </c>
      <c r="C27" s="30">
        <v>3</v>
      </c>
      <c r="D27" s="20">
        <f t="shared" si="1"/>
        <v>1</v>
      </c>
      <c r="E27" s="25"/>
      <c r="F27" s="25"/>
      <c r="G27" s="25"/>
      <c r="H27" s="25"/>
      <c r="I27" s="25">
        <v>1</v>
      </c>
      <c r="J27" s="25"/>
      <c r="K27" s="25"/>
      <c r="L27" s="25"/>
      <c r="M27" s="25"/>
      <c r="N27" s="25"/>
      <c r="O27" s="25"/>
      <c r="P27" s="32"/>
    </row>
    <row r="28" spans="1:16" ht="24" customHeight="1" x14ac:dyDescent="0.25">
      <c r="A28" s="44"/>
      <c r="B28" s="33" t="s">
        <v>69</v>
      </c>
      <c r="C28" s="30">
        <v>3</v>
      </c>
      <c r="D28" s="20">
        <f t="shared" si="1"/>
        <v>1</v>
      </c>
      <c r="E28" s="25"/>
      <c r="F28" s="25"/>
      <c r="G28" s="25"/>
      <c r="H28" s="25"/>
      <c r="I28" s="25">
        <v>1</v>
      </c>
      <c r="J28" s="25"/>
      <c r="K28" s="25"/>
      <c r="L28" s="25"/>
      <c r="M28" s="25"/>
      <c r="N28" s="25"/>
      <c r="O28" s="25"/>
      <c r="P28" s="32"/>
    </row>
    <row r="29" spans="1:16" ht="24" customHeight="1" x14ac:dyDescent="0.25">
      <c r="A29" s="44"/>
      <c r="B29" s="33" t="s">
        <v>70</v>
      </c>
      <c r="C29" s="30">
        <v>3</v>
      </c>
      <c r="D29" s="20">
        <f t="shared" si="1"/>
        <v>0</v>
      </c>
      <c r="E29" s="25"/>
      <c r="F29" s="25"/>
      <c r="G29" s="25"/>
      <c r="H29" s="25"/>
      <c r="I29" s="25"/>
      <c r="J29" s="25"/>
      <c r="K29" s="25"/>
      <c r="L29" s="25"/>
      <c r="M29" s="25"/>
      <c r="N29" s="25"/>
      <c r="O29" s="25"/>
      <c r="P29" s="32"/>
    </row>
    <row r="30" spans="1:16" ht="24" customHeight="1" x14ac:dyDescent="0.25">
      <c r="A30" s="44"/>
      <c r="B30" s="33" t="s">
        <v>71</v>
      </c>
      <c r="C30" s="30">
        <v>3</v>
      </c>
      <c r="D30" s="20">
        <f t="shared" si="1"/>
        <v>0</v>
      </c>
      <c r="E30" s="25"/>
      <c r="F30" s="25"/>
      <c r="G30" s="25"/>
      <c r="H30" s="25"/>
      <c r="I30" s="25"/>
      <c r="J30" s="25"/>
      <c r="K30" s="25"/>
      <c r="L30" s="25"/>
      <c r="M30" s="25"/>
      <c r="N30" s="25"/>
      <c r="O30" s="25"/>
      <c r="P30" s="32"/>
    </row>
    <row r="31" spans="1:16" ht="24" customHeight="1" x14ac:dyDescent="0.25">
      <c r="A31" s="44"/>
      <c r="B31" s="33" t="s">
        <v>72</v>
      </c>
      <c r="C31" s="30">
        <v>1</v>
      </c>
      <c r="D31" s="20">
        <f t="shared" si="1"/>
        <v>0</v>
      </c>
      <c r="E31" s="25"/>
      <c r="F31" s="25"/>
      <c r="G31" s="25"/>
      <c r="H31" s="25"/>
      <c r="I31" s="25"/>
      <c r="J31" s="25"/>
      <c r="K31" s="25"/>
      <c r="L31" s="25"/>
      <c r="M31" s="25"/>
      <c r="N31" s="25"/>
      <c r="O31" s="25"/>
      <c r="P31" s="32"/>
    </row>
    <row r="32" spans="1:16" ht="24" customHeight="1" x14ac:dyDescent="0.25">
      <c r="A32" s="44"/>
      <c r="B32" s="33" t="s">
        <v>73</v>
      </c>
      <c r="C32" s="30">
        <v>1</v>
      </c>
      <c r="D32" s="20">
        <f t="shared" si="1"/>
        <v>0</v>
      </c>
      <c r="E32" s="25"/>
      <c r="F32" s="25"/>
      <c r="G32" s="25"/>
      <c r="H32" s="25"/>
      <c r="I32" s="25"/>
      <c r="J32" s="25"/>
      <c r="K32" s="25"/>
      <c r="L32" s="25"/>
      <c r="M32" s="25"/>
      <c r="N32" s="25"/>
      <c r="O32" s="25"/>
      <c r="P32" s="32"/>
    </row>
    <row r="33" spans="1:16" ht="24" customHeight="1" x14ac:dyDescent="0.25">
      <c r="A33" s="44"/>
      <c r="B33" s="33" t="s">
        <v>74</v>
      </c>
      <c r="C33" s="30">
        <v>1</v>
      </c>
      <c r="D33" s="20">
        <f t="shared" si="1"/>
        <v>0</v>
      </c>
      <c r="E33" s="25"/>
      <c r="F33" s="25"/>
      <c r="G33" s="25"/>
      <c r="H33" s="25"/>
      <c r="I33" s="25"/>
      <c r="J33" s="25"/>
      <c r="K33" s="25"/>
      <c r="L33" s="25"/>
      <c r="M33" s="25"/>
      <c r="N33" s="25"/>
      <c r="O33" s="25"/>
      <c r="P33" s="32"/>
    </row>
    <row r="34" spans="1:16" ht="24" customHeight="1" x14ac:dyDescent="0.25">
      <c r="A34" s="44"/>
      <c r="B34" s="33" t="s">
        <v>75</v>
      </c>
      <c r="C34" s="30">
        <v>1</v>
      </c>
      <c r="D34" s="20">
        <f t="shared" si="1"/>
        <v>0</v>
      </c>
      <c r="E34" s="25"/>
      <c r="F34" s="25"/>
      <c r="G34" s="25"/>
      <c r="H34" s="25"/>
      <c r="I34" s="25"/>
      <c r="J34" s="25"/>
      <c r="K34" s="25"/>
      <c r="L34" s="25"/>
      <c r="M34" s="25"/>
      <c r="N34" s="25"/>
      <c r="O34" s="25"/>
      <c r="P34" s="32"/>
    </row>
    <row r="35" spans="1:16" ht="24" customHeight="1" x14ac:dyDescent="0.25">
      <c r="A35" s="44"/>
      <c r="B35" s="33" t="s">
        <v>76</v>
      </c>
      <c r="C35" s="30">
        <v>1</v>
      </c>
      <c r="D35" s="20">
        <f t="shared" si="1"/>
        <v>0</v>
      </c>
      <c r="E35" s="25"/>
      <c r="F35" s="25"/>
      <c r="G35" s="25"/>
      <c r="H35" s="25"/>
      <c r="I35" s="25"/>
      <c r="J35" s="25"/>
      <c r="K35" s="25"/>
      <c r="L35" s="25"/>
      <c r="M35" s="25"/>
      <c r="N35" s="25"/>
      <c r="O35" s="25"/>
      <c r="P35" s="32"/>
    </row>
    <row r="36" spans="1:16" ht="24" customHeight="1" x14ac:dyDescent="0.25">
      <c r="A36" s="44"/>
      <c r="B36" s="33" t="s">
        <v>77</v>
      </c>
      <c r="C36" s="30">
        <v>1</v>
      </c>
      <c r="D36" s="20">
        <f t="shared" si="1"/>
        <v>0</v>
      </c>
      <c r="E36" s="25"/>
      <c r="F36" s="25"/>
      <c r="G36" s="25"/>
      <c r="H36" s="25"/>
      <c r="I36" s="25"/>
      <c r="J36" s="25"/>
      <c r="K36" s="25"/>
      <c r="L36" s="25"/>
      <c r="M36" s="25"/>
      <c r="N36" s="25"/>
      <c r="O36" s="25"/>
      <c r="P36" s="32"/>
    </row>
    <row r="37" spans="1:16" ht="24" customHeight="1" thickBot="1" x14ac:dyDescent="0.3">
      <c r="A37" s="45"/>
      <c r="B37" s="34" t="s">
        <v>78</v>
      </c>
      <c r="C37" s="30">
        <v>1</v>
      </c>
      <c r="D37" s="20">
        <f t="shared" si="1"/>
        <v>0</v>
      </c>
      <c r="E37" s="25"/>
      <c r="F37" s="25"/>
      <c r="G37" s="25"/>
      <c r="H37" s="25"/>
      <c r="I37" s="25"/>
      <c r="J37" s="25"/>
      <c r="K37" s="25"/>
      <c r="L37" s="25"/>
      <c r="M37" s="25"/>
      <c r="N37" s="25"/>
      <c r="O37" s="25"/>
      <c r="P37" s="32"/>
    </row>
    <row r="38" spans="1:16" x14ac:dyDescent="0.25">
      <c r="C38" s="35">
        <f>SUM(C3:C37)</f>
        <v>159</v>
      </c>
      <c r="D38" s="36">
        <f>SUM(D3:D37)</f>
        <v>111</v>
      </c>
    </row>
    <row r="39" spans="1:16" x14ac:dyDescent="0.25">
      <c r="C39" s="37"/>
      <c r="D39" s="38">
        <f>D38/C38</f>
        <v>0.69811320754716977</v>
      </c>
    </row>
  </sheetData>
  <sheetProtection algorithmName="SHA-512" hashValue="GrvOsKhPrWIg38aEUfuikYYgOEkTA7bujzkYL2XyvJEq3jtIczrl6zLA+G1T420Guyrn3MNq+Uz8riy7qwxDHg==" saltValue="MctjKlI56aM2WpjpS8eRAg==" spinCount="100000" sheet="1" objects="1" scenarios="1" autoFilter="0"/>
  <mergeCells count="2">
    <mergeCell ref="A1:A2"/>
    <mergeCell ref="A10:A37"/>
  </mergeCells>
  <conditionalFormatting sqref="C3:D3 D4:D9">
    <cfRule type="dataBar" priority="51">
      <dataBar>
        <cfvo type="min"/>
        <cfvo type="max"/>
        <color rgb="FF008AEF"/>
      </dataBar>
      <extLst>
        <ext xmlns:x14="http://schemas.microsoft.com/office/spreadsheetml/2009/9/main" uri="{B025F937-C7B1-47D3-B67F-A62EFF666E3E}">
          <x14:id>{BEED73A9-51A9-40AB-83B9-4EA422D9E80B}</x14:id>
        </ext>
      </extLst>
    </cfRule>
  </conditionalFormatting>
  <conditionalFormatting sqref="C4:D4">
    <cfRule type="dataBar" priority="6">
      <dataBar>
        <cfvo type="min"/>
        <cfvo type="max"/>
        <color rgb="FF008AEF"/>
      </dataBar>
      <extLst>
        <ext xmlns:x14="http://schemas.microsoft.com/office/spreadsheetml/2009/9/main" uri="{B025F937-C7B1-47D3-B67F-A62EFF666E3E}">
          <x14:id>{4B4B9C06-473D-4388-A641-6093B697D0B6}</x14:id>
        </ext>
      </extLst>
    </cfRule>
  </conditionalFormatting>
  <conditionalFormatting sqref="C5:D5">
    <cfRule type="dataBar" priority="7">
      <dataBar>
        <cfvo type="min"/>
        <cfvo type="max"/>
        <color rgb="FF008AEF"/>
      </dataBar>
      <extLst>
        <ext xmlns:x14="http://schemas.microsoft.com/office/spreadsheetml/2009/9/main" uri="{B025F937-C7B1-47D3-B67F-A62EFF666E3E}">
          <x14:id>{ACE6B5FE-43BE-4A32-8DD3-A9CF8601A0A3}</x14:id>
        </ext>
      </extLst>
    </cfRule>
  </conditionalFormatting>
  <conditionalFormatting sqref="C6:D6">
    <cfRule type="dataBar" priority="8">
      <dataBar>
        <cfvo type="min"/>
        <cfvo type="max"/>
        <color rgb="FF008AEF"/>
      </dataBar>
      <extLst>
        <ext xmlns:x14="http://schemas.microsoft.com/office/spreadsheetml/2009/9/main" uri="{B025F937-C7B1-47D3-B67F-A62EFF666E3E}">
          <x14:id>{344BEDED-0B53-4AD9-96A9-C372DEB0BBB0}</x14:id>
        </ext>
      </extLst>
    </cfRule>
  </conditionalFormatting>
  <conditionalFormatting sqref="C7:D7">
    <cfRule type="dataBar" priority="9">
      <dataBar>
        <cfvo type="min"/>
        <cfvo type="max"/>
        <color rgb="FF008AEF"/>
      </dataBar>
      <extLst>
        <ext xmlns:x14="http://schemas.microsoft.com/office/spreadsheetml/2009/9/main" uri="{B025F937-C7B1-47D3-B67F-A62EFF666E3E}">
          <x14:id>{F1E4D9DF-51BE-41CE-AEBD-E8CF88B7A4F2}</x14:id>
        </ext>
      </extLst>
    </cfRule>
  </conditionalFormatting>
  <conditionalFormatting sqref="C8:D8">
    <cfRule type="dataBar" priority="10">
      <dataBar>
        <cfvo type="min"/>
        <cfvo type="max"/>
        <color rgb="FF008AEF"/>
      </dataBar>
      <extLst>
        <ext xmlns:x14="http://schemas.microsoft.com/office/spreadsheetml/2009/9/main" uri="{B025F937-C7B1-47D3-B67F-A62EFF666E3E}">
          <x14:id>{B7E615C8-A61C-493A-BB25-D2F9D7A40DA6}</x14:id>
        </ext>
      </extLst>
    </cfRule>
  </conditionalFormatting>
  <conditionalFormatting sqref="C9:D9">
    <cfRule type="dataBar" priority="11">
      <dataBar>
        <cfvo type="min"/>
        <cfvo type="max"/>
        <color rgb="FF008AEF"/>
      </dataBar>
      <extLst>
        <ext xmlns:x14="http://schemas.microsoft.com/office/spreadsheetml/2009/9/main" uri="{B025F937-C7B1-47D3-B67F-A62EFF666E3E}">
          <x14:id>{DF8FCB7B-78B9-4354-AD1A-E3120BC00577}</x14:id>
        </ext>
      </extLst>
    </cfRule>
  </conditionalFormatting>
  <conditionalFormatting sqref="C10:D10">
    <cfRule type="dataBar" priority="13">
      <dataBar>
        <cfvo type="min"/>
        <cfvo type="max"/>
        <color rgb="FF008AEF"/>
      </dataBar>
      <extLst>
        <ext xmlns:x14="http://schemas.microsoft.com/office/spreadsheetml/2009/9/main" uri="{B025F937-C7B1-47D3-B67F-A62EFF666E3E}">
          <x14:id>{7FE6434B-B5B5-46F0-97E2-47EB9D79F4F9}</x14:id>
        </ext>
      </extLst>
    </cfRule>
  </conditionalFormatting>
  <conditionalFormatting sqref="C11:D11">
    <cfRule type="dataBar" priority="40">
      <dataBar>
        <cfvo type="min"/>
        <cfvo type="max"/>
        <color rgb="FF008AEF"/>
      </dataBar>
      <extLst>
        <ext xmlns:x14="http://schemas.microsoft.com/office/spreadsheetml/2009/9/main" uri="{B025F937-C7B1-47D3-B67F-A62EFF666E3E}">
          <x14:id>{493126DC-2BBF-4637-90D1-E8FFDA303EBE}</x14:id>
        </ext>
      </extLst>
    </cfRule>
  </conditionalFormatting>
  <conditionalFormatting sqref="C12:D12">
    <cfRule type="dataBar" priority="39">
      <dataBar>
        <cfvo type="min"/>
        <cfvo type="max"/>
        <color rgb="FF008AEF"/>
      </dataBar>
      <extLst>
        <ext xmlns:x14="http://schemas.microsoft.com/office/spreadsheetml/2009/9/main" uri="{B025F937-C7B1-47D3-B67F-A62EFF666E3E}">
          <x14:id>{B79EAEA5-A245-404E-BD12-5792E074A499}</x14:id>
        </ext>
      </extLst>
    </cfRule>
  </conditionalFormatting>
  <conditionalFormatting sqref="C13:D13">
    <cfRule type="dataBar" priority="38">
      <dataBar>
        <cfvo type="min"/>
        <cfvo type="max"/>
        <color rgb="FF008AEF"/>
      </dataBar>
      <extLst>
        <ext xmlns:x14="http://schemas.microsoft.com/office/spreadsheetml/2009/9/main" uri="{B025F937-C7B1-47D3-B67F-A62EFF666E3E}">
          <x14:id>{203AF1F7-A2C0-4AF4-8285-E07B21DDE07E}</x14:id>
        </ext>
      </extLst>
    </cfRule>
  </conditionalFormatting>
  <conditionalFormatting sqref="C14:D14">
    <cfRule type="dataBar" priority="37">
      <dataBar>
        <cfvo type="min"/>
        <cfvo type="max"/>
        <color rgb="FF008AEF"/>
      </dataBar>
      <extLst>
        <ext xmlns:x14="http://schemas.microsoft.com/office/spreadsheetml/2009/9/main" uri="{B025F937-C7B1-47D3-B67F-A62EFF666E3E}">
          <x14:id>{DD528EE0-2495-48D6-AC8E-1DD897B4A498}</x14:id>
        </ext>
      </extLst>
    </cfRule>
  </conditionalFormatting>
  <conditionalFormatting sqref="C15:D15">
    <cfRule type="dataBar" priority="36">
      <dataBar>
        <cfvo type="min"/>
        <cfvo type="max"/>
        <color rgb="FF008AEF"/>
      </dataBar>
      <extLst>
        <ext xmlns:x14="http://schemas.microsoft.com/office/spreadsheetml/2009/9/main" uri="{B025F937-C7B1-47D3-B67F-A62EFF666E3E}">
          <x14:id>{2945B160-9008-49D0-8C5F-82E010AA508E}</x14:id>
        </ext>
      </extLst>
    </cfRule>
  </conditionalFormatting>
  <conditionalFormatting sqref="C16:D16">
    <cfRule type="dataBar" priority="35">
      <dataBar>
        <cfvo type="min"/>
        <cfvo type="max"/>
        <color rgb="FF008AEF"/>
      </dataBar>
      <extLst>
        <ext xmlns:x14="http://schemas.microsoft.com/office/spreadsheetml/2009/9/main" uri="{B025F937-C7B1-47D3-B67F-A62EFF666E3E}">
          <x14:id>{87BEE791-13CB-4A81-8842-209576E8EB52}</x14:id>
        </ext>
      </extLst>
    </cfRule>
  </conditionalFormatting>
  <conditionalFormatting sqref="C17:D17">
    <cfRule type="dataBar" priority="34">
      <dataBar>
        <cfvo type="min"/>
        <cfvo type="max"/>
        <color rgb="FF008AEF"/>
      </dataBar>
      <extLst>
        <ext xmlns:x14="http://schemas.microsoft.com/office/spreadsheetml/2009/9/main" uri="{B025F937-C7B1-47D3-B67F-A62EFF666E3E}">
          <x14:id>{C3007935-ED7F-4A96-8048-6920644AFB6B}</x14:id>
        </ext>
      </extLst>
    </cfRule>
  </conditionalFormatting>
  <conditionalFormatting sqref="C18:D18">
    <cfRule type="dataBar" priority="33">
      <dataBar>
        <cfvo type="min"/>
        <cfvo type="max"/>
        <color rgb="FF008AEF"/>
      </dataBar>
      <extLst>
        <ext xmlns:x14="http://schemas.microsoft.com/office/spreadsheetml/2009/9/main" uri="{B025F937-C7B1-47D3-B67F-A62EFF666E3E}">
          <x14:id>{D24E8BAF-2BE9-4A09-B0C5-1C57AB6D9798}</x14:id>
        </ext>
      </extLst>
    </cfRule>
  </conditionalFormatting>
  <conditionalFormatting sqref="C19:D19">
    <cfRule type="dataBar" priority="32">
      <dataBar>
        <cfvo type="min"/>
        <cfvo type="max"/>
        <color rgb="FF008AEF"/>
      </dataBar>
      <extLst>
        <ext xmlns:x14="http://schemas.microsoft.com/office/spreadsheetml/2009/9/main" uri="{B025F937-C7B1-47D3-B67F-A62EFF666E3E}">
          <x14:id>{00550496-3552-416C-A9DD-AB8A200574DE}</x14:id>
        </ext>
      </extLst>
    </cfRule>
  </conditionalFormatting>
  <conditionalFormatting sqref="C20:D20">
    <cfRule type="dataBar" priority="31">
      <dataBar>
        <cfvo type="min"/>
        <cfvo type="max"/>
        <color rgb="FF008AEF"/>
      </dataBar>
      <extLst>
        <ext xmlns:x14="http://schemas.microsoft.com/office/spreadsheetml/2009/9/main" uri="{B025F937-C7B1-47D3-B67F-A62EFF666E3E}">
          <x14:id>{8A320E08-E474-4D82-BB74-7949CCC8220A}</x14:id>
        </ext>
      </extLst>
    </cfRule>
  </conditionalFormatting>
  <conditionalFormatting sqref="C21:D21">
    <cfRule type="dataBar" priority="30">
      <dataBar>
        <cfvo type="min"/>
        <cfvo type="max"/>
        <color rgb="FF008AEF"/>
      </dataBar>
      <extLst>
        <ext xmlns:x14="http://schemas.microsoft.com/office/spreadsheetml/2009/9/main" uri="{B025F937-C7B1-47D3-B67F-A62EFF666E3E}">
          <x14:id>{6F0E08BE-470A-4154-9E73-9DF38D50AF6E}</x14:id>
        </ext>
      </extLst>
    </cfRule>
  </conditionalFormatting>
  <conditionalFormatting sqref="C22:D22">
    <cfRule type="dataBar" priority="29">
      <dataBar>
        <cfvo type="min"/>
        <cfvo type="max"/>
        <color rgb="FF008AEF"/>
      </dataBar>
      <extLst>
        <ext xmlns:x14="http://schemas.microsoft.com/office/spreadsheetml/2009/9/main" uri="{B025F937-C7B1-47D3-B67F-A62EFF666E3E}">
          <x14:id>{A4531236-544F-4D2F-9484-E445EF4FD626}</x14:id>
        </ext>
      </extLst>
    </cfRule>
  </conditionalFormatting>
  <conditionalFormatting sqref="C23:D23">
    <cfRule type="dataBar" priority="28">
      <dataBar>
        <cfvo type="min"/>
        <cfvo type="max"/>
        <color rgb="FF008AEF"/>
      </dataBar>
      <extLst>
        <ext xmlns:x14="http://schemas.microsoft.com/office/spreadsheetml/2009/9/main" uri="{B025F937-C7B1-47D3-B67F-A62EFF666E3E}">
          <x14:id>{4AF17D9B-8A49-49F9-B255-C6ADB509E89E}</x14:id>
        </ext>
      </extLst>
    </cfRule>
  </conditionalFormatting>
  <conditionalFormatting sqref="C24:D24">
    <cfRule type="dataBar" priority="27">
      <dataBar>
        <cfvo type="min"/>
        <cfvo type="max"/>
        <color rgb="FF008AEF"/>
      </dataBar>
      <extLst>
        <ext xmlns:x14="http://schemas.microsoft.com/office/spreadsheetml/2009/9/main" uri="{B025F937-C7B1-47D3-B67F-A62EFF666E3E}">
          <x14:id>{54AE902F-5DD2-4E4D-B638-22845870D79F}</x14:id>
        </ext>
      </extLst>
    </cfRule>
  </conditionalFormatting>
  <conditionalFormatting sqref="C25:D25">
    <cfRule type="dataBar" priority="26">
      <dataBar>
        <cfvo type="min"/>
        <cfvo type="max"/>
        <color rgb="FF008AEF"/>
      </dataBar>
      <extLst>
        <ext xmlns:x14="http://schemas.microsoft.com/office/spreadsheetml/2009/9/main" uri="{B025F937-C7B1-47D3-B67F-A62EFF666E3E}">
          <x14:id>{9ABCF7D7-0D36-406F-BB12-EF614D4EBEA2}</x14:id>
        </ext>
      </extLst>
    </cfRule>
  </conditionalFormatting>
  <conditionalFormatting sqref="C26:D26">
    <cfRule type="dataBar" priority="25">
      <dataBar>
        <cfvo type="min"/>
        <cfvo type="max"/>
        <color rgb="FF008AEF"/>
      </dataBar>
      <extLst>
        <ext xmlns:x14="http://schemas.microsoft.com/office/spreadsheetml/2009/9/main" uri="{B025F937-C7B1-47D3-B67F-A62EFF666E3E}">
          <x14:id>{93F02997-CC40-4E0D-B052-16AC7AE4547F}</x14:id>
        </ext>
      </extLst>
    </cfRule>
  </conditionalFormatting>
  <conditionalFormatting sqref="C27:D27">
    <cfRule type="dataBar" priority="24">
      <dataBar>
        <cfvo type="min"/>
        <cfvo type="max"/>
        <color rgb="FF008AEF"/>
      </dataBar>
      <extLst>
        <ext xmlns:x14="http://schemas.microsoft.com/office/spreadsheetml/2009/9/main" uri="{B025F937-C7B1-47D3-B67F-A62EFF666E3E}">
          <x14:id>{54E49329-4C34-4D4A-974B-C0BBFDC3CFE3}</x14:id>
        </ext>
      </extLst>
    </cfRule>
  </conditionalFormatting>
  <conditionalFormatting sqref="C28:D28">
    <cfRule type="dataBar" priority="23">
      <dataBar>
        <cfvo type="min"/>
        <cfvo type="max"/>
        <color rgb="FF008AEF"/>
      </dataBar>
      <extLst>
        <ext xmlns:x14="http://schemas.microsoft.com/office/spreadsheetml/2009/9/main" uri="{B025F937-C7B1-47D3-B67F-A62EFF666E3E}">
          <x14:id>{E70321FF-051B-46F8-8A65-DE8ED18BAB67}</x14:id>
        </ext>
      </extLst>
    </cfRule>
  </conditionalFormatting>
  <conditionalFormatting sqref="C29:D29">
    <cfRule type="dataBar" priority="22">
      <dataBar>
        <cfvo type="min"/>
        <cfvo type="max"/>
        <color rgb="FF008AEF"/>
      </dataBar>
      <extLst>
        <ext xmlns:x14="http://schemas.microsoft.com/office/spreadsheetml/2009/9/main" uri="{B025F937-C7B1-47D3-B67F-A62EFF666E3E}">
          <x14:id>{A6ACD409-3B2D-4B3D-93A4-4115509714F1}</x14:id>
        </ext>
      </extLst>
    </cfRule>
  </conditionalFormatting>
  <conditionalFormatting sqref="C30:D30">
    <cfRule type="dataBar" priority="21">
      <dataBar>
        <cfvo type="min"/>
        <cfvo type="max"/>
        <color rgb="FF008AEF"/>
      </dataBar>
      <extLst>
        <ext xmlns:x14="http://schemas.microsoft.com/office/spreadsheetml/2009/9/main" uri="{B025F937-C7B1-47D3-B67F-A62EFF666E3E}">
          <x14:id>{C58864FF-76AC-4E0A-B13C-E3959E0C5F34}</x14:id>
        </ext>
      </extLst>
    </cfRule>
  </conditionalFormatting>
  <conditionalFormatting sqref="C31:D31">
    <cfRule type="dataBar" priority="20">
      <dataBar>
        <cfvo type="min"/>
        <cfvo type="max"/>
        <color rgb="FF008AEF"/>
      </dataBar>
      <extLst>
        <ext xmlns:x14="http://schemas.microsoft.com/office/spreadsheetml/2009/9/main" uri="{B025F937-C7B1-47D3-B67F-A62EFF666E3E}">
          <x14:id>{3BC5CE0E-82A4-41C3-94F0-76470BF2741F}</x14:id>
        </ext>
      </extLst>
    </cfRule>
  </conditionalFormatting>
  <conditionalFormatting sqref="C32:D32">
    <cfRule type="dataBar" priority="19">
      <dataBar>
        <cfvo type="min"/>
        <cfvo type="max"/>
        <color rgb="FF008AEF"/>
      </dataBar>
      <extLst>
        <ext xmlns:x14="http://schemas.microsoft.com/office/spreadsheetml/2009/9/main" uri="{B025F937-C7B1-47D3-B67F-A62EFF666E3E}">
          <x14:id>{4089A303-7E4F-4F7A-8F7F-6C1F08959F9E}</x14:id>
        </ext>
      </extLst>
    </cfRule>
  </conditionalFormatting>
  <conditionalFormatting sqref="C33:D33">
    <cfRule type="dataBar" priority="18">
      <dataBar>
        <cfvo type="min"/>
        <cfvo type="max"/>
        <color rgb="FF008AEF"/>
      </dataBar>
      <extLst>
        <ext xmlns:x14="http://schemas.microsoft.com/office/spreadsheetml/2009/9/main" uri="{B025F937-C7B1-47D3-B67F-A62EFF666E3E}">
          <x14:id>{33D68E54-FABE-4A34-9D07-CF61BBF8D0F4}</x14:id>
        </ext>
      </extLst>
    </cfRule>
  </conditionalFormatting>
  <conditionalFormatting sqref="C34:D34">
    <cfRule type="dataBar" priority="17">
      <dataBar>
        <cfvo type="min"/>
        <cfvo type="max"/>
        <color rgb="FF008AEF"/>
      </dataBar>
      <extLst>
        <ext xmlns:x14="http://schemas.microsoft.com/office/spreadsheetml/2009/9/main" uri="{B025F937-C7B1-47D3-B67F-A62EFF666E3E}">
          <x14:id>{AFDFA153-4E33-4EB6-90A4-B2261B81CD55}</x14:id>
        </ext>
      </extLst>
    </cfRule>
  </conditionalFormatting>
  <conditionalFormatting sqref="C35:D35">
    <cfRule type="dataBar" priority="16">
      <dataBar>
        <cfvo type="min"/>
        <cfvo type="max"/>
        <color rgb="FF008AEF"/>
      </dataBar>
      <extLst>
        <ext xmlns:x14="http://schemas.microsoft.com/office/spreadsheetml/2009/9/main" uri="{B025F937-C7B1-47D3-B67F-A62EFF666E3E}">
          <x14:id>{CF8D931D-6418-42E3-8F61-7DA8FCAAC9C1}</x14:id>
        </ext>
      </extLst>
    </cfRule>
  </conditionalFormatting>
  <conditionalFormatting sqref="C36:D36">
    <cfRule type="dataBar" priority="15">
      <dataBar>
        <cfvo type="min"/>
        <cfvo type="max"/>
        <color rgb="FF008AEF"/>
      </dataBar>
      <extLst>
        <ext xmlns:x14="http://schemas.microsoft.com/office/spreadsheetml/2009/9/main" uri="{B025F937-C7B1-47D3-B67F-A62EFF666E3E}">
          <x14:id>{4588B601-A99E-477A-A931-7489842AD944}</x14:id>
        </ext>
      </extLst>
    </cfRule>
  </conditionalFormatting>
  <conditionalFormatting sqref="C37:D37">
    <cfRule type="dataBar" priority="14">
      <dataBar>
        <cfvo type="min"/>
        <cfvo type="max"/>
        <color rgb="FF008AEF"/>
      </dataBar>
      <extLst>
        <ext xmlns:x14="http://schemas.microsoft.com/office/spreadsheetml/2009/9/main" uri="{B025F937-C7B1-47D3-B67F-A62EFF666E3E}">
          <x14:id>{A6E6DD37-E2EB-41CC-84EE-0C4382211870}</x14:id>
        </ext>
      </extLst>
    </cfRule>
  </conditionalFormatting>
  <conditionalFormatting sqref="E3:F33 E34:O37">
    <cfRule type="cellIs" dxfId="4" priority="3" operator="greaterThan">
      <formula>0</formula>
    </cfRule>
  </conditionalFormatting>
  <conditionalFormatting sqref="G10:O33">
    <cfRule type="cellIs" dxfId="3" priority="12" operator="greaterThan">
      <formula>0</formula>
    </cfRule>
  </conditionalFormatting>
  <conditionalFormatting sqref="G3:P9">
    <cfRule type="cellIs" dxfId="2" priority="4" operator="greaterThan">
      <formula>0</formula>
    </cfRule>
  </conditionalFormatting>
  <pageMargins left="0.7" right="0.7" top="0.75" bottom="0.75" header="0.3" footer="0.3"/>
  <pageSetup paperSize="9" orientation="landscape" r:id="rId1"/>
  <extLst>
    <ext xmlns:x14="http://schemas.microsoft.com/office/spreadsheetml/2009/9/main" uri="{78C0D931-6437-407d-A8EE-F0AAD7539E65}">
      <x14:conditionalFormattings>
        <x14:conditionalFormatting xmlns:xm="http://schemas.microsoft.com/office/excel/2006/main">
          <x14:cfRule type="dataBar" id="{BEED73A9-51A9-40AB-83B9-4EA422D9E80B}">
            <x14:dataBar minLength="0" maxLength="100" gradient="0">
              <x14:cfvo type="autoMin"/>
              <x14:cfvo type="autoMax"/>
              <x14:negativeFillColor rgb="FFFF0000"/>
              <x14:axisColor rgb="FF000000"/>
            </x14:dataBar>
          </x14:cfRule>
          <xm:sqref>C3:D3 D4:D9</xm:sqref>
        </x14:conditionalFormatting>
        <x14:conditionalFormatting xmlns:xm="http://schemas.microsoft.com/office/excel/2006/main">
          <x14:cfRule type="dataBar" id="{4B4B9C06-473D-4388-A641-6093B697D0B6}">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ACE6B5FE-43BE-4A32-8DD3-A9CF8601A0A3}">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344BEDED-0B53-4AD9-96A9-C372DEB0BBB0}">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F1E4D9DF-51BE-41CE-AEBD-E8CF88B7A4F2}">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B7E615C8-A61C-493A-BB25-D2F9D7A40DA6}">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DF8FCB7B-78B9-4354-AD1A-E3120BC00577}">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7FE6434B-B5B5-46F0-97E2-47EB9D79F4F9}">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493126DC-2BBF-4637-90D1-E8FFDA303EBE}">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B79EAEA5-A245-404E-BD12-5792E074A499}">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203AF1F7-A2C0-4AF4-8285-E07B21DDE07E}">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DD528EE0-2495-48D6-AC8E-1DD897B4A498}">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2945B160-9008-49D0-8C5F-82E010AA508E}">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87BEE791-13CB-4A81-8842-209576E8EB52}">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C3007935-ED7F-4A96-8048-6920644AFB6B}">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D24E8BAF-2BE9-4A09-B0C5-1C57AB6D9798}">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00550496-3552-416C-A9DD-AB8A200574DE}">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8A320E08-E474-4D82-BB74-7949CCC8220A}">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6F0E08BE-470A-4154-9E73-9DF38D50AF6E}">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A4531236-544F-4D2F-9484-E445EF4FD626}">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4AF17D9B-8A49-49F9-B255-C6ADB509E89E}">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54AE902F-5DD2-4E4D-B638-22845870D79F}">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9ABCF7D7-0D36-406F-BB12-EF614D4EBEA2}">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93F02997-CC40-4E0D-B052-16AC7AE4547F}">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54E49329-4C34-4D4A-974B-C0BBFDC3CFE3}">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E70321FF-051B-46F8-8A65-DE8ED18BAB67}">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A6ACD409-3B2D-4B3D-93A4-4115509714F1}">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C58864FF-76AC-4E0A-B13C-E3959E0C5F34}">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3BC5CE0E-82A4-41C3-94F0-76470BF2741F}">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4089A303-7E4F-4F7A-8F7F-6C1F08959F9E}">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33D68E54-FABE-4A34-9D07-CF61BBF8D0F4}">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AFDFA153-4E33-4EB6-90A4-B2261B81CD55}">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CF8D931D-6418-42E3-8F61-7DA8FCAAC9C1}">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4588B601-A99E-477A-A931-7489842AD944}">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A6E6DD37-E2EB-41CC-84EE-0C4382211870}">
            <x14:dataBar minLength="0" maxLength="100" gradient="0">
              <x14:cfvo type="autoMin"/>
              <x14:cfvo type="autoMax"/>
              <x14:negativeFillColor rgb="FFFF0000"/>
              <x14:axisColor rgb="FF000000"/>
            </x14:dataBar>
          </x14:cfRule>
          <xm:sqref>C37:D37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7"/>
  <sheetViews>
    <sheetView tabSelected="1" workbookViewId="0">
      <selection activeCell="F10" sqref="F10"/>
    </sheetView>
  </sheetViews>
  <sheetFormatPr baseColWidth="10" defaultRowHeight="15" x14ac:dyDescent="0.25"/>
  <cols>
    <col min="1" max="1" width="11.28515625" customWidth="1"/>
    <col min="2" max="2" width="24" customWidth="1"/>
    <col min="3" max="3" width="11.85546875" bestFit="1" customWidth="1"/>
  </cols>
  <sheetData>
    <row r="1" spans="1:5" x14ac:dyDescent="0.25">
      <c r="A1" s="46" t="s">
        <v>37</v>
      </c>
      <c r="B1" s="46"/>
      <c r="C1" s="13" t="s">
        <v>2</v>
      </c>
      <c r="D1" s="13" t="s">
        <v>49</v>
      </c>
      <c r="E1" s="13" t="s">
        <v>79</v>
      </c>
    </row>
    <row r="2" spans="1:5" x14ac:dyDescent="0.25">
      <c r="A2" s="17" t="s">
        <v>44</v>
      </c>
      <c r="B2" s="18" t="s">
        <v>39</v>
      </c>
      <c r="C2" s="14">
        <f>'D82E San Carlos Este'!C36</f>
        <v>661</v>
      </c>
      <c r="D2" s="14">
        <f>'D82E San Carlos Este'!D36</f>
        <v>296</v>
      </c>
      <c r="E2" s="39">
        <f>D2/C2</f>
        <v>0.44780635400907715</v>
      </c>
    </row>
    <row r="3" spans="1:5" x14ac:dyDescent="0.25">
      <c r="A3" s="17" t="s">
        <v>45</v>
      </c>
      <c r="B3" s="18" t="s">
        <v>40</v>
      </c>
      <c r="C3" s="15">
        <f>'D82O San Carlos Oeste'!C34</f>
        <v>385</v>
      </c>
      <c r="D3" s="15">
        <f>'D82O San Carlos Oeste'!D34</f>
        <v>114</v>
      </c>
      <c r="E3" s="39">
        <f t="shared" ref="E3:E6" si="0">D3/C3</f>
        <v>0.29610389610389609</v>
      </c>
    </row>
    <row r="4" spans="1:5" x14ac:dyDescent="0.25">
      <c r="A4" s="17" t="s">
        <v>46</v>
      </c>
      <c r="B4" s="18" t="s">
        <v>41</v>
      </c>
      <c r="C4" s="14">
        <f>'D83 Zarcero'!C36</f>
        <v>203</v>
      </c>
      <c r="D4" s="14">
        <f>'D83 Zarcero'!D36</f>
        <v>98</v>
      </c>
      <c r="E4" s="39">
        <f t="shared" si="0"/>
        <v>0.48275862068965519</v>
      </c>
    </row>
    <row r="5" spans="1:5" x14ac:dyDescent="0.25">
      <c r="A5" s="17" t="s">
        <v>47</v>
      </c>
      <c r="B5" s="18" t="s">
        <v>42</v>
      </c>
      <c r="C5" s="14">
        <f>'D86 Guatuso'!C34</f>
        <v>138</v>
      </c>
      <c r="D5" s="14">
        <f>'D86 Guatuso'!D34</f>
        <v>37</v>
      </c>
      <c r="E5" s="39">
        <f t="shared" si="0"/>
        <v>0.26811594202898553</v>
      </c>
    </row>
    <row r="6" spans="1:5" x14ac:dyDescent="0.25">
      <c r="A6" s="17" t="s">
        <v>48</v>
      </c>
      <c r="B6" s="18" t="s">
        <v>43</v>
      </c>
      <c r="C6" s="14">
        <f>'D87 Rio Cuarto'!C38</f>
        <v>159</v>
      </c>
      <c r="D6" s="14">
        <f>'D87 Rio Cuarto'!D38</f>
        <v>111</v>
      </c>
      <c r="E6" s="39">
        <f t="shared" si="0"/>
        <v>0.69811320754716977</v>
      </c>
    </row>
    <row r="7" spans="1:5" x14ac:dyDescent="0.25">
      <c r="B7" s="12" t="s">
        <v>38</v>
      </c>
      <c r="C7" s="16">
        <f>SUM(C2:C6)</f>
        <v>1546</v>
      </c>
      <c r="D7" s="16">
        <f>SUM(D2:D6)</f>
        <v>656</v>
      </c>
      <c r="E7" s="40">
        <f>D7/C7</f>
        <v>0.4243208279430789</v>
      </c>
    </row>
  </sheetData>
  <sheetProtection algorithmName="SHA-512" hashValue="1EJKJMV29vqxDJGb30CCENKNLqhdIp9Nv5ABfIBsDYTdE/Lbjh5Lf57WgIQuU4IqW1lkIq1aFbEpe826hnDMRg==" saltValue="veq4yhuoBumc2kwhPKsQkw==" spinCount="100000" sheet="1" objects="1" scenarios="1" autoFilter="0"/>
  <mergeCells count="1">
    <mergeCell ref="A1:B1"/>
  </mergeCells>
  <conditionalFormatting sqref="C2:D2">
    <cfRule type="dataBar" priority="15">
      <dataBar>
        <cfvo type="min"/>
        <cfvo type="max"/>
        <color rgb="FF008AEF"/>
      </dataBar>
      <extLst>
        <ext xmlns:x14="http://schemas.microsoft.com/office/spreadsheetml/2009/9/main" uri="{B025F937-C7B1-47D3-B67F-A62EFF666E3E}">
          <x14:id>{7E7B98F1-4930-4918-AB12-7BFF4434CCE5}</x14:id>
        </ext>
      </extLst>
    </cfRule>
  </conditionalFormatting>
  <conditionalFormatting sqref="C3:D3">
    <cfRule type="dataBar" priority="14">
      <dataBar>
        <cfvo type="min"/>
        <cfvo type="max"/>
        <color rgb="FF008AEF"/>
      </dataBar>
      <extLst>
        <ext xmlns:x14="http://schemas.microsoft.com/office/spreadsheetml/2009/9/main" uri="{B025F937-C7B1-47D3-B67F-A62EFF666E3E}">
          <x14:id>{DE353DA1-7EA6-4FF4-B24E-6EE635FB7849}</x14:id>
        </ext>
      </extLst>
    </cfRule>
  </conditionalFormatting>
  <conditionalFormatting sqref="C4:D4">
    <cfRule type="dataBar" priority="13">
      <dataBar>
        <cfvo type="min"/>
        <cfvo type="max"/>
        <color rgb="FF008AEF"/>
      </dataBar>
      <extLst>
        <ext xmlns:x14="http://schemas.microsoft.com/office/spreadsheetml/2009/9/main" uri="{B025F937-C7B1-47D3-B67F-A62EFF666E3E}">
          <x14:id>{67EF2868-81F3-43F0-86E9-591E29D06CEA}</x14:id>
        </ext>
      </extLst>
    </cfRule>
  </conditionalFormatting>
  <conditionalFormatting sqref="C5:D5">
    <cfRule type="dataBar" priority="12">
      <dataBar>
        <cfvo type="min"/>
        <cfvo type="max"/>
        <color rgb="FF008AEF"/>
      </dataBar>
      <extLst>
        <ext xmlns:x14="http://schemas.microsoft.com/office/spreadsheetml/2009/9/main" uri="{B025F937-C7B1-47D3-B67F-A62EFF666E3E}">
          <x14:id>{67DBC1BF-616E-4413-8E41-4032F1711882}</x14:id>
        </ext>
      </extLst>
    </cfRule>
  </conditionalFormatting>
  <conditionalFormatting sqref="C6:D6">
    <cfRule type="dataBar" priority="11">
      <dataBar>
        <cfvo type="min"/>
        <cfvo type="max"/>
        <color rgb="FF008AEF"/>
      </dataBar>
      <extLst>
        <ext xmlns:x14="http://schemas.microsoft.com/office/spreadsheetml/2009/9/main" uri="{B025F937-C7B1-47D3-B67F-A62EFF666E3E}">
          <x14:id>{942EDCF3-380A-49D6-9B4C-FA7FB6435FD7}</x14:id>
        </ext>
      </extLst>
    </cfRule>
  </conditionalFormatting>
  <conditionalFormatting sqref="E2:E7">
    <cfRule type="cellIs" dxfId="1" priority="1" operator="greaterThan">
      <formula>0.2499</formula>
    </cfRule>
  </conditionalFormatting>
  <conditionalFormatting sqref="E7">
    <cfRule type="cellIs" dxfId="0" priority="4"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E7B98F1-4930-4918-AB12-7BFF4434CCE5}">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DE353DA1-7EA6-4FF4-B24E-6EE635FB7849}">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67EF2868-81F3-43F0-86E9-591E29D06CEA}">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67DBC1BF-616E-4413-8E41-4032F1711882}">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942EDCF3-380A-49D6-9B4C-FA7FB6435FD7}">
            <x14:dataBar minLength="0" maxLength="100" gradient="0">
              <x14:cfvo type="autoMin"/>
              <x14:cfvo type="autoMax"/>
              <x14:negativeFillColor rgb="FFFF0000"/>
              <x14:axisColor rgb="FF000000"/>
            </x14:dataBar>
          </x14:cfRule>
          <xm:sqref>C6:D6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D82E San Carlos Este</vt:lpstr>
      <vt:lpstr>D82O San Carlos Oeste</vt:lpstr>
      <vt:lpstr>D83 Zarcero</vt:lpstr>
      <vt:lpstr>D86 Guatuso</vt:lpstr>
      <vt:lpstr>D87 Rio Cuarto</vt:lpstr>
      <vt:lpstr>Total Región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 Cartin</dc:creator>
  <cp:lastModifiedBy>Manuel Alberto Cartin Sequeira</cp:lastModifiedBy>
  <dcterms:created xsi:type="dcterms:W3CDTF">2025-07-06T18:17:02Z</dcterms:created>
  <dcterms:modified xsi:type="dcterms:W3CDTF">2026-06-20T01:08:42Z</dcterms:modified>
</cp:coreProperties>
</file>