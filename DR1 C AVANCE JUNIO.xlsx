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02EE1186-1E1E-4912-B4CA-0B0AD9563FF6}" xr6:coauthVersionLast="47" xr6:coauthVersionMax="47" xr10:uidLastSave="{00000000-0000-0000-0000-000000000000}"/>
  <bookViews>
    <workbookView xWindow="-120" yWindow="-120" windowWidth="29040" windowHeight="15720" firstSheet="2" activeTab="9" xr2:uid="{00000000-000D-0000-FFFF-FFFF00000000}"/>
  </bookViews>
  <sheets>
    <sheet name="D01 Carmen" sheetId="1" r:id="rId1"/>
    <sheet name="D02 Merced" sheetId="2" r:id="rId2"/>
    <sheet name="D03 Hospital" sheetId="3" r:id="rId3"/>
    <sheet name="D04 Catedral" sheetId="4" r:id="rId4"/>
    <sheet name="D05 San Sebastián" sheetId="5" r:id="rId5"/>
    <sheet name="D06 Hatillo" sheetId="6" r:id="rId6"/>
    <sheet name="D07 San Fco Zapote" sheetId="7" r:id="rId7"/>
    <sheet name="D08 Pavas" sheetId="8" r:id="rId8"/>
    <sheet name="D09 Mata Red Uruca" sheetId="9" r:id="rId9"/>
    <sheet name="Total Region" sheetId="10"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ABANG" localSheetId="1">[1]DAT2!#REF!</definedName>
    <definedName name="ABANG" localSheetId="2">[2]DAT2!#REF!</definedName>
    <definedName name="ABANG" localSheetId="3">[3]DAT2!#REF!</definedName>
    <definedName name="ABANG" localSheetId="4">[4]DAT2!#REF!</definedName>
    <definedName name="ABANG" localSheetId="5">[5]DAT2!#REF!</definedName>
    <definedName name="ABANG" localSheetId="6">[6]DAT2!#REF!</definedName>
    <definedName name="ABANG" localSheetId="7">[7]DAT2!#REF!</definedName>
    <definedName name="ABANG" localSheetId="8">[8]DAT2!#REF!</definedName>
    <definedName name="ABANG">[9]DAT2!#REF!</definedName>
    <definedName name="ACOS" localSheetId="1">[1]DAT2!#REF!</definedName>
    <definedName name="ACOS" localSheetId="2">[2]DAT2!#REF!</definedName>
    <definedName name="ACOS" localSheetId="3">[3]DAT2!#REF!</definedName>
    <definedName name="ACOS" localSheetId="4">[4]DAT2!#REF!</definedName>
    <definedName name="ACOS" localSheetId="5">[5]DAT2!#REF!</definedName>
    <definedName name="ACOS" localSheetId="6">[6]DAT2!#REF!</definedName>
    <definedName name="ACOS" localSheetId="7">[7]DAT2!#REF!</definedName>
    <definedName name="ACOS" localSheetId="8">[8]DAT2!#REF!</definedName>
    <definedName name="ACOS">[9]DAT2!#REF!</definedName>
    <definedName name="ALAJU" localSheetId="1">[1]DAT2!#REF!</definedName>
    <definedName name="ALAJU" localSheetId="2">[2]DAT2!#REF!</definedName>
    <definedName name="ALAJU" localSheetId="3">[3]DAT2!#REF!</definedName>
    <definedName name="ALAJU" localSheetId="4">[4]DAT2!#REF!</definedName>
    <definedName name="ALAJU" localSheetId="5">[5]DAT2!#REF!</definedName>
    <definedName name="ALAJU" localSheetId="6">[6]DAT2!#REF!</definedName>
    <definedName name="ALAJU" localSheetId="7">[7]DAT2!#REF!</definedName>
    <definedName name="ALAJU" localSheetId="8">[8]DAT2!#REF!</definedName>
    <definedName name="ALAJU">[9]DAT2!#REF!</definedName>
    <definedName name="ALAJUE" localSheetId="1">[1]DAT2!#REF!</definedName>
    <definedName name="ALAJUE" localSheetId="2">[2]DAT2!#REF!</definedName>
    <definedName name="ALAJUE" localSheetId="3">[3]DAT2!#REF!</definedName>
    <definedName name="ALAJUE" localSheetId="4">[4]DAT2!#REF!</definedName>
    <definedName name="ALAJUE" localSheetId="5">[5]DAT2!#REF!</definedName>
    <definedName name="ALAJUE" localSheetId="6">[6]DAT2!#REF!</definedName>
    <definedName name="ALAJUE" localSheetId="7">[7]DAT2!#REF!</definedName>
    <definedName name="ALAJUE" localSheetId="8">[8]DAT2!#REF!</definedName>
    <definedName name="ALAJUE">[9]DAT2!#REF!</definedName>
    <definedName name="ALVA" localSheetId="1">[1]DAT2!#REF!</definedName>
    <definedName name="ALVA" localSheetId="2">[2]DAT2!#REF!</definedName>
    <definedName name="ALVA" localSheetId="3">[3]DAT2!#REF!</definedName>
    <definedName name="ALVA" localSheetId="4">[4]DAT2!#REF!</definedName>
    <definedName name="ALVA" localSheetId="5">[5]DAT2!#REF!</definedName>
    <definedName name="ALVA" localSheetId="6">[6]DAT2!#REF!</definedName>
    <definedName name="ALVA" localSheetId="7">[7]DAT2!#REF!</definedName>
    <definedName name="ALVA" localSheetId="8">[8]DAT2!#REF!</definedName>
    <definedName name="ALVA">[9]DAT2!#REF!</definedName>
    <definedName name="ASERR" localSheetId="1">[1]DAT2!#REF!</definedName>
    <definedName name="ASERR" localSheetId="2">[2]DAT2!#REF!</definedName>
    <definedName name="ASERR" localSheetId="3">[3]DAT2!#REF!</definedName>
    <definedName name="ASERR" localSheetId="4">[4]DAT2!#REF!</definedName>
    <definedName name="ASERR" localSheetId="5">[5]DAT2!#REF!</definedName>
    <definedName name="ASERR" localSheetId="6">[6]DAT2!#REF!</definedName>
    <definedName name="ASERR" localSheetId="7">[7]DAT2!#REF!</definedName>
    <definedName name="ASERR" localSheetId="8">[8]DAT2!#REF!</definedName>
    <definedName name="ASERR">[9]DAT2!#REF!</definedName>
    <definedName name="ATE" localSheetId="1">[1]DAT2!#REF!</definedName>
    <definedName name="ATE" localSheetId="2">[2]DAT2!#REF!</definedName>
    <definedName name="ATE" localSheetId="3">[3]DAT2!#REF!</definedName>
    <definedName name="ATE" localSheetId="4">[4]DAT2!#REF!</definedName>
    <definedName name="ATE" localSheetId="5">[5]DAT2!#REF!</definedName>
    <definedName name="ATE" localSheetId="6">[6]DAT2!#REF!</definedName>
    <definedName name="ATE" localSheetId="7">[7]DAT2!#REF!</definedName>
    <definedName name="ATE" localSheetId="8">[8]DAT2!#REF!</definedName>
    <definedName name="ATE">[9]DAT2!#REF!</definedName>
    <definedName name="BAGAC" localSheetId="1">[1]DAT2!#REF!</definedName>
    <definedName name="BAGAC" localSheetId="2">[2]DAT2!#REF!</definedName>
    <definedName name="BAGAC" localSheetId="3">[3]DAT2!#REF!</definedName>
    <definedName name="BAGAC" localSheetId="4">[4]DAT2!#REF!</definedName>
    <definedName name="BAGAC" localSheetId="5">[5]DAT2!#REF!</definedName>
    <definedName name="BAGAC" localSheetId="6">[6]DAT2!#REF!</definedName>
    <definedName name="BAGAC" localSheetId="7">[7]DAT2!#REF!</definedName>
    <definedName name="BAGAC" localSheetId="8">[8]DAT2!#REF!</definedName>
    <definedName name="BAGAC">[9]DAT2!#REF!</definedName>
    <definedName name="BARV" localSheetId="1">[1]DAT2!#REF!</definedName>
    <definedName name="BARV" localSheetId="2">[2]DAT2!#REF!</definedName>
    <definedName name="BARV" localSheetId="3">[3]DAT2!#REF!</definedName>
    <definedName name="BARV" localSheetId="4">[4]DAT2!#REF!</definedName>
    <definedName name="BARV" localSheetId="5">[5]DAT2!#REF!</definedName>
    <definedName name="BARV" localSheetId="6">[6]DAT2!#REF!</definedName>
    <definedName name="BARV" localSheetId="7">[7]DAT2!#REF!</definedName>
    <definedName name="BARV" localSheetId="8">[8]DAT2!#REF!</definedName>
    <definedName name="BARV">[9]DAT2!#REF!</definedName>
    <definedName name="BEL" localSheetId="1">[1]DAT2!#REF!</definedName>
    <definedName name="BEL" localSheetId="2">[2]DAT2!#REF!</definedName>
    <definedName name="BEL" localSheetId="3">[3]DAT2!#REF!</definedName>
    <definedName name="BEL" localSheetId="4">[4]DAT2!#REF!</definedName>
    <definedName name="BEL" localSheetId="5">[5]DAT2!#REF!</definedName>
    <definedName name="BEL" localSheetId="6">[6]DAT2!#REF!</definedName>
    <definedName name="BEL" localSheetId="7">[7]DAT2!#REF!</definedName>
    <definedName name="BEL" localSheetId="8">[8]DAT2!#REF!</definedName>
    <definedName name="BEL">[9]DAT2!#REF!</definedName>
    <definedName name="BUEN" localSheetId="1">[1]DAT2!#REF!</definedName>
    <definedName name="BUEN" localSheetId="2">[2]DAT2!#REF!</definedName>
    <definedName name="BUEN" localSheetId="3">[3]DAT2!#REF!</definedName>
    <definedName name="BUEN" localSheetId="4">[4]DAT2!#REF!</definedName>
    <definedName name="BUEN" localSheetId="5">[5]DAT2!#REF!</definedName>
    <definedName name="BUEN" localSheetId="6">[6]DAT2!#REF!</definedName>
    <definedName name="BUEN" localSheetId="7">[7]DAT2!#REF!</definedName>
    <definedName name="BUEN" localSheetId="8">[8]DAT2!#REF!</definedName>
    <definedName name="BUEN">[9]DAT2!#REF!</definedName>
    <definedName name="CANTÓNN">[9]!Tabla103[#All]</definedName>
    <definedName name="CAÑ" localSheetId="1">[1]DAT2!#REF!</definedName>
    <definedName name="CAÑ" localSheetId="2">[2]DAT2!#REF!</definedName>
    <definedName name="CAÑ" localSheetId="3">[3]DAT2!#REF!</definedName>
    <definedName name="CAÑ" localSheetId="4">[4]DAT2!#REF!</definedName>
    <definedName name="CAÑ" localSheetId="5">[5]DAT2!#REF!</definedName>
    <definedName name="CAÑ" localSheetId="6">[6]DAT2!#REF!</definedName>
    <definedName name="CAÑ" localSheetId="7">[7]DAT2!#REF!</definedName>
    <definedName name="CAÑ" localSheetId="8">[8]DAT2!#REF!</definedName>
    <definedName name="CAÑ">[9]DAT2!#REF!</definedName>
    <definedName name="CARR" localSheetId="1">[1]DAT2!#REF!</definedName>
    <definedName name="CARR" localSheetId="2">[2]DAT2!#REF!</definedName>
    <definedName name="CARR" localSheetId="3">[3]DAT2!#REF!</definedName>
    <definedName name="CARR" localSheetId="4">[4]DAT2!#REF!</definedName>
    <definedName name="CARR" localSheetId="5">[5]DAT2!#REF!</definedName>
    <definedName name="CARR" localSheetId="6">[6]DAT2!#REF!</definedName>
    <definedName name="CARR" localSheetId="7">[7]DAT2!#REF!</definedName>
    <definedName name="CARR" localSheetId="8">[8]DAT2!#REF!</definedName>
    <definedName name="CARR">[9]DAT2!#REF!</definedName>
    <definedName name="CARTAG" localSheetId="1">[1]DAT2!#REF!</definedName>
    <definedName name="CARTAG" localSheetId="2">[2]DAT2!#REF!</definedName>
    <definedName name="CARTAG" localSheetId="3">[3]DAT2!#REF!</definedName>
    <definedName name="CARTAG" localSheetId="4">[4]DAT2!#REF!</definedName>
    <definedName name="CARTAG" localSheetId="5">[5]DAT2!#REF!</definedName>
    <definedName name="CARTAG" localSheetId="6">[6]DAT2!#REF!</definedName>
    <definedName name="CARTAG" localSheetId="7">[7]DAT2!#REF!</definedName>
    <definedName name="CARTAG" localSheetId="8">[8]DAT2!#REF!</definedName>
    <definedName name="CARTAG">[9]DAT2!#REF!</definedName>
    <definedName name="CORR" localSheetId="1">[1]DAT2!#REF!</definedName>
    <definedName name="CORR" localSheetId="2">[2]DAT2!#REF!</definedName>
    <definedName name="CORR" localSheetId="3">[3]DAT2!#REF!</definedName>
    <definedName name="CORR" localSheetId="4">[4]DAT2!#REF!</definedName>
    <definedName name="CORR" localSheetId="5">[5]DAT2!#REF!</definedName>
    <definedName name="CORR" localSheetId="6">[6]DAT2!#REF!</definedName>
    <definedName name="CORR" localSheetId="7">[7]DAT2!#REF!</definedName>
    <definedName name="CORR" localSheetId="8">[8]DAT2!#REF!</definedName>
    <definedName name="CORR">[9]DAT2!#REF!</definedName>
    <definedName name="COTB" localSheetId="1">[1]DAT2!#REF!</definedName>
    <definedName name="COTB" localSheetId="2">[2]DAT2!#REF!</definedName>
    <definedName name="COTB" localSheetId="3">[3]DAT2!#REF!</definedName>
    <definedName name="COTB" localSheetId="4">[4]DAT2!#REF!</definedName>
    <definedName name="COTB" localSheetId="5">[5]DAT2!#REF!</definedName>
    <definedName name="COTB" localSheetId="6">[6]DAT2!#REF!</definedName>
    <definedName name="COTB" localSheetId="7">[7]DAT2!#REF!</definedName>
    <definedName name="COTB" localSheetId="8">[8]DAT2!#REF!</definedName>
    <definedName name="COTB">[9]DAT2!#REF!</definedName>
    <definedName name="CURRI" localSheetId="1">[1]DAT2!#REF!</definedName>
    <definedName name="CURRI" localSheetId="2">[2]DAT2!#REF!</definedName>
    <definedName name="CURRI" localSheetId="3">[3]DAT2!#REF!</definedName>
    <definedName name="CURRI" localSheetId="4">[4]DAT2!#REF!</definedName>
    <definedName name="CURRI" localSheetId="5">[5]DAT2!#REF!</definedName>
    <definedName name="CURRI" localSheetId="6">[6]DAT2!#REF!</definedName>
    <definedName name="CURRI" localSheetId="7">[7]DAT2!#REF!</definedName>
    <definedName name="CURRI" localSheetId="8">[8]DAT2!#REF!</definedName>
    <definedName name="CURRI">[9]DAT2!#REF!</definedName>
    <definedName name="DESAMP" localSheetId="1">[1]DAT2!#REF!</definedName>
    <definedName name="DESAMP" localSheetId="2">[2]DAT2!#REF!</definedName>
    <definedName name="DESAMP" localSheetId="3">[3]DAT2!#REF!</definedName>
    <definedName name="DESAMP" localSheetId="4">[4]DAT2!#REF!</definedName>
    <definedName name="DESAMP" localSheetId="5">[5]DAT2!#REF!</definedName>
    <definedName name="DESAMP" localSheetId="6">[6]DAT2!#REF!</definedName>
    <definedName name="DESAMP" localSheetId="7">[7]DAT2!#REF!</definedName>
    <definedName name="DESAMP" localSheetId="8">[8]DAT2!#REF!</definedName>
    <definedName name="DESAMP">[9]DAT2!#REF!</definedName>
    <definedName name="DISTRI" localSheetId="1">#REF!</definedName>
    <definedName name="DISTRI" localSheetId="2">#REF!</definedName>
    <definedName name="DISTRI" localSheetId="3">#REF!</definedName>
    <definedName name="DISTRI" localSheetId="4">#REF!</definedName>
    <definedName name="DISTRI" localSheetId="5">#REF!</definedName>
    <definedName name="DISTRI" localSheetId="6">#REF!</definedName>
    <definedName name="DISTRI" localSheetId="7">#REF!</definedName>
    <definedName name="DISTRI" localSheetId="8">#REF!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 localSheetId="5">[5]DAT2!#REF!</definedName>
    <definedName name="DOTA" localSheetId="6">[6]DAT2!#REF!</definedName>
    <definedName name="DOTA" localSheetId="7">[7]DAT2!#REF!</definedName>
    <definedName name="DOTA" localSheetId="8">[8]DAT2!#REF!</definedName>
    <definedName name="DOTA">[9]DAT2!#REF!</definedName>
    <definedName name="ELGUA" localSheetId="1">[1]DAT2!#REF!</definedName>
    <definedName name="ELGUA" localSheetId="2">[2]DAT2!#REF!</definedName>
    <definedName name="ELGUA" localSheetId="3">[3]DAT2!#REF!</definedName>
    <definedName name="ELGUA" localSheetId="4">[4]DAT2!#REF!</definedName>
    <definedName name="ELGUA" localSheetId="5">[5]DAT2!#REF!</definedName>
    <definedName name="ELGUA" localSheetId="6">[6]DAT2!#REF!</definedName>
    <definedName name="ELGUA" localSheetId="7">[7]DAT2!#REF!</definedName>
    <definedName name="ELGUA" localSheetId="8">[8]DAT2!#REF!</definedName>
    <definedName name="ELGUA">[9]DAT2!#REF!</definedName>
    <definedName name="ESCAZ" localSheetId="1">[1]DAT2!#REF!</definedName>
    <definedName name="ESCAZ" localSheetId="2">[2]DAT2!#REF!</definedName>
    <definedName name="ESCAZ" localSheetId="3">[3]DAT2!#REF!</definedName>
    <definedName name="ESCAZ" localSheetId="4">[4]DAT2!#REF!</definedName>
    <definedName name="ESCAZ" localSheetId="5">[5]DAT2!#REF!</definedName>
    <definedName name="ESCAZ" localSheetId="6">[6]DAT2!#REF!</definedName>
    <definedName name="ESCAZ" localSheetId="7">[7]DAT2!#REF!</definedName>
    <definedName name="ESCAZ" localSheetId="8">[8]DAT2!#REF!</definedName>
    <definedName name="ESCAZ">[9]DAT2!#REF!</definedName>
    <definedName name="ESPA" localSheetId="1">[1]DAT2!#REF!</definedName>
    <definedName name="ESPA" localSheetId="2">[2]DAT2!#REF!</definedName>
    <definedName name="ESPA" localSheetId="3">[3]DAT2!#REF!</definedName>
    <definedName name="ESPA" localSheetId="4">[4]DAT2!#REF!</definedName>
    <definedName name="ESPA" localSheetId="5">[5]DAT2!#REF!</definedName>
    <definedName name="ESPA" localSheetId="6">[6]DAT2!#REF!</definedName>
    <definedName name="ESPA" localSheetId="7">[7]DAT2!#REF!</definedName>
    <definedName name="ESPA" localSheetId="8">[8]DAT2!#REF!</definedName>
    <definedName name="ESPA">[9]DAT2!#REF!</definedName>
    <definedName name="FLOR" localSheetId="1">[1]DAT2!#REF!</definedName>
    <definedName name="FLOR" localSheetId="2">[2]DAT2!#REF!</definedName>
    <definedName name="FLOR" localSheetId="3">[3]DAT2!#REF!</definedName>
    <definedName name="FLOR" localSheetId="4">[4]DAT2!#REF!</definedName>
    <definedName name="FLOR" localSheetId="5">[5]DAT2!#REF!</definedName>
    <definedName name="FLOR" localSheetId="6">[6]DAT2!#REF!</definedName>
    <definedName name="FLOR" localSheetId="7">[7]DAT2!#REF!</definedName>
    <definedName name="FLOR" localSheetId="8">[8]DAT2!#REF!</definedName>
    <definedName name="FLOR">[9]DAT2!#REF!</definedName>
    <definedName name="GARAB" localSheetId="1">[1]DAT2!#REF!</definedName>
    <definedName name="GARAB" localSheetId="2">[2]DAT2!#REF!</definedName>
    <definedName name="GARAB" localSheetId="3">[3]DAT2!#REF!</definedName>
    <definedName name="GARAB" localSheetId="4">[4]DAT2!#REF!</definedName>
    <definedName name="GARAB" localSheetId="5">[5]DAT2!#REF!</definedName>
    <definedName name="GARAB" localSheetId="6">[6]DAT2!#REF!</definedName>
    <definedName name="GARAB" localSheetId="7">[7]DAT2!#REF!</definedName>
    <definedName name="GARAB" localSheetId="8">[8]DAT2!#REF!</definedName>
    <definedName name="GARAB">[9]DAT2!#REF!</definedName>
    <definedName name="GOIC" localSheetId="1">[1]DAT2!#REF!</definedName>
    <definedName name="GOIC" localSheetId="2">[2]DAT2!#REF!</definedName>
    <definedName name="GOIC" localSheetId="3">[3]DAT2!#REF!</definedName>
    <definedName name="GOIC" localSheetId="4">[4]DAT2!#REF!</definedName>
    <definedName name="GOIC" localSheetId="5">[5]DAT2!#REF!</definedName>
    <definedName name="GOIC" localSheetId="6">[6]DAT2!#REF!</definedName>
    <definedName name="GOIC" localSheetId="7">[7]DAT2!#REF!</definedName>
    <definedName name="GOIC" localSheetId="8">[8]DAT2!#REF!</definedName>
    <definedName name="GOIC">[9]DAT2!#REF!</definedName>
    <definedName name="GOLF" localSheetId="1">[1]DAT2!#REF!</definedName>
    <definedName name="GOLF" localSheetId="2">[2]DAT2!#REF!</definedName>
    <definedName name="GOLF" localSheetId="3">[3]DAT2!#REF!</definedName>
    <definedName name="GOLF" localSheetId="4">[4]DAT2!#REF!</definedName>
    <definedName name="GOLF" localSheetId="5">[5]DAT2!#REF!</definedName>
    <definedName name="GOLF" localSheetId="6">[6]DAT2!#REF!</definedName>
    <definedName name="GOLF" localSheetId="7">[7]DAT2!#REF!</definedName>
    <definedName name="GOLF" localSheetId="8">[8]DAT2!#REF!</definedName>
    <definedName name="GOLF">[9]DAT2!#REF!</definedName>
    <definedName name="GREC" localSheetId="1">[1]DAT2!#REF!</definedName>
    <definedName name="GREC" localSheetId="2">[2]DAT2!#REF!</definedName>
    <definedName name="GREC" localSheetId="3">[3]DAT2!#REF!</definedName>
    <definedName name="GREC" localSheetId="4">[4]DAT2!#REF!</definedName>
    <definedName name="GREC" localSheetId="5">[5]DAT2!#REF!</definedName>
    <definedName name="GREC" localSheetId="6">[6]DAT2!#REF!</definedName>
    <definedName name="GREC" localSheetId="7">[7]DAT2!#REF!</definedName>
    <definedName name="GREC" localSheetId="8">[8]DAT2!#REF!</definedName>
    <definedName name="GREC">[9]DAT2!#REF!</definedName>
    <definedName name="GUAC" localSheetId="1">[1]DAT2!#REF!</definedName>
    <definedName name="GUAC" localSheetId="2">[2]DAT2!#REF!</definedName>
    <definedName name="GUAC" localSheetId="3">[3]DAT2!#REF!</definedName>
    <definedName name="GUAC" localSheetId="4">[4]DAT2!#REF!</definedName>
    <definedName name="GUAC" localSheetId="5">[5]DAT2!#REF!</definedName>
    <definedName name="GUAC" localSheetId="6">[6]DAT2!#REF!</definedName>
    <definedName name="GUAC" localSheetId="7">[7]DAT2!#REF!</definedName>
    <definedName name="GUAC" localSheetId="8">[8]DAT2!#REF!</definedName>
    <definedName name="GUAC">[9]DAT2!#REF!</definedName>
    <definedName name="GUATU" localSheetId="1">[1]DAT2!#REF!</definedName>
    <definedName name="GUATU" localSheetId="2">[2]DAT2!#REF!</definedName>
    <definedName name="GUATU" localSheetId="3">[3]DAT2!#REF!</definedName>
    <definedName name="GUATU" localSheetId="4">[4]DAT2!#REF!</definedName>
    <definedName name="GUATU" localSheetId="5">[5]DAT2!#REF!</definedName>
    <definedName name="GUATU" localSheetId="6">[6]DAT2!#REF!</definedName>
    <definedName name="GUATU" localSheetId="7">[7]DAT2!#REF!</definedName>
    <definedName name="GUATU" localSheetId="8">[8]DAT2!#REF!</definedName>
    <definedName name="GUATU">[9]DAT2!#REF!</definedName>
    <definedName name="HERED" localSheetId="1">[1]DAT2!#REF!</definedName>
    <definedName name="HERED" localSheetId="2">[2]DAT2!#REF!</definedName>
    <definedName name="HERED" localSheetId="3">[3]DAT2!#REF!</definedName>
    <definedName name="HERED" localSheetId="4">[4]DAT2!#REF!</definedName>
    <definedName name="HERED" localSheetId="5">[5]DAT2!#REF!</definedName>
    <definedName name="HERED" localSheetId="6">[6]DAT2!#REF!</definedName>
    <definedName name="HERED" localSheetId="7">[7]DAT2!#REF!</definedName>
    <definedName name="HERED" localSheetId="8">[8]DAT2!#REF!</definedName>
    <definedName name="HERED">[9]DAT2!#REF!</definedName>
    <definedName name="HOJA" localSheetId="1">[1]DAT2!#REF!</definedName>
    <definedName name="HOJA" localSheetId="2">[2]DAT2!#REF!</definedName>
    <definedName name="HOJA" localSheetId="3">[3]DAT2!#REF!</definedName>
    <definedName name="HOJA" localSheetId="4">[4]DAT2!#REF!</definedName>
    <definedName name="HOJA" localSheetId="5">[5]DAT2!#REF!</definedName>
    <definedName name="HOJA" localSheetId="6">[6]DAT2!#REF!</definedName>
    <definedName name="HOJA" localSheetId="7">[7]DAT2!#REF!</definedName>
    <definedName name="HOJA" localSheetId="8">[8]DAT2!#REF!</definedName>
    <definedName name="HOJA">[9]DAT2!#REF!</definedName>
    <definedName name="JE">[9]!Tabla103[#All]</definedName>
    <definedName name="jes">[9]!Tabla103[#All]</definedName>
    <definedName name="JIME" localSheetId="1">[1]DAT2!#REF!</definedName>
    <definedName name="JIME" localSheetId="2">[2]DAT2!#REF!</definedName>
    <definedName name="JIME" localSheetId="3">[3]DAT2!#REF!</definedName>
    <definedName name="JIME" localSheetId="4">[4]DAT2!#REF!</definedName>
    <definedName name="JIME" localSheetId="5">[5]DAT2!#REF!</definedName>
    <definedName name="JIME" localSheetId="6">[6]DAT2!#REF!</definedName>
    <definedName name="JIME" localSheetId="7">[7]DAT2!#REF!</definedName>
    <definedName name="JIME" localSheetId="8">[8]DAT2!#REF!</definedName>
    <definedName name="JIME">[9]DAT2!#REF!</definedName>
    <definedName name="LACRU" localSheetId="1">[1]DAT2!#REF!</definedName>
    <definedName name="LACRU" localSheetId="2">[2]DAT2!#REF!</definedName>
    <definedName name="LACRU" localSheetId="3">[3]DAT2!#REF!</definedName>
    <definedName name="LACRU" localSheetId="4">[4]DAT2!#REF!</definedName>
    <definedName name="LACRU" localSheetId="5">[5]DAT2!#REF!</definedName>
    <definedName name="LACRU" localSheetId="6">[6]DAT2!#REF!</definedName>
    <definedName name="LACRU" localSheetId="7">[7]DAT2!#REF!</definedName>
    <definedName name="LACRU" localSheetId="8">[8]DAT2!#REF!</definedName>
    <definedName name="LACRU">[9]DAT2!#REF!</definedName>
    <definedName name="LAUN" localSheetId="1">[1]DAT2!#REF!</definedName>
    <definedName name="LAUN" localSheetId="2">[2]DAT2!#REF!</definedName>
    <definedName name="LAUN" localSheetId="3">[3]DAT2!#REF!</definedName>
    <definedName name="LAUN" localSheetId="4">[4]DAT2!#REF!</definedName>
    <definedName name="LAUN" localSheetId="5">[5]DAT2!#REF!</definedName>
    <definedName name="LAUN" localSheetId="6">[6]DAT2!#REF!</definedName>
    <definedName name="LAUN" localSheetId="7">[7]DAT2!#REF!</definedName>
    <definedName name="LAUN" localSheetId="8">[8]DAT2!#REF!</definedName>
    <definedName name="LAUN">[9]DAT2!#REF!</definedName>
    <definedName name="LEO" localSheetId="1">[1]DAT1!#REF!</definedName>
    <definedName name="LEO" localSheetId="2">[2]DAT1!#REF!</definedName>
    <definedName name="LEO" localSheetId="3">[3]DAT1!#REF!</definedName>
    <definedName name="LEO" localSheetId="4">[4]DAT1!#REF!</definedName>
    <definedName name="LEO" localSheetId="5">[5]DAT1!#REF!</definedName>
    <definedName name="LEO" localSheetId="6">[6]DAT1!#REF!</definedName>
    <definedName name="LEO" localSheetId="7">[7]DAT1!#REF!</definedName>
    <definedName name="LEO" localSheetId="8">[8]DAT1!#REF!</definedName>
    <definedName name="LEO">[9]DAT1!#REF!</definedName>
    <definedName name="LIB" localSheetId="1">[1]DAT2!#REF!</definedName>
    <definedName name="LIB" localSheetId="2">[2]DAT2!#REF!</definedName>
    <definedName name="LIB" localSheetId="3">[3]DAT2!#REF!</definedName>
    <definedName name="LIB" localSheetId="4">[4]DAT2!#REF!</definedName>
    <definedName name="LIB" localSheetId="5">[5]DAT2!#REF!</definedName>
    <definedName name="LIB" localSheetId="6">[6]DAT2!#REF!</definedName>
    <definedName name="LIB" localSheetId="7">[7]DAT2!#REF!</definedName>
    <definedName name="LIB" localSheetId="8">[8]DAT2!#REF!</definedName>
    <definedName name="LIB">[9]DAT2!#REF!</definedName>
    <definedName name="LIM" localSheetId="1">[1]DAT2!#REF!</definedName>
    <definedName name="LIM" localSheetId="2">[2]DAT2!#REF!</definedName>
    <definedName name="LIM" localSheetId="3">[3]DAT2!#REF!</definedName>
    <definedName name="LIM" localSheetId="4">[4]DAT2!#REF!</definedName>
    <definedName name="LIM" localSheetId="5">[5]DAT2!#REF!</definedName>
    <definedName name="LIM" localSheetId="6">[6]DAT2!#REF!</definedName>
    <definedName name="LIM" localSheetId="7">[7]DAT2!#REF!</definedName>
    <definedName name="LIM" localSheetId="8">[8]DAT2!#REF!</definedName>
    <definedName name="LIM">[9]DAT2!#REF!</definedName>
    <definedName name="LOSCHI" localSheetId="1">[1]DAT2!#REF!</definedName>
    <definedName name="LOSCHI" localSheetId="2">[2]DAT2!#REF!</definedName>
    <definedName name="LOSCHI" localSheetId="3">[3]DAT2!#REF!</definedName>
    <definedName name="LOSCHI" localSheetId="4">[4]DAT2!#REF!</definedName>
    <definedName name="LOSCHI" localSheetId="5">[5]DAT2!#REF!</definedName>
    <definedName name="LOSCHI" localSheetId="6">[6]DAT2!#REF!</definedName>
    <definedName name="LOSCHI" localSheetId="7">[7]DAT2!#REF!</definedName>
    <definedName name="LOSCHI" localSheetId="8">[8]DAT2!#REF!</definedName>
    <definedName name="LOSCHI">[9]DAT2!#REF!</definedName>
    <definedName name="MAT" localSheetId="1">[1]DAT2!#REF!</definedName>
    <definedName name="MAT" localSheetId="2">[2]DAT2!#REF!</definedName>
    <definedName name="MAT" localSheetId="3">[3]DAT2!#REF!</definedName>
    <definedName name="MAT" localSheetId="4">[4]DAT2!#REF!</definedName>
    <definedName name="MAT" localSheetId="5">[5]DAT2!#REF!</definedName>
    <definedName name="MAT" localSheetId="6">[6]DAT2!#REF!</definedName>
    <definedName name="MAT" localSheetId="7">[7]DAT2!#REF!</definedName>
    <definedName name="MAT" localSheetId="8">[8]DAT2!#REF!</definedName>
    <definedName name="MAT">[9]DAT2!#REF!</definedName>
    <definedName name="MONTEV" localSheetId="1">[1]DAT2!#REF!</definedName>
    <definedName name="MONTEV" localSheetId="2">[2]DAT2!#REF!</definedName>
    <definedName name="MONTEV" localSheetId="3">[3]DAT2!#REF!</definedName>
    <definedName name="MONTEV" localSheetId="4">[4]DAT2!#REF!</definedName>
    <definedName name="MONTEV" localSheetId="5">[5]DAT2!#REF!</definedName>
    <definedName name="MONTEV" localSheetId="6">[6]DAT2!#REF!</definedName>
    <definedName name="MONTEV" localSheetId="7">[7]DAT2!#REF!</definedName>
    <definedName name="MONTEV" localSheetId="8">[8]DAT2!#REF!</definedName>
    <definedName name="MONTEV">[9]DAT2!#REF!</definedName>
    <definedName name="MONTOC" localSheetId="1">[1]DAT2!#REF!</definedName>
    <definedName name="MONTOC" localSheetId="2">[2]DAT2!#REF!</definedName>
    <definedName name="MONTOC" localSheetId="3">[3]DAT2!#REF!</definedName>
    <definedName name="MONTOC" localSheetId="4">[4]DAT2!#REF!</definedName>
    <definedName name="MONTOC" localSheetId="5">[5]DAT2!#REF!</definedName>
    <definedName name="MONTOC" localSheetId="6">[6]DAT2!#REF!</definedName>
    <definedName name="MONTOC" localSheetId="7">[7]DAT2!#REF!</definedName>
    <definedName name="MONTOC" localSheetId="8">[8]DAT2!#REF!</definedName>
    <definedName name="MONTOC">[9]DAT2!#REF!</definedName>
    <definedName name="MONTOR" localSheetId="1">[1]DAT2!#REF!</definedName>
    <definedName name="MONTOR" localSheetId="2">[2]DAT2!#REF!</definedName>
    <definedName name="MONTOR" localSheetId="3">[3]DAT2!#REF!</definedName>
    <definedName name="MONTOR" localSheetId="4">[4]DAT2!#REF!</definedName>
    <definedName name="MONTOR" localSheetId="5">[5]DAT2!#REF!</definedName>
    <definedName name="MONTOR" localSheetId="6">[6]DAT2!#REF!</definedName>
    <definedName name="MONTOR" localSheetId="7">[7]DAT2!#REF!</definedName>
    <definedName name="MONTOR" localSheetId="8">[8]DAT2!#REF!</definedName>
    <definedName name="MONTOR">[9]DAT2!#REF!</definedName>
    <definedName name="MOR" localSheetId="1">[1]DAT2!#REF!</definedName>
    <definedName name="MOR" localSheetId="2">[2]DAT2!#REF!</definedName>
    <definedName name="MOR" localSheetId="3">[3]DAT2!#REF!</definedName>
    <definedName name="MOR" localSheetId="4">[4]DAT2!#REF!</definedName>
    <definedName name="MOR" localSheetId="5">[5]DAT2!#REF!</definedName>
    <definedName name="MOR" localSheetId="6">[6]DAT2!#REF!</definedName>
    <definedName name="MOR" localSheetId="7">[7]DAT2!#REF!</definedName>
    <definedName name="MOR" localSheetId="8">[8]DAT2!#REF!</definedName>
    <definedName name="MOR">[9]DAT2!#REF!</definedName>
    <definedName name="MORAV" localSheetId="1">[1]DAT2!#REF!</definedName>
    <definedName name="MORAV" localSheetId="2">[2]DAT2!#REF!</definedName>
    <definedName name="MORAV" localSheetId="3">[3]DAT2!#REF!</definedName>
    <definedName name="MORAV" localSheetId="4">[4]DAT2!#REF!</definedName>
    <definedName name="MORAV" localSheetId="5">[5]DAT2!#REF!</definedName>
    <definedName name="MORAV" localSheetId="6">[6]DAT2!#REF!</definedName>
    <definedName name="MORAV" localSheetId="7">[7]DAT2!#REF!</definedName>
    <definedName name="MORAV" localSheetId="8">[8]DAT2!#REF!</definedName>
    <definedName name="MORAV">[9]DAT2!#REF!</definedName>
    <definedName name="NAND" localSheetId="1">[1]DAT2!#REF!</definedName>
    <definedName name="NAND" localSheetId="2">[2]DAT2!#REF!</definedName>
    <definedName name="NAND" localSheetId="3">[3]DAT2!#REF!</definedName>
    <definedName name="NAND" localSheetId="4">[4]DAT2!#REF!</definedName>
    <definedName name="NAND" localSheetId="5">[5]DAT2!#REF!</definedName>
    <definedName name="NAND" localSheetId="6">[6]DAT2!#REF!</definedName>
    <definedName name="NAND" localSheetId="7">[7]DAT2!#REF!</definedName>
    <definedName name="NAND" localSheetId="8">[8]DAT2!#REF!</definedName>
    <definedName name="NAND">[9]DAT2!#REF!</definedName>
    <definedName name="NARA" localSheetId="1">[1]DAT2!#REF!</definedName>
    <definedName name="NARA" localSheetId="2">[2]DAT2!#REF!</definedName>
    <definedName name="NARA" localSheetId="3">[3]DAT2!#REF!</definedName>
    <definedName name="NARA" localSheetId="4">[4]DAT2!#REF!</definedName>
    <definedName name="NARA" localSheetId="5">[5]DAT2!#REF!</definedName>
    <definedName name="NARA" localSheetId="6">[6]DAT2!#REF!</definedName>
    <definedName name="NARA" localSheetId="7">[7]DAT2!#REF!</definedName>
    <definedName name="NARA" localSheetId="8">[8]DAT2!#REF!</definedName>
    <definedName name="NARA">[9]DAT2!#REF!</definedName>
    <definedName name="NICO" localSheetId="1">[1]DAT2!#REF!</definedName>
    <definedName name="NICO" localSheetId="2">[2]DAT2!#REF!</definedName>
    <definedName name="NICO" localSheetId="3">[3]DAT2!#REF!</definedName>
    <definedName name="NICO" localSheetId="4">[4]DAT2!#REF!</definedName>
    <definedName name="NICO" localSheetId="5">[5]DAT2!#REF!</definedName>
    <definedName name="NICO" localSheetId="6">[6]DAT2!#REF!</definedName>
    <definedName name="NICO" localSheetId="7">[7]DAT2!#REF!</definedName>
    <definedName name="NICO" localSheetId="8">[8]DAT2!#REF!</definedName>
    <definedName name="NICO">[9]DAT2!#REF!</definedName>
    <definedName name="OREAMU" localSheetId="1">[1]DAT2!#REF!</definedName>
    <definedName name="OREAMU" localSheetId="2">[2]DAT2!#REF!</definedName>
    <definedName name="OREAMU" localSheetId="3">[3]DAT2!#REF!</definedName>
    <definedName name="OREAMU" localSheetId="4">[4]DAT2!#REF!</definedName>
    <definedName name="OREAMU" localSheetId="5">[5]DAT2!#REF!</definedName>
    <definedName name="OREAMU" localSheetId="6">[6]DAT2!#REF!</definedName>
    <definedName name="OREAMU" localSheetId="7">[7]DAT2!#REF!</definedName>
    <definedName name="OREAMU" localSheetId="8">[8]DAT2!#REF!</definedName>
    <definedName name="OREAMU">[9]DAT2!#REF!</definedName>
    <definedName name="OROT" localSheetId="1">[1]DAT2!#REF!</definedName>
    <definedName name="OROT" localSheetId="2">[2]DAT2!#REF!</definedName>
    <definedName name="OROT" localSheetId="3">[3]DAT2!#REF!</definedName>
    <definedName name="OROT" localSheetId="4">[4]DAT2!#REF!</definedName>
    <definedName name="OROT" localSheetId="5">[5]DAT2!#REF!</definedName>
    <definedName name="OROT" localSheetId="6">[6]DAT2!#REF!</definedName>
    <definedName name="OROT" localSheetId="7">[7]DAT2!#REF!</definedName>
    <definedName name="OROT" localSheetId="8">[8]DAT2!#REF!</definedName>
    <definedName name="OROT">[9]DAT2!#REF!</definedName>
    <definedName name="OSA" localSheetId="1">[1]DAT2!#REF!</definedName>
    <definedName name="OSA" localSheetId="2">[2]DAT2!#REF!</definedName>
    <definedName name="OSA" localSheetId="3">[3]DAT2!#REF!</definedName>
    <definedName name="OSA" localSheetId="4">[4]DAT2!#REF!</definedName>
    <definedName name="OSA" localSheetId="5">[5]DAT2!#REF!</definedName>
    <definedName name="OSA" localSheetId="6">[6]DAT2!#REF!</definedName>
    <definedName name="OSA" localSheetId="7">[7]DAT2!#REF!</definedName>
    <definedName name="OSA" localSheetId="8">[8]DAT2!#REF!</definedName>
    <definedName name="OSA">[9]DAT2!#REF!</definedName>
    <definedName name="PALMA" localSheetId="1">[1]DAT2!#REF!</definedName>
    <definedName name="PALMA" localSheetId="2">[2]DAT2!#REF!</definedName>
    <definedName name="PALMA" localSheetId="3">[3]DAT2!#REF!</definedName>
    <definedName name="PALMA" localSheetId="4">[4]DAT2!#REF!</definedName>
    <definedName name="PALMA" localSheetId="5">[5]DAT2!#REF!</definedName>
    <definedName name="PALMA" localSheetId="6">[6]DAT2!#REF!</definedName>
    <definedName name="PALMA" localSheetId="7">[7]DAT2!#REF!</definedName>
    <definedName name="PALMA" localSheetId="8">[8]DAT2!#REF!</definedName>
    <definedName name="PALMA">[9]DAT2!#REF!</definedName>
    <definedName name="PARA" localSheetId="1">[1]DAT2!#REF!</definedName>
    <definedName name="PARA" localSheetId="2">[2]DAT2!#REF!</definedName>
    <definedName name="PARA" localSheetId="3">[3]DAT2!#REF!</definedName>
    <definedName name="PARA" localSheetId="4">[4]DAT2!#REF!</definedName>
    <definedName name="PARA" localSheetId="5">[5]DAT2!#REF!</definedName>
    <definedName name="PARA" localSheetId="6">[6]DAT2!#REF!</definedName>
    <definedName name="PARA" localSheetId="7">[7]DAT2!#REF!</definedName>
    <definedName name="PARA" localSheetId="8">[8]DAT2!#REF!</definedName>
    <definedName name="PARA">[9]DAT2!#REF!</definedName>
    <definedName name="PARR" localSheetId="1">[1]DAT2!#REF!</definedName>
    <definedName name="PARR" localSheetId="2">[2]DAT2!#REF!</definedName>
    <definedName name="PARR" localSheetId="3">[3]DAT2!#REF!</definedName>
    <definedName name="PARR" localSheetId="4">[4]DAT2!#REF!</definedName>
    <definedName name="PARR" localSheetId="5">[5]DAT2!#REF!</definedName>
    <definedName name="PARR" localSheetId="6">[6]DAT2!#REF!</definedName>
    <definedName name="PARR" localSheetId="7">[7]DAT2!#REF!</definedName>
    <definedName name="PARR" localSheetId="8">[8]DAT2!#REF!</definedName>
    <definedName name="PARR">[9]DAT2!#REF!</definedName>
    <definedName name="POA" localSheetId="1">[1]DAT2!#REF!</definedName>
    <definedName name="POA" localSheetId="2">[2]DAT2!#REF!</definedName>
    <definedName name="POA" localSheetId="3">[3]DAT2!#REF!</definedName>
    <definedName name="POA" localSheetId="4">[4]DAT2!#REF!</definedName>
    <definedName name="POA" localSheetId="5">[5]DAT2!#REF!</definedName>
    <definedName name="POA" localSheetId="6">[6]DAT2!#REF!</definedName>
    <definedName name="POA" localSheetId="7">[7]DAT2!#REF!</definedName>
    <definedName name="POA" localSheetId="8">[8]DAT2!#REF!</definedName>
    <definedName name="POA">[9]DAT2!#REF!</definedName>
    <definedName name="POCOC" localSheetId="1">[1]DAT2!#REF!</definedName>
    <definedName name="POCOC" localSheetId="2">[2]DAT2!#REF!</definedName>
    <definedName name="POCOC" localSheetId="3">[3]DAT2!#REF!</definedName>
    <definedName name="POCOC" localSheetId="4">[4]DAT2!#REF!</definedName>
    <definedName name="POCOC" localSheetId="5">[5]DAT2!#REF!</definedName>
    <definedName name="POCOC" localSheetId="6">[6]DAT2!#REF!</definedName>
    <definedName name="POCOC" localSheetId="7">[7]DAT2!#REF!</definedName>
    <definedName name="POCOC" localSheetId="8">[8]DAT2!#REF!</definedName>
    <definedName name="POCOC">[9]DAT2!#REF!</definedName>
    <definedName name="PUERTOJ" localSheetId="1">[1]DAT2!#REF!</definedName>
    <definedName name="PUERTOJ" localSheetId="2">[2]DAT2!#REF!</definedName>
    <definedName name="PUERTOJ" localSheetId="3">[3]DAT2!#REF!</definedName>
    <definedName name="PUERTOJ" localSheetId="4">[4]DAT2!#REF!</definedName>
    <definedName name="PUERTOJ" localSheetId="5">[5]DAT2!#REF!</definedName>
    <definedName name="PUERTOJ" localSheetId="6">[6]DAT2!#REF!</definedName>
    <definedName name="PUERTOJ" localSheetId="7">[7]DAT2!#REF!</definedName>
    <definedName name="PUERTOJ" localSheetId="8">[8]DAT2!#REF!</definedName>
    <definedName name="PUERTOJ">[9]DAT2!#REF!</definedName>
    <definedName name="PUNTAR" localSheetId="1">[1]DAT2!#REF!</definedName>
    <definedName name="PUNTAR" localSheetId="2">[2]DAT2!#REF!</definedName>
    <definedName name="PUNTAR" localSheetId="3">[3]DAT2!#REF!</definedName>
    <definedName name="PUNTAR" localSheetId="4">[4]DAT2!#REF!</definedName>
    <definedName name="PUNTAR" localSheetId="5">[5]DAT2!#REF!</definedName>
    <definedName name="PUNTAR" localSheetId="6">[6]DAT2!#REF!</definedName>
    <definedName name="PUNTAR" localSheetId="7">[7]DAT2!#REF!</definedName>
    <definedName name="PUNTAR" localSheetId="8">[8]DAT2!#REF!</definedName>
    <definedName name="PUNTAR">[9]DAT2!#REF!</definedName>
    <definedName name="PURIS" localSheetId="1">[1]DAT2!#REF!</definedName>
    <definedName name="PURIS" localSheetId="2">[2]DAT2!#REF!</definedName>
    <definedName name="PURIS" localSheetId="3">[3]DAT2!#REF!</definedName>
    <definedName name="PURIS" localSheetId="4">[4]DAT2!#REF!</definedName>
    <definedName name="PURIS" localSheetId="5">[5]DAT2!#REF!</definedName>
    <definedName name="PURIS" localSheetId="6">[6]DAT2!#REF!</definedName>
    <definedName name="PURIS" localSheetId="7">[7]DAT2!#REF!</definedName>
    <definedName name="PURIS" localSheetId="8">[8]DAT2!#REF!</definedName>
    <definedName name="PURIS">[9]DAT2!#REF!</definedName>
    <definedName name="PZ" localSheetId="1">[1]DAT2!#REF!</definedName>
    <definedName name="PZ" localSheetId="2">[2]DAT2!#REF!</definedName>
    <definedName name="PZ" localSheetId="3">[3]DAT2!#REF!</definedName>
    <definedName name="PZ" localSheetId="4">[4]DAT2!#REF!</definedName>
    <definedName name="PZ" localSheetId="5">[5]DAT2!#REF!</definedName>
    <definedName name="PZ" localSheetId="6">[6]DAT2!#REF!</definedName>
    <definedName name="PZ" localSheetId="7">[7]DAT2!#REF!</definedName>
    <definedName name="PZ" localSheetId="8">[8]DAT2!#REF!</definedName>
    <definedName name="PZ">[9]DAT2!#REF!</definedName>
    <definedName name="QUEP" localSheetId="1">[1]DAT2!#REF!</definedName>
    <definedName name="QUEP" localSheetId="2">[2]DAT2!#REF!</definedName>
    <definedName name="QUEP" localSheetId="3">[3]DAT2!#REF!</definedName>
    <definedName name="QUEP" localSheetId="4">[4]DAT2!#REF!</definedName>
    <definedName name="QUEP" localSheetId="5">[5]DAT2!#REF!</definedName>
    <definedName name="QUEP" localSheetId="6">[6]DAT2!#REF!</definedName>
    <definedName name="QUEP" localSheetId="7">[7]DAT2!#REF!</definedName>
    <definedName name="QUEP" localSheetId="8">[8]DAT2!#REF!</definedName>
    <definedName name="QUEP">[9]DAT2!#REF!</definedName>
    <definedName name="RIOCU" localSheetId="1">[1]DAT2!#REF!</definedName>
    <definedName name="RIOCU" localSheetId="2">[2]DAT2!#REF!</definedName>
    <definedName name="RIOCU" localSheetId="3">[3]DAT2!#REF!</definedName>
    <definedName name="RIOCU" localSheetId="4">[4]DAT2!#REF!</definedName>
    <definedName name="RIOCU" localSheetId="5">[5]DAT2!#REF!</definedName>
    <definedName name="RIOCU" localSheetId="6">[6]DAT2!#REF!</definedName>
    <definedName name="RIOCU" localSheetId="7">[7]DAT2!#REF!</definedName>
    <definedName name="RIOCU" localSheetId="8">[8]DAT2!#REF!</definedName>
    <definedName name="RIOCU">[9]DAT2!#REF!</definedName>
    <definedName name="SANCAR" localSheetId="1">[1]DAT2!#REF!</definedName>
    <definedName name="SANCAR" localSheetId="2">[2]DAT2!#REF!</definedName>
    <definedName name="SANCAR" localSheetId="3">[3]DAT2!#REF!</definedName>
    <definedName name="SANCAR" localSheetId="4">[4]DAT2!#REF!</definedName>
    <definedName name="SANCAR" localSheetId="5">[5]DAT2!#REF!</definedName>
    <definedName name="SANCAR" localSheetId="6">[6]DAT2!#REF!</definedName>
    <definedName name="SANCAR" localSheetId="7">[7]DAT2!#REF!</definedName>
    <definedName name="SANCAR" localSheetId="8">[8]DAT2!#REF!</definedName>
    <definedName name="SANCAR">[9]DAT2!#REF!</definedName>
    <definedName name="SANISI" localSheetId="1">[1]DAT2!#REF!</definedName>
    <definedName name="SANISI" localSheetId="2">[2]DAT2!#REF!</definedName>
    <definedName name="SANISI" localSheetId="3">[3]DAT2!#REF!</definedName>
    <definedName name="SANISI" localSheetId="4">[4]DAT2!#REF!</definedName>
    <definedName name="SANISI" localSheetId="5">[5]DAT2!#REF!</definedName>
    <definedName name="SANISI" localSheetId="6">[6]DAT2!#REF!</definedName>
    <definedName name="SANISI" localSheetId="7">[7]DAT2!#REF!</definedName>
    <definedName name="SANISI" localSheetId="8">[8]DAT2!#REF!</definedName>
    <definedName name="SANISI">[9]DAT2!#REF!</definedName>
    <definedName name="SANMAT" localSheetId="1">[1]DAT2!#REF!</definedName>
    <definedName name="SANMAT" localSheetId="2">[2]DAT2!#REF!</definedName>
    <definedName name="SANMAT" localSheetId="3">[3]DAT2!#REF!</definedName>
    <definedName name="SANMAT" localSheetId="4">[4]DAT2!#REF!</definedName>
    <definedName name="SANMAT" localSheetId="5">[5]DAT2!#REF!</definedName>
    <definedName name="SANMAT" localSheetId="6">[6]DAT2!#REF!</definedName>
    <definedName name="SANMAT" localSheetId="7">[7]DAT2!#REF!</definedName>
    <definedName name="SANMAT" localSheetId="8">[8]DAT2!#REF!</definedName>
    <definedName name="SANMAT">[9]DAT2!#REF!</definedName>
    <definedName name="SANPA" localSheetId="1">[1]DAT2!#REF!</definedName>
    <definedName name="SANPA" localSheetId="2">[2]DAT2!#REF!</definedName>
    <definedName name="SANPA" localSheetId="3">[3]DAT2!#REF!</definedName>
    <definedName name="SANPA" localSheetId="4">[4]DAT2!#REF!</definedName>
    <definedName name="SANPA" localSheetId="5">[5]DAT2!#REF!</definedName>
    <definedName name="SANPA" localSheetId="6">[6]DAT2!#REF!</definedName>
    <definedName name="SANPA" localSheetId="7">[7]DAT2!#REF!</definedName>
    <definedName name="SANPA" localSheetId="8">[8]DAT2!#REF!</definedName>
    <definedName name="SANPA">[9]DAT2!#REF!</definedName>
    <definedName name="SANRA" localSheetId="1">[1]DAT2!#REF!</definedName>
    <definedName name="SANRA" localSheetId="2">[2]DAT2!#REF!</definedName>
    <definedName name="SANRA" localSheetId="3">[3]DAT2!#REF!</definedName>
    <definedName name="SANRA" localSheetId="4">[4]DAT2!#REF!</definedName>
    <definedName name="SANRA" localSheetId="5">[5]DAT2!#REF!</definedName>
    <definedName name="SANRA" localSheetId="6">[6]DAT2!#REF!</definedName>
    <definedName name="SANRA" localSheetId="7">[7]DAT2!#REF!</definedName>
    <definedName name="SANRA" localSheetId="8">[8]DAT2!#REF!</definedName>
    <definedName name="SANRA">[9]DAT2!#REF!</definedName>
    <definedName name="SANRAF" localSheetId="1">[1]DAT2!#REF!</definedName>
    <definedName name="SANRAF" localSheetId="2">[2]DAT2!#REF!</definedName>
    <definedName name="SANRAF" localSheetId="3">[3]DAT2!#REF!</definedName>
    <definedName name="SANRAF" localSheetId="4">[4]DAT2!#REF!</definedName>
    <definedName name="SANRAF" localSheetId="5">[5]DAT2!#REF!</definedName>
    <definedName name="SANRAF" localSheetId="6">[6]DAT2!#REF!</definedName>
    <definedName name="SANRAF" localSheetId="7">[7]DAT2!#REF!</definedName>
    <definedName name="SANRAF" localSheetId="8">[8]DAT2!#REF!</definedName>
    <definedName name="SANRAF">[9]DAT2!#REF!</definedName>
    <definedName name="SANTA" localSheetId="1">[1]DAT2!#REF!</definedName>
    <definedName name="SANTA" localSheetId="2">[2]DAT2!#REF!</definedName>
    <definedName name="SANTA" localSheetId="3">[3]DAT2!#REF!</definedName>
    <definedName name="SANTA" localSheetId="4">[4]DAT2!#REF!</definedName>
    <definedName name="SANTA" localSheetId="5">[5]DAT2!#REF!</definedName>
    <definedName name="SANTA" localSheetId="6">[6]DAT2!#REF!</definedName>
    <definedName name="SANTA" localSheetId="7">[7]DAT2!#REF!</definedName>
    <definedName name="SANTA" localSheetId="8">[8]DAT2!#REF!</definedName>
    <definedName name="SANTA">[9]DAT2!#REF!</definedName>
    <definedName name="SANTABA" localSheetId="1">[1]DAT2!#REF!</definedName>
    <definedName name="SANTABA" localSheetId="2">[2]DAT2!#REF!</definedName>
    <definedName name="SANTABA" localSheetId="3">[3]DAT2!#REF!</definedName>
    <definedName name="SANTABA" localSheetId="4">[4]DAT2!#REF!</definedName>
    <definedName name="SANTABA" localSheetId="5">[5]DAT2!#REF!</definedName>
    <definedName name="SANTABA" localSheetId="6">[6]DAT2!#REF!</definedName>
    <definedName name="SANTABA" localSheetId="7">[7]DAT2!#REF!</definedName>
    <definedName name="SANTABA" localSheetId="8">[8]DAT2!#REF!</definedName>
    <definedName name="SANTABA">[9]DAT2!#REF!</definedName>
    <definedName name="SANTACRU" localSheetId="1">[1]DAT2!#REF!</definedName>
    <definedName name="SANTACRU" localSheetId="2">[2]DAT2!#REF!</definedName>
    <definedName name="SANTACRU" localSheetId="3">[3]DAT2!#REF!</definedName>
    <definedName name="SANTACRU" localSheetId="4">[4]DAT2!#REF!</definedName>
    <definedName name="SANTACRU" localSheetId="5">[5]DAT2!#REF!</definedName>
    <definedName name="SANTACRU" localSheetId="6">[6]DAT2!#REF!</definedName>
    <definedName name="SANTACRU" localSheetId="7">[7]DAT2!#REF!</definedName>
    <definedName name="SANTACRU" localSheetId="8">[8]DAT2!#REF!</definedName>
    <definedName name="SANTACRU">[9]DAT2!#REF!</definedName>
    <definedName name="SANTODO" localSheetId="1">[1]DAT2!#REF!</definedName>
    <definedName name="SANTODO" localSheetId="2">[2]DAT2!#REF!</definedName>
    <definedName name="SANTODO" localSheetId="3">[3]DAT2!#REF!</definedName>
    <definedName name="SANTODO" localSheetId="4">[4]DAT2!#REF!</definedName>
    <definedName name="SANTODO" localSheetId="5">[5]DAT2!#REF!</definedName>
    <definedName name="SANTODO" localSheetId="6">[6]DAT2!#REF!</definedName>
    <definedName name="SANTODO" localSheetId="7">[7]DAT2!#REF!</definedName>
    <definedName name="SANTODO" localSheetId="8">[8]DAT2!#REF!</definedName>
    <definedName name="SANTODO">[9]DAT2!#REF!</definedName>
    <definedName name="SAR" localSheetId="1">[1]DAT2!#REF!</definedName>
    <definedName name="SAR" localSheetId="2">[2]DAT2!#REF!</definedName>
    <definedName name="SAR" localSheetId="3">[3]DAT2!#REF!</definedName>
    <definedName name="SAR" localSheetId="4">[4]DAT2!#REF!</definedName>
    <definedName name="SAR" localSheetId="5">[5]DAT2!#REF!</definedName>
    <definedName name="SAR" localSheetId="6">[6]DAT2!#REF!</definedName>
    <definedName name="SAR" localSheetId="7">[7]DAT2!#REF!</definedName>
    <definedName name="SAR" localSheetId="8">[8]DAT2!#REF!</definedName>
    <definedName name="SAR">[9]DAT2!#REF!</definedName>
    <definedName name="SARAP" localSheetId="1">[1]DAT2!#REF!</definedName>
    <definedName name="SARAP" localSheetId="2">[2]DAT2!#REF!</definedName>
    <definedName name="SARAP" localSheetId="3">[3]DAT2!#REF!</definedName>
    <definedName name="SARAP" localSheetId="4">[4]DAT2!#REF!</definedName>
    <definedName name="SARAP" localSheetId="5">[5]DAT2!#REF!</definedName>
    <definedName name="SARAP" localSheetId="6">[6]DAT2!#REF!</definedName>
    <definedName name="SARAP" localSheetId="7">[7]DAT2!#REF!</definedName>
    <definedName name="SARAP" localSheetId="8">[8]DAT2!#REF!</definedName>
    <definedName name="SARAP">[9]DAT2!#REF!</definedName>
    <definedName name="SIQUIRR" localSheetId="1">[1]DAT2!#REF!</definedName>
    <definedName name="SIQUIRR" localSheetId="2">[2]DAT2!#REF!</definedName>
    <definedName name="SIQUIRR" localSheetId="3">[3]DAT2!#REF!</definedName>
    <definedName name="SIQUIRR" localSheetId="4">[4]DAT2!#REF!</definedName>
    <definedName name="SIQUIRR" localSheetId="5">[5]DAT2!#REF!</definedName>
    <definedName name="SIQUIRR" localSheetId="6">[6]DAT2!#REF!</definedName>
    <definedName name="SIQUIRR" localSheetId="7">[7]DAT2!#REF!</definedName>
    <definedName name="SIQUIRR" localSheetId="8">[8]DAT2!#REF!</definedName>
    <definedName name="SIQUIRR">[9]DAT2!#REF!</definedName>
    <definedName name="TALAMA" localSheetId="1">[1]DAT2!#REF!</definedName>
    <definedName name="TALAMA" localSheetId="2">[2]DAT2!#REF!</definedName>
    <definedName name="TALAMA" localSheetId="3">[3]DAT2!#REF!</definedName>
    <definedName name="TALAMA" localSheetId="4">[4]DAT2!#REF!</definedName>
    <definedName name="TALAMA" localSheetId="5">[5]DAT2!#REF!</definedName>
    <definedName name="TALAMA" localSheetId="6">[6]DAT2!#REF!</definedName>
    <definedName name="TALAMA" localSheetId="7">[7]DAT2!#REF!</definedName>
    <definedName name="TALAMA" localSheetId="8">[8]DAT2!#REF!</definedName>
    <definedName name="TALAMA">[9]DAT2!#REF!</definedName>
    <definedName name="TARRAZ" localSheetId="1">[1]DAT2!#REF!</definedName>
    <definedName name="TARRAZ" localSheetId="2">[2]DAT2!#REF!</definedName>
    <definedName name="TARRAZ" localSheetId="3">[3]DAT2!#REF!</definedName>
    <definedName name="TARRAZ" localSheetId="4">[4]DAT2!#REF!</definedName>
    <definedName name="TARRAZ" localSheetId="5">[5]DAT2!#REF!</definedName>
    <definedName name="TARRAZ" localSheetId="6">[6]DAT2!#REF!</definedName>
    <definedName name="TARRAZ" localSheetId="7">[7]DAT2!#REF!</definedName>
    <definedName name="TARRAZ" localSheetId="8">[8]DAT2!#REF!</definedName>
    <definedName name="TARRAZ">[9]DAT2!#REF!</definedName>
    <definedName name="TIB" localSheetId="1">[1]DAT2!#REF!</definedName>
    <definedName name="TIB" localSheetId="2">[2]DAT2!#REF!</definedName>
    <definedName name="TIB" localSheetId="3">[3]DAT2!#REF!</definedName>
    <definedName name="TIB" localSheetId="4">[4]DAT2!#REF!</definedName>
    <definedName name="TIB" localSheetId="5">[5]DAT2!#REF!</definedName>
    <definedName name="TIB" localSheetId="6">[6]DAT2!#REF!</definedName>
    <definedName name="TIB" localSheetId="7">[7]DAT2!#REF!</definedName>
    <definedName name="TIB" localSheetId="8">[8]DAT2!#REF!</definedName>
    <definedName name="TIB">[9]DAT2!#REF!</definedName>
    <definedName name="TILAR" localSheetId="1">[1]DAT2!#REF!</definedName>
    <definedName name="TILAR" localSheetId="2">[2]DAT2!#REF!</definedName>
    <definedName name="TILAR" localSheetId="3">[3]DAT2!#REF!</definedName>
    <definedName name="TILAR" localSheetId="4">[4]DAT2!#REF!</definedName>
    <definedName name="TILAR" localSheetId="5">[5]DAT2!#REF!</definedName>
    <definedName name="TILAR" localSheetId="6">[6]DAT2!#REF!</definedName>
    <definedName name="TILAR" localSheetId="7">[7]DAT2!#REF!</definedName>
    <definedName name="TILAR" localSheetId="8">[8]DAT2!#REF!</definedName>
    <definedName name="TILAR">[9]DAT2!#REF!</definedName>
    <definedName name="TURR" localSheetId="1">[1]DAT2!#REF!</definedName>
    <definedName name="TURR" localSheetId="2">[2]DAT2!#REF!</definedName>
    <definedName name="TURR" localSheetId="3">[3]DAT2!#REF!</definedName>
    <definedName name="TURR" localSheetId="4">[4]DAT2!#REF!</definedName>
    <definedName name="TURR" localSheetId="5">[5]DAT2!#REF!</definedName>
    <definedName name="TURR" localSheetId="6">[6]DAT2!#REF!</definedName>
    <definedName name="TURR" localSheetId="7">[7]DAT2!#REF!</definedName>
    <definedName name="TURR" localSheetId="8">[8]DAT2!#REF!</definedName>
    <definedName name="TURR">[9]DAT2!#REF!</definedName>
    <definedName name="TURRI" localSheetId="1">[1]DAT2!#REF!</definedName>
    <definedName name="TURRI" localSheetId="2">[2]DAT2!#REF!</definedName>
    <definedName name="TURRI" localSheetId="3">[3]DAT2!#REF!</definedName>
    <definedName name="TURRI" localSheetId="4">[4]DAT2!#REF!</definedName>
    <definedName name="TURRI" localSheetId="5">[5]DAT2!#REF!</definedName>
    <definedName name="TURRI" localSheetId="6">[6]DAT2!#REF!</definedName>
    <definedName name="TURRI" localSheetId="7">[7]DAT2!#REF!</definedName>
    <definedName name="TURRI" localSheetId="8">[8]DAT2!#REF!</definedName>
    <definedName name="TURRI">[9]DAT2!#REF!</definedName>
    <definedName name="U">[9]!Tabla103[#All]</definedName>
    <definedName name="UPA" localSheetId="1">[1]DAT2!#REF!</definedName>
    <definedName name="UPA" localSheetId="2">[2]DAT2!#REF!</definedName>
    <definedName name="UPA" localSheetId="3">[3]DAT2!#REF!</definedName>
    <definedName name="UPA" localSheetId="4">[4]DAT2!#REF!</definedName>
    <definedName name="UPA" localSheetId="5">[5]DAT2!#REF!</definedName>
    <definedName name="UPA" localSheetId="6">[6]DAT2!#REF!</definedName>
    <definedName name="UPA" localSheetId="7">[7]DAT2!#REF!</definedName>
    <definedName name="UPA" localSheetId="8">[8]DAT2!#REF!</definedName>
    <definedName name="UPA">[9]DAT2!#REF!</definedName>
    <definedName name="uu">[9]!Tabla103[#All]</definedName>
    <definedName name="uum">[9]!Tabla103[#All]</definedName>
    <definedName name="uuu">[9]!Tabla103[#All]</definedName>
    <definedName name="VASQUE" localSheetId="1">[1]DAT2!#REF!</definedName>
    <definedName name="VASQUE" localSheetId="2">[2]DAT2!#REF!</definedName>
    <definedName name="VASQUE" localSheetId="3">[3]DAT2!#REF!</definedName>
    <definedName name="VASQUE" localSheetId="4">[4]DAT2!#REF!</definedName>
    <definedName name="VASQUE" localSheetId="5">[5]DAT2!#REF!</definedName>
    <definedName name="VASQUE" localSheetId="6">[6]DAT2!#REF!</definedName>
    <definedName name="VASQUE" localSheetId="7">[7]DAT2!#REF!</definedName>
    <definedName name="VASQUE" localSheetId="8">[8]DAT2!#REF!</definedName>
    <definedName name="VASQUE">[9]DAT2!#REF!</definedName>
    <definedName name="ZAR" localSheetId="1">[1]DAT2!#REF!</definedName>
    <definedName name="ZAR" localSheetId="2">[2]DAT2!#REF!</definedName>
    <definedName name="ZAR" localSheetId="3">[3]DAT2!#REF!</definedName>
    <definedName name="ZAR" localSheetId="4">[4]DAT2!#REF!</definedName>
    <definedName name="ZAR" localSheetId="5">[5]DAT2!#REF!</definedName>
    <definedName name="ZAR" localSheetId="6">[6]DAT2!#REF!</definedName>
    <definedName name="ZAR" localSheetId="7">[7]DAT2!#REF!</definedName>
    <definedName name="ZAR" localSheetId="8">[8]DAT2!#REF!</definedName>
    <definedName name="ZAR">[9]DAT2!#REF!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3" i="7" l="1"/>
  <c r="C37" i="3" l="1"/>
  <c r="C4" i="10" s="1"/>
  <c r="C37" i="4"/>
  <c r="C5" i="10" s="1"/>
  <c r="D3" i="4"/>
  <c r="D4" i="4"/>
  <c r="D5" i="4"/>
  <c r="D6" i="4"/>
  <c r="D7" i="4"/>
  <c r="D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C35" i="5"/>
  <c r="C6" i="10" s="1"/>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 i="5"/>
  <c r="D3" i="6"/>
  <c r="D4" i="6"/>
  <c r="D5" i="6"/>
  <c r="D6" i="6"/>
  <c r="C35" i="6"/>
  <c r="C7" i="10" s="1"/>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7" i="7"/>
  <c r="C35" i="7"/>
  <c r="C8" i="10" s="1"/>
  <c r="D4" i="7"/>
  <c r="D5" i="7"/>
  <c r="D6" i="7"/>
  <c r="D3" i="7"/>
  <c r="D34" i="7"/>
  <c r="D33" i="7"/>
  <c r="D32" i="7"/>
  <c r="D31" i="7"/>
  <c r="D30" i="7"/>
  <c r="D29" i="7"/>
  <c r="D28" i="7"/>
  <c r="D27" i="7"/>
  <c r="D26" i="7"/>
  <c r="D25" i="7"/>
  <c r="D24" i="7"/>
  <c r="D22" i="7"/>
  <c r="D21" i="7"/>
  <c r="D20" i="7"/>
  <c r="D19" i="7"/>
  <c r="D18" i="7"/>
  <c r="D17" i="7"/>
  <c r="D16" i="7"/>
  <c r="D15" i="7"/>
  <c r="D14" i="7"/>
  <c r="D13" i="7"/>
  <c r="D12" i="7"/>
  <c r="D11" i="7"/>
  <c r="D10" i="7"/>
  <c r="D9" i="7"/>
  <c r="D8" i="7"/>
  <c r="C35" i="8"/>
  <c r="C9" i="10" s="1"/>
  <c r="D3" i="8"/>
  <c r="D4" i="8"/>
  <c r="D5" i="8"/>
  <c r="D6"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C35" i="9"/>
  <c r="C10" i="10" s="1"/>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 i="9"/>
  <c r="D11" i="3"/>
  <c r="D35" i="9" l="1"/>
  <c r="D10" i="10" s="1"/>
  <c r="D35" i="7"/>
  <c r="D8" i="10" s="1"/>
  <c r="D35" i="6"/>
  <c r="D7" i="10" s="1"/>
  <c r="D35" i="5"/>
  <c r="D37" i="4"/>
  <c r="D5" i="10" s="1"/>
  <c r="D35" i="8"/>
  <c r="D9" i="10" s="1"/>
  <c r="D36" i="3"/>
  <c r="D35" i="3"/>
  <c r="D34" i="3"/>
  <c r="D33" i="3"/>
  <c r="D32" i="3"/>
  <c r="D31" i="3"/>
  <c r="D30" i="3"/>
  <c r="D29" i="3"/>
  <c r="D28" i="3"/>
  <c r="D27" i="3"/>
  <c r="D26" i="3"/>
  <c r="D25" i="3"/>
  <c r="D24" i="3"/>
  <c r="D23" i="3"/>
  <c r="D22" i="3"/>
  <c r="D21" i="3"/>
  <c r="D20" i="3"/>
  <c r="D19" i="3"/>
  <c r="D18" i="3"/>
  <c r="D17" i="3"/>
  <c r="D16" i="3"/>
  <c r="D15" i="3"/>
  <c r="D14" i="3"/>
  <c r="D13" i="3"/>
  <c r="D12" i="3"/>
  <c r="D10" i="3"/>
  <c r="D9" i="3"/>
  <c r="D4" i="3"/>
  <c r="D5" i="3"/>
  <c r="D6" i="3"/>
  <c r="D7" i="3"/>
  <c r="D8" i="3"/>
  <c r="D3" i="3"/>
  <c r="C39" i="2"/>
  <c r="D36" i="9" l="1"/>
  <c r="E10" i="10" s="1"/>
  <c r="D38" i="4"/>
  <c r="E5" i="10" s="1"/>
  <c r="D37" i="3"/>
  <c r="D38" i="3" s="1"/>
  <c r="E4" i="10" s="1"/>
  <c r="D36" i="7"/>
  <c r="E8" i="10" s="1"/>
  <c r="D36" i="6"/>
  <c r="E7" i="10" s="1"/>
  <c r="D36" i="5"/>
  <c r="E6" i="10" s="1"/>
  <c r="D6" i="10"/>
  <c r="D36" i="8"/>
  <c r="E9" i="10" s="1"/>
  <c r="C3" i="10"/>
  <c r="D4" i="2"/>
  <c r="D5" i="2"/>
  <c r="D6" i="2"/>
  <c r="D7" i="2"/>
  <c r="D8" i="2"/>
  <c r="D9" i="2"/>
  <c r="D10" i="2"/>
  <c r="D3"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4" i="10" l="1"/>
  <c r="D39" i="2"/>
  <c r="D3" i="10" s="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 i="1"/>
  <c r="C38" i="1"/>
  <c r="D38" i="1" l="1"/>
  <c r="D39" i="1" s="1"/>
  <c r="E2" i="10" s="1"/>
  <c r="D40" i="2"/>
  <c r="E3" i="10" s="1"/>
  <c r="D2" i="10" l="1"/>
  <c r="D11" i="10" s="1"/>
  <c r="C2" i="10" l="1"/>
  <c r="C11" i="10" s="1"/>
  <c r="E11" i="10" s="1"/>
</calcChain>
</file>

<file path=xl/sharedStrings.xml><?xml version="1.0" encoding="utf-8"?>
<sst xmlns="http://schemas.openxmlformats.org/spreadsheetml/2006/main" count="533" uniqueCount="90">
  <si>
    <t>D01 El Carmen</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</si>
  <si>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</si>
  <si>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</si>
  <si>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</si>
  <si>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</si>
  <si>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</si>
  <si>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</si>
  <si>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</si>
  <si>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</si>
  <si>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</si>
  <si>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</si>
  <si>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</si>
  <si>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</si>
  <si>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</si>
  <si>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</si>
  <si>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</si>
  <si>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</si>
  <si>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</si>
  <si>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</si>
  <si>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</si>
  <si>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</si>
  <si>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</si>
  <si>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</si>
  <si>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Cuatro comercios capacitados e integrados al Programa  de Seguridad Comercial que se localicen, en los distritos que contemplan las área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</si>
  <si>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</si>
  <si>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</si>
  <si>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</si>
  <si>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Cubrir 2 procesos formativos en Centros Educativos (uno por año) ubicados dentro de los distritos que contemplan las áreas georreferenciadas del informe territorial de la Estrategia Sembremos Seguridad 2024, con los cursos del Programa DARE, Curso primaria. Curso Secundaria; un nivel completo por centro educativo, por semestre. En caso de no contar con instructor acreditado, se puede cumplir la meta con las charlas de Habilidades para la vida DARE, con el aval del Coordinador Nacional.</t>
  </si>
  <si>
    <t>Dos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</si>
  <si>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</si>
  <si>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D03 Hospital</t>
  </si>
  <si>
    <t>D04 CATEDRAL</t>
  </si>
  <si>
    <t>D05 San Sebastian</t>
  </si>
  <si>
    <t>Cuatro capacitaciones, en el tema de Denuncia, dirigidas a las comunidades integradas al Programa de Seguridad Comunitaria, que se localicen, en los distritos que contemplan las área georreferenciadas del informe territorial de la Estrategia Sembremos Seguridad 2024, dos por año, una por semestre.</t>
  </si>
  <si>
    <t>D06 Hatillo</t>
  </si>
  <si>
    <t>D07 San Framcisco - Zapote</t>
  </si>
  <si>
    <t>D08 Pavas</t>
  </si>
  <si>
    <t>D09 Mata Redonda - La Uruca</t>
  </si>
  <si>
    <t>Delegación</t>
  </si>
  <si>
    <t>D01</t>
  </si>
  <si>
    <t>CARMEN</t>
  </si>
  <si>
    <t>D02</t>
  </si>
  <si>
    <t>MERCED</t>
  </si>
  <si>
    <t>D03</t>
  </si>
  <si>
    <t>HOSPITAL</t>
  </si>
  <si>
    <t>D04</t>
  </si>
  <si>
    <t>CATEDRAL</t>
  </si>
  <si>
    <t>D05</t>
  </si>
  <si>
    <t>D06</t>
  </si>
  <si>
    <t>HATILLO</t>
  </si>
  <si>
    <t>D07</t>
  </si>
  <si>
    <t>D08</t>
  </si>
  <si>
    <t>PAVAS</t>
  </si>
  <si>
    <t>D09</t>
  </si>
  <si>
    <t>SAN FCO ZAPOTE</t>
  </si>
  <si>
    <t>SAN SEBASTIAN</t>
  </si>
  <si>
    <t>MATA RED URUCA</t>
  </si>
  <si>
    <t>AVANCE</t>
  </si>
  <si>
    <t>TOTALES</t>
  </si>
  <si>
    <t>Conformación Comité</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</si>
  <si>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</si>
  <si>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</si>
  <si>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</si>
  <si>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</si>
  <si>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</si>
  <si>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</si>
  <si>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</si>
  <si>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</si>
  <si>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</si>
  <si>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</si>
  <si>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</si>
  <si>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</si>
  <si>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</si>
  <si>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</si>
  <si>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Conformación de Comercio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</si>
  <si>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</si>
  <si>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</si>
  <si>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</si>
  <si>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</si>
  <si>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</si>
  <si>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</si>
  <si>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</si>
  <si>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</si>
  <si>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</si>
  <si>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</si>
  <si>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</si>
  <si>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</si>
  <si>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PLAN DE POLITICA LOCAL E IMPLEMENTACIÓN DE LA POLITICA LOCAL DE SEGURIDAD</t>
  </si>
  <si>
    <t>D02 Merced</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</si>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</sst>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9"/>
      <name val="Calibri"/>
      <family val="2"/>
      <scheme val="minor"/>
    </font>
    <font>
      <b/>
      <sz val="9"/>
      <color rgb="FF000000"/>
      <name val="Calibri"/>
      <family val="2"/>
    </font>
    <font>
      <sz val="11"/>
      <color theme="7"/>
      <name val="Calibri"/>
      <family val="2"/>
      <scheme val="minor"/>
    </font>
    <font>
      <b/>
      <sz val="11"/>
      <color theme="7"/>
      <name val="Calibri"/>
      <family val="2"/>
      <scheme val="minor"/>
    </font>
    <font>
      <sz val="11"/>
      <name val="Calibri"/>
      <family val="2"/>
      <scheme val="minor"/>
    </font>
    <font>
      <sz val="11"/>
      <color rgb="FFFFC000"/>
      <name val="Calibri"/>
      <family val="2"/>
      <scheme val="minor"/>
    </font>
    <font>
      <b/>
      <sz val="11"/>
      <name val="Arial"/>
      <family val="2"/>
    </font>
    <font>
      <sz val="8"/>
      <name val="Calibri"/>
      <family val="2"/>
      <scheme val="minor"/>
    </font>
    <font>
      <b/>
      <sz val="8"/>
      <name val="Arial"/>
      <family val="2"/>
    </font>
    <font>
      <sz val="12"/>
      <name val="Calibri"/>
      <family val="2"/>
      <scheme val="minor"/>
    </font>
    <font>
      <b/>
      <sz val="8"/>
      <color theme="0"/>
      <name val="Calibri"/>
      <family val="2"/>
      <scheme val="minor"/>
    </font>
    <font>
      <sz val="12"/>
      <color theme="1"/>
      <name val="Calibri"/>
      <family val="2"/>
      <scheme val="minor"/>
    </font>
  </fonts>
  <fills count="15">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DEBF7"/>
        <bgColor indexed="64"/>
      </patternFill>
    </fill>
    <fill>
      <patternFill patternType="solid">
        <fgColor rgb="FFE2EFDA"/>
        <bgColor indexed="64"/>
      </patternFill>
    </fill>
    <fill>
      <patternFill patternType="solid">
        <fgColor rgb="FFFBE4D5"/>
        <bgColor indexed="64"/>
      </patternFill>
    </fill>
    <fill>
      <patternFill patternType="solid">
        <fgColor theme="1"/>
        <bgColor indexed="64"/>
      </patternFill>
    </fill>
    <fill>
      <patternFill patternType="solid">
        <fgColor theme="0" tint="-0.34998626667073579"/>
        <bgColor indexed="64"/>
      </patternFill>
    </fill>
    <fill>
      <patternFill patternType="solid">
        <fgColor theme="7"/>
        <bgColor indexed="64"/>
      </patternFill>
    </fill>
    <fill>
      <patternFill patternType="solid">
        <fgColor theme="0" tint="-0.14999847407452621"/>
        <bgColor indexed="64"/>
      </patternFill>
    </fill>
    <fill>
      <patternFill patternType="solid">
        <fgColor theme="3" tint="-0.249977111117893"/>
        <bgColor indexed="64"/>
      </patternFill>
    </fill>
  </fills>
  <borders count="36">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thin">
        <color theme="0"/>
      </top>
      <bottom style="medium">
        <color theme="0"/>
      </bottom>
      <diagonal/>
    </border>
    <border>
      <left style="thin">
        <color theme="0"/>
      </left>
      <right/>
      <top style="thin">
        <color theme="0"/>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theme="0"/>
      </left>
      <right style="medium">
        <color theme="0"/>
      </right>
      <top style="thin">
        <color theme="0"/>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theme="0"/>
      </left>
      <right/>
      <top/>
      <bottom style="medium">
        <color theme="0"/>
      </bottom>
      <diagonal/>
    </border>
    <border>
      <left style="medium">
        <color theme="0"/>
      </left>
      <right/>
      <top/>
      <bottom style="medium">
        <color indexed="64"/>
      </bottom>
      <diagonal/>
    </border>
  </borders>
  <cellStyleXfs count="1">
    <xf numFmtId="0" fontId="0" fillId="0" borderId="0"/>
  </cellStyleXfs>
  <cellXfs count="99">
    <xf numFmtId="0" fontId="0" fillId="0" borderId="0" xfId="0"/>
    <xf numFmtId="0" fontId="1" fillId="2" borderId="0" xfId="0" applyFont="1" applyFill="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0" xfId="0" applyProtection="1">
      <protection locked="0"/>
    </xf>
    <xf numFmtId="0" fontId="1" fillId="2" borderId="3" xfId="0" applyFont="1" applyFill="1" applyBorder="1" applyAlignment="1">
      <alignment horizontal="center"/>
    </xf>
    <xf numFmtId="0" fontId="1" fillId="2" borderId="4" xfId="0" applyFont="1" applyFill="1" applyBorder="1" applyAlignment="1">
      <alignment horizontal="center" vertical="center"/>
    </xf>
    <xf numFmtId="0" fontId="3" fillId="0" borderId="0" xfId="0" applyFont="1" applyProtection="1">
      <protection locked="0"/>
    </xf>
    <xf numFmtId="0" fontId="4" fillId="3" borderId="6" xfId="0" applyFont="1" applyFill="1" applyBorder="1" applyAlignment="1">
      <alignment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4" borderId="6" xfId="0" applyFont="1" applyFill="1" applyBorder="1" applyAlignment="1">
      <alignment vertical="center" wrapText="1"/>
    </xf>
    <xf numFmtId="0" fontId="4" fillId="4" borderId="10"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5" borderId="6" xfId="0" applyFont="1" applyFill="1" applyBorder="1" applyAlignment="1">
      <alignment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0" fillId="0" borderId="0" xfId="0" applyAlignment="1" applyProtection="1">
      <alignment horizontal="center"/>
      <protection locked="0"/>
    </xf>
    <xf numFmtId="10" fontId="1" fillId="6" borderId="0" xfId="0" applyNumberFormat="1" applyFont="1" applyFill="1" applyAlignment="1" applyProtection="1">
      <alignment horizontal="center"/>
      <protection locked="0"/>
    </xf>
    <xf numFmtId="0" fontId="5" fillId="7" borderId="12" xfId="0" applyFont="1" applyFill="1" applyBorder="1" applyAlignment="1">
      <alignment horizontal="left" vertical="center" wrapText="1"/>
    </xf>
    <xf numFmtId="0" fontId="5" fillId="8" borderId="12" xfId="0" applyFont="1" applyFill="1" applyBorder="1" applyAlignment="1">
      <alignment horizontal="left" vertical="center" wrapText="1"/>
    </xf>
    <xf numFmtId="0" fontId="5" fillId="9" borderId="12" xfId="0" applyFont="1" applyFill="1" applyBorder="1" applyAlignment="1">
      <alignment horizontal="left" vertical="center" wrapText="1"/>
    </xf>
    <xf numFmtId="0" fontId="5" fillId="7" borderId="13" xfId="0" applyFont="1" applyFill="1" applyBorder="1" applyAlignment="1">
      <alignment horizontal="left" vertical="center" wrapText="1"/>
    </xf>
    <xf numFmtId="0" fontId="2" fillId="0" borderId="0" xfId="0" applyFont="1" applyProtection="1">
      <protection locked="0"/>
    </xf>
    <xf numFmtId="0" fontId="1" fillId="2" borderId="0" xfId="0" applyFont="1" applyFill="1" applyAlignment="1" applyProtection="1">
      <alignment horizontal="center"/>
      <protection locked="0"/>
    </xf>
    <xf numFmtId="0" fontId="1" fillId="2" borderId="2" xfId="0" applyFont="1" applyFill="1" applyBorder="1" applyAlignment="1" applyProtection="1">
      <alignment horizontal="center"/>
      <protection locked="0"/>
    </xf>
    <xf numFmtId="0" fontId="1" fillId="2" borderId="14" xfId="0" applyFont="1" applyFill="1" applyBorder="1" applyAlignment="1">
      <alignment horizontal="center" vertical="center"/>
    </xf>
    <xf numFmtId="0" fontId="4" fillId="3" borderId="9" xfId="0" applyFont="1" applyFill="1" applyBorder="1" applyAlignment="1">
      <alignment horizontal="center" vertical="center" wrapText="1"/>
    </xf>
    <xf numFmtId="0" fontId="5" fillId="7" borderId="18" xfId="0" applyFont="1" applyFill="1" applyBorder="1" applyAlignment="1">
      <alignment vertical="center" wrapText="1"/>
    </xf>
    <xf numFmtId="0" fontId="5" fillId="7" borderId="19" xfId="0" applyFont="1" applyFill="1" applyBorder="1" applyAlignment="1">
      <alignment horizontal="left" vertical="center" wrapText="1"/>
    </xf>
    <xf numFmtId="0" fontId="4" fillId="3" borderId="21" xfId="0" applyFont="1" applyFill="1" applyBorder="1" applyAlignment="1">
      <alignment horizontal="center" vertical="center" wrapText="1"/>
    </xf>
    <xf numFmtId="0" fontId="4" fillId="3" borderId="10" xfId="0" applyFont="1" applyFill="1" applyBorder="1" applyAlignment="1">
      <alignment vertical="center" wrapText="1"/>
    </xf>
    <xf numFmtId="0" fontId="4" fillId="4" borderId="10" xfId="0" applyFont="1" applyFill="1" applyBorder="1" applyAlignment="1">
      <alignment vertical="center" wrapText="1"/>
    </xf>
    <xf numFmtId="0" fontId="4" fillId="4" borderId="22" xfId="0" applyFont="1" applyFill="1" applyBorder="1" applyAlignment="1">
      <alignment vertical="center" wrapText="1"/>
    </xf>
    <xf numFmtId="0" fontId="5" fillId="7" borderId="23" xfId="0" applyFont="1" applyFill="1" applyBorder="1" applyAlignment="1">
      <alignment vertical="center" wrapText="1"/>
    </xf>
    <xf numFmtId="0" fontId="7" fillId="10" borderId="24" xfId="0" applyFont="1" applyFill="1" applyBorder="1"/>
    <xf numFmtId="0" fontId="2" fillId="11" borderId="10" xfId="0" applyFont="1" applyFill="1" applyBorder="1" applyAlignment="1">
      <alignment horizontal="center"/>
    </xf>
    <xf numFmtId="1" fontId="4" fillId="0" borderId="8" xfId="0" applyNumberFormat="1" applyFont="1" applyBorder="1" applyAlignment="1">
      <alignment horizontal="center" vertical="center" wrapText="1"/>
    </xf>
    <xf numFmtId="0" fontId="9" fillId="10" borderId="0" xfId="0" applyFont="1" applyFill="1" applyAlignment="1">
      <alignment horizontal="center"/>
    </xf>
    <xf numFmtId="0" fontId="0" fillId="0" borderId="10" xfId="0" applyBorder="1" applyAlignment="1">
      <alignment horizontal="center"/>
    </xf>
    <xf numFmtId="1" fontId="0" fillId="0" borderId="10" xfId="0" applyNumberFormat="1" applyBorder="1" applyAlignment="1">
      <alignment horizontal="center"/>
    </xf>
    <xf numFmtId="0" fontId="8" fillId="0" borderId="10" xfId="0" applyFont="1" applyBorder="1"/>
    <xf numFmtId="0" fontId="0" fillId="0" borderId="10" xfId="0" applyBorder="1"/>
    <xf numFmtId="1" fontId="4" fillId="0" borderId="16" xfId="0" applyNumberFormat="1" applyFont="1" applyBorder="1" applyAlignment="1">
      <alignment horizontal="center" vertical="center" wrapText="1"/>
    </xf>
    <xf numFmtId="0" fontId="1" fillId="6" borderId="5" xfId="0" applyFont="1" applyFill="1" applyBorder="1" applyAlignment="1">
      <alignment horizontal="left" vertical="center" wrapText="1"/>
    </xf>
    <xf numFmtId="0" fontId="10" fillId="13" borderId="22" xfId="0" applyFont="1" applyFill="1" applyBorder="1" applyAlignment="1">
      <alignment horizontal="left" vertical="center" wrapText="1"/>
    </xf>
    <xf numFmtId="0" fontId="3" fillId="14" borderId="0" xfId="0" applyFont="1" applyFill="1" applyProtection="1">
      <protection locked="0"/>
    </xf>
    <xf numFmtId="0" fontId="0" fillId="0" borderId="10" xfId="0" applyBorder="1" applyProtection="1">
      <protection locked="0"/>
    </xf>
    <xf numFmtId="0" fontId="2" fillId="0" borderId="10" xfId="0" applyFont="1" applyBorder="1" applyAlignment="1" applyProtection="1">
      <alignment horizontal="center" vertical="center"/>
      <protection locked="0"/>
    </xf>
    <xf numFmtId="0" fontId="2" fillId="0" borderId="10" xfId="0" applyFont="1" applyBorder="1" applyAlignment="1" applyProtection="1">
      <alignment horizontal="center"/>
      <protection locked="0"/>
    </xf>
    <xf numFmtId="1" fontId="2" fillId="0" borderId="10" xfId="0" applyNumberFormat="1" applyFont="1" applyBorder="1" applyAlignment="1" applyProtection="1">
      <alignment horizontal="center" vertical="center"/>
      <protection locked="0"/>
    </xf>
    <xf numFmtId="0" fontId="5" fillId="7" borderId="26" xfId="0" applyFont="1" applyFill="1" applyBorder="1" applyAlignment="1">
      <alignment horizontal="left" vertical="center" wrapText="1"/>
    </xf>
    <xf numFmtId="0" fontId="1" fillId="6" borderId="28" xfId="0" applyFont="1" applyFill="1" applyBorder="1" applyAlignment="1">
      <alignment horizontal="left" vertical="center" wrapText="1"/>
    </xf>
    <xf numFmtId="0" fontId="10" fillId="13" borderId="30" xfId="0" applyFont="1" applyFill="1" applyBorder="1" applyAlignment="1">
      <alignment horizontal="left" vertical="center" wrapText="1"/>
    </xf>
    <xf numFmtId="0" fontId="10" fillId="13" borderId="32" xfId="0" applyFont="1" applyFill="1" applyBorder="1" applyAlignment="1">
      <alignment horizontal="left" vertical="center" wrapText="1"/>
    </xf>
    <xf numFmtId="0" fontId="2" fillId="0" borderId="0" xfId="0" applyFont="1" applyAlignment="1" applyProtection="1">
      <alignment horizontal="center" vertical="center"/>
      <protection locked="0"/>
    </xf>
    <xf numFmtId="0" fontId="12" fillId="13" borderId="22" xfId="0" applyFont="1" applyFill="1" applyBorder="1" applyAlignment="1">
      <alignment horizontal="left" vertical="center" wrapText="1"/>
    </xf>
    <xf numFmtId="0" fontId="12" fillId="13" borderId="33" xfId="0" applyFont="1" applyFill="1" applyBorder="1" applyAlignment="1">
      <alignment horizontal="left" vertical="center" wrapText="1"/>
    </xf>
    <xf numFmtId="0" fontId="13" fillId="0" borderId="0" xfId="0" applyFont="1" applyAlignment="1" applyProtection="1">
      <alignment horizontal="center" vertical="center" wrapText="1"/>
      <protection locked="0"/>
    </xf>
    <xf numFmtId="0" fontId="0" fillId="0" borderId="0" xfId="0" applyAlignment="1" applyProtection="1">
      <alignment horizontal="center" vertical="center"/>
      <protection locked="0"/>
    </xf>
    <xf numFmtId="0" fontId="2" fillId="0" borderId="0" xfId="0" applyFont="1" applyBorder="1" applyAlignment="1" applyProtection="1">
      <alignment horizontal="center" vertical="center"/>
      <protection locked="0"/>
    </xf>
    <xf numFmtId="1" fontId="4" fillId="0" borderId="10" xfId="0" applyNumberFormat="1" applyFont="1" applyBorder="1" applyAlignment="1">
      <alignment horizontal="center" vertical="center" wrapText="1"/>
    </xf>
    <xf numFmtId="0" fontId="4" fillId="3" borderId="7" xfId="0" applyFont="1" applyFill="1" applyBorder="1" applyAlignment="1">
      <alignment horizontal="center" vertical="center" textRotation="90" wrapText="1"/>
    </xf>
    <xf numFmtId="0" fontId="4" fillId="4" borderId="10" xfId="0" applyFont="1" applyFill="1" applyBorder="1" applyAlignment="1">
      <alignment horizontal="center" vertical="center" textRotation="90" wrapText="1"/>
    </xf>
    <xf numFmtId="0" fontId="4" fillId="3" borderId="10" xfId="0" applyFont="1" applyFill="1" applyBorder="1" applyAlignment="1">
      <alignment horizontal="center" vertical="center" textRotation="90" wrapText="1"/>
    </xf>
    <xf numFmtId="0" fontId="4" fillId="0" borderId="8"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12" fillId="13" borderId="10" xfId="0" applyFont="1" applyFill="1" applyBorder="1" applyAlignment="1">
      <alignment horizontal="left" vertical="center" wrapText="1"/>
    </xf>
    <xf numFmtId="0" fontId="4" fillId="3" borderId="8" xfId="0" applyFont="1" applyFill="1" applyBorder="1" applyAlignment="1">
      <alignment horizontal="center" vertical="center" textRotation="90" wrapText="1"/>
    </xf>
    <xf numFmtId="0" fontId="4" fillId="4" borderId="11" xfId="0" applyFont="1" applyFill="1" applyBorder="1" applyAlignment="1">
      <alignment horizontal="center" vertical="center" textRotation="90" wrapText="1"/>
    </xf>
    <xf numFmtId="0" fontId="4" fillId="3" borderId="11" xfId="0" applyFont="1" applyFill="1" applyBorder="1" applyAlignment="1">
      <alignment horizontal="center" vertical="center" textRotation="90" wrapText="1"/>
    </xf>
    <xf numFmtId="1" fontId="2" fillId="0" borderId="10" xfId="0" applyNumberFormat="1" applyFont="1" applyBorder="1" applyAlignment="1" applyProtection="1">
      <alignment horizontal="center"/>
      <protection locked="0"/>
    </xf>
    <xf numFmtId="0" fontId="15" fillId="0" borderId="0" xfId="0" applyFont="1" applyAlignment="1" applyProtection="1">
      <alignment horizontal="center" vertical="center" wrapText="1"/>
      <protection locked="0"/>
    </xf>
    <xf numFmtId="0" fontId="4" fillId="3" borderId="15" xfId="0" applyFont="1" applyFill="1" applyBorder="1" applyAlignment="1">
      <alignment horizontal="center" vertical="center" textRotation="90" wrapText="1"/>
    </xf>
    <xf numFmtId="0" fontId="4" fillId="4" borderId="17"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20" xfId="0" applyFont="1" applyFill="1" applyBorder="1" applyAlignment="1">
      <alignment horizontal="center" vertical="center" textRotation="90" wrapText="1"/>
    </xf>
    <xf numFmtId="0" fontId="4" fillId="5" borderId="10" xfId="0" applyFont="1" applyFill="1" applyBorder="1" applyAlignment="1">
      <alignment horizontal="center" vertical="center" textRotation="90" wrapText="1"/>
    </xf>
    <xf numFmtId="10" fontId="0" fillId="0" borderId="10" xfId="0" applyNumberFormat="1" applyBorder="1" applyAlignment="1">
      <alignment horizontal="center"/>
    </xf>
    <xf numFmtId="10" fontId="0" fillId="0" borderId="10" xfId="0" applyNumberFormat="1" applyBorder="1" applyAlignment="1">
      <alignment horizontal="center" vertical="center"/>
    </xf>
    <xf numFmtId="0" fontId="2" fillId="12" borderId="10" xfId="0" applyFont="1" applyFill="1" applyBorder="1" applyAlignment="1">
      <alignment horizontal="center"/>
    </xf>
    <xf numFmtId="0" fontId="4" fillId="5" borderId="17" xfId="0" applyFont="1" applyFill="1" applyBorder="1" applyAlignment="1">
      <alignment horizontal="center" vertical="center" textRotation="90" wrapText="1"/>
    </xf>
    <xf numFmtId="0" fontId="4" fillId="3" borderId="25" xfId="0" applyFont="1" applyFill="1" applyBorder="1" applyAlignment="1">
      <alignment horizontal="center" vertical="center" textRotation="90" wrapText="1"/>
    </xf>
    <xf numFmtId="0" fontId="4" fillId="3" borderId="0" xfId="0" applyFont="1" applyFill="1" applyBorder="1" applyAlignment="1">
      <alignment horizontal="center" vertical="center" textRotation="90" wrapText="1"/>
    </xf>
    <xf numFmtId="0" fontId="4" fillId="3" borderId="27" xfId="0" applyFont="1" applyFill="1" applyBorder="1" applyAlignment="1">
      <alignment horizontal="center" vertical="center" textRotation="90" wrapText="1"/>
    </xf>
    <xf numFmtId="0" fontId="4" fillId="3" borderId="29" xfId="0" applyFont="1" applyFill="1" applyBorder="1" applyAlignment="1">
      <alignment horizontal="center" vertical="center" textRotation="90" wrapText="1"/>
    </xf>
    <xf numFmtId="0" fontId="4" fillId="3" borderId="31" xfId="0" applyFont="1" applyFill="1" applyBorder="1" applyAlignment="1">
      <alignment horizontal="center" vertical="center" textRotation="90" wrapText="1"/>
    </xf>
    <xf numFmtId="0" fontId="1" fillId="2" borderId="1" xfId="0" applyFont="1" applyFill="1" applyBorder="1" applyAlignment="1">
      <alignment horizontal="center" vertical="center" textRotation="90"/>
    </xf>
    <xf numFmtId="0" fontId="1" fillId="2" borderId="35" xfId="0" applyFont="1" applyFill="1" applyBorder="1" applyAlignment="1">
      <alignment horizontal="center" vertical="center" textRotation="90"/>
    </xf>
    <xf numFmtId="0" fontId="1" fillId="2" borderId="1" xfId="0" applyFont="1" applyFill="1" applyBorder="1" applyAlignment="1" applyProtection="1">
      <alignment horizontal="center" vertical="center" textRotation="90"/>
      <protection locked="0"/>
    </xf>
    <xf numFmtId="0" fontId="1" fillId="2" borderId="34" xfId="0" applyFont="1" applyFill="1" applyBorder="1" applyAlignment="1" applyProtection="1">
      <alignment horizontal="center" vertical="center" textRotation="90"/>
      <protection locked="0"/>
    </xf>
    <xf numFmtId="0" fontId="1" fillId="2" borderId="1" xfId="0" applyFont="1" applyFill="1" applyBorder="1" applyAlignment="1">
      <alignment horizontal="center" textRotation="90"/>
    </xf>
    <xf numFmtId="0" fontId="1" fillId="2" borderId="35" xfId="0" applyFont="1" applyFill="1" applyBorder="1" applyAlignment="1">
      <alignment horizontal="center" textRotation="90"/>
    </xf>
    <xf numFmtId="0" fontId="1" fillId="2" borderId="34" xfId="0" applyFont="1" applyFill="1" applyBorder="1" applyAlignment="1">
      <alignment horizontal="center" vertical="center" textRotation="90"/>
    </xf>
    <xf numFmtId="0" fontId="14" fillId="2" borderId="1" xfId="0" applyFont="1" applyFill="1" applyBorder="1" applyAlignment="1">
      <alignment horizontal="center" textRotation="90"/>
    </xf>
    <xf numFmtId="0" fontId="14" fillId="2" borderId="34" xfId="0" applyFont="1" applyFill="1" applyBorder="1" applyAlignment="1">
      <alignment horizontal="center" textRotation="90"/>
    </xf>
    <xf numFmtId="0" fontId="6" fillId="10" borderId="10" xfId="0" applyFont="1" applyFill="1" applyBorder="1" applyAlignment="1">
      <alignment horizontal="center"/>
    </xf>
  </cellXfs>
  <cellStyles count="1">
    <cellStyle name="Normal" xfId="0" builtinId="0"/>
  </cellStyles>
  <dxfs count="1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2%20Merced%20PUMI%202025%20Jun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3%20Hospital%20PUMI%202025%20Juni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4%20Catedral%20PUMI%202025%20Junio.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II%20TRIMESTRE/JUNIO/DR1%20CENTRAL/D5%20San%20Sebastian%20PUMI%202025%20Junio.xlsx?F4C83874" TargetMode="External"/><Relationship Id="rId1" Type="http://schemas.openxmlformats.org/officeDocument/2006/relationships/externalLinkPath" Target="file:///\\F4C83874\D5%20San%20Sebastian%20PUMI%202025%20Juni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6%20Hatillo%20PUMI%202025%20Junio.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II%20TRIMESTRE/JUNIO/DR1%20CENTRAL/D7%20Zapote-San%20Francisco%20PUMI%202025%20Junio.xlsx?F4C83874" TargetMode="External"/><Relationship Id="rId1" Type="http://schemas.openxmlformats.org/officeDocument/2006/relationships/externalLinkPath" Target="file:///\\F4C83874\D7%20Zapote-San%20Francisco%20PUMI%202025%20Juni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8%20Pavas%20PUMI%202025%20Junio.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II%20TRIMESTRE/JUNIO/DR1%20CENTRAL/D9%20Uruca%20Mata%20Redonda%20PUMI%202025%20Junio.xlsx?F4C83874" TargetMode="External"/><Relationship Id="rId1" Type="http://schemas.openxmlformats.org/officeDocument/2006/relationships/externalLinkPath" Target="file:///\\F4C83874\D9%20Uruca%20Mata%20Redonda%20PUMI%202025%20Junio.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108720436/Desktop/16.%20PUMI%202025/II%20TRIMESTRE/JUNIO/DR1%20CENTRAL/D2%20Merced%20PUMI%202025%20Ju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2 PSCC "/>
      <sheetName val="D02 VIF"/>
      <sheetName val="D02 DARE"/>
      <sheetName val="D02 GREAT"/>
      <sheetName val="D02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3 Hospital PSCC "/>
      <sheetName val="D03 Hospital VIF"/>
      <sheetName val="D03 Hospital DARE"/>
      <sheetName val="D03 Hospital GREAT"/>
      <sheetName val="D03 Hospital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4 Catedral PSCC "/>
      <sheetName val="D04 Catedral VIF"/>
      <sheetName val="D04 Catedral DARE"/>
      <sheetName val="D04 Catedral GREAT"/>
      <sheetName val="D04 Catedral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5 San Sebastián PSCC "/>
      <sheetName val="D05 San Sebastián  VIF"/>
      <sheetName val="D05 San Sebastián DARE"/>
      <sheetName val="D05 San Sebastián  GREAT"/>
      <sheetName val="D05 San Sebastián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6 HATILLO PSCC "/>
      <sheetName val="D06 HATILLO VIF"/>
      <sheetName val="D06 HATILLO DARE"/>
      <sheetName val="D06 HATILLO GREAT"/>
      <sheetName val="D06 HATILLO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7 San Fco -Zapote PSCC "/>
      <sheetName val="D07 San Fco -Zapote  VIF"/>
      <sheetName val="D07 San Fco -Zapote  DARE"/>
      <sheetName val="D07 San Fco -Zapote  GREAT"/>
      <sheetName val="D07 San Fco -Zapote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8 PAVAS PSCC "/>
      <sheetName val="D08 PAVAS VIF"/>
      <sheetName val="D08 PAVAS DARE"/>
      <sheetName val="D08 PAVAS GREAT"/>
      <sheetName val="D08 PAVAS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9 MATA RED - URUCA PSCC "/>
      <sheetName val="D09 MATA RED - URUCA VIF"/>
      <sheetName val="D09 MATA RED - URUCA DARE"/>
      <sheetName val="D09 MATA RED - URUCA GREAT"/>
      <sheetName val="D09 MATA RED - URUCA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1"/>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9"/>
  <sheetViews>
    <sheetView topLeftCell="B7" zoomScale="90" zoomScaleNormal="90" workbookViewId="0">
      <selection activeCell="K7" sqref="K7"/>
    </sheetView>
  </sheetViews>
  <sheetFormatPr baseColWidth="10" defaultColWidth="13.140625" defaultRowHeight="15" x14ac:dyDescent="0.25"/>
  <cols>
    <col min="1" max="1" width="8.28515625" style="4" customWidth="1"/>
    <col min="2" max="2" width="103.5703125" style="4" customWidth="1"/>
    <col min="3" max="3" width="13.140625" style="4"/>
    <col min="4" max="4" width="25.7109375" style="4" customWidth="1"/>
    <col min="5" max="16" width="15.5703125" style="4" customWidth="1"/>
    <col min="17" max="16384" width="13.140625" style="4"/>
  </cols>
  <sheetData>
    <row r="1" spans="1:16" ht="15.75" thickBot="1" x14ac:dyDescent="0.3">
      <c r="A1" s="2" t="s">
        <v>1</v>
      </c>
      <c r="B1" s="1" t="s">
        <v>0</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s="7" customFormat="1" ht="15.75" thickBot="1" x14ac:dyDescent="0.3">
      <c r="A2" s="5"/>
      <c r="B2" s="1"/>
      <c r="C2" s="28">
        <v>2026</v>
      </c>
      <c r="D2" s="6" t="s">
        <v>16</v>
      </c>
      <c r="E2" s="48"/>
      <c r="F2" s="48"/>
      <c r="G2" s="48"/>
      <c r="H2" s="48"/>
      <c r="I2" s="48"/>
      <c r="J2" s="48"/>
      <c r="K2" s="48"/>
      <c r="L2" s="48"/>
      <c r="M2" s="48"/>
      <c r="N2" s="48"/>
      <c r="O2" s="48"/>
      <c r="P2" s="48"/>
    </row>
    <row r="3" spans="1:16" ht="81" customHeight="1" x14ac:dyDescent="0.25">
      <c r="A3" s="9" t="s">
        <v>18</v>
      </c>
      <c r="B3" s="8" t="s">
        <v>17</v>
      </c>
      <c r="C3" s="17">
        <v>2</v>
      </c>
      <c r="D3" s="39">
        <f>SUM(E3:P3)</f>
        <v>1</v>
      </c>
      <c r="E3" s="50"/>
      <c r="F3" s="50"/>
      <c r="G3" s="50">
        <v>1</v>
      </c>
      <c r="H3" s="50"/>
      <c r="I3" s="50"/>
      <c r="J3" s="50"/>
      <c r="K3" s="50"/>
      <c r="L3" s="50"/>
      <c r="M3" s="50"/>
      <c r="N3" s="50"/>
      <c r="O3" s="50"/>
      <c r="P3" s="50"/>
    </row>
    <row r="4" spans="1:16" ht="81" customHeight="1" x14ac:dyDescent="0.25">
      <c r="A4" s="12" t="s">
        <v>20</v>
      </c>
      <c r="B4" s="11" t="s">
        <v>19</v>
      </c>
      <c r="C4" s="12">
        <v>2</v>
      </c>
      <c r="D4" s="39">
        <f t="shared" ref="D4:D37" si="0">SUM(E4:P4)</f>
        <v>1</v>
      </c>
      <c r="E4" s="50">
        <v>0</v>
      </c>
      <c r="F4" s="50">
        <v>0</v>
      </c>
      <c r="G4" s="50">
        <v>0</v>
      </c>
      <c r="H4" s="50">
        <v>1</v>
      </c>
      <c r="I4" s="50"/>
      <c r="J4" s="50"/>
      <c r="K4" s="50"/>
      <c r="L4" s="50"/>
      <c r="M4" s="50"/>
      <c r="N4" s="50"/>
      <c r="O4" s="50"/>
      <c r="P4" s="50"/>
    </row>
    <row r="5" spans="1:16" ht="81" customHeight="1" x14ac:dyDescent="0.25">
      <c r="A5" s="15" t="s">
        <v>22</v>
      </c>
      <c r="B5" s="14" t="s">
        <v>21</v>
      </c>
      <c r="C5" s="15">
        <v>1</v>
      </c>
      <c r="D5" s="39">
        <f t="shared" si="0"/>
        <v>0</v>
      </c>
      <c r="E5" s="50">
        <v>0</v>
      </c>
      <c r="F5" s="50">
        <v>0</v>
      </c>
      <c r="G5" s="50">
        <v>0</v>
      </c>
      <c r="H5" s="50">
        <v>0</v>
      </c>
      <c r="I5" s="50"/>
      <c r="J5" s="50"/>
      <c r="K5" s="50"/>
      <c r="L5" s="50"/>
      <c r="M5" s="50"/>
      <c r="N5" s="50"/>
      <c r="O5" s="50"/>
      <c r="P5" s="50"/>
    </row>
    <row r="6" spans="1:16" ht="81" customHeight="1" x14ac:dyDescent="0.25">
      <c r="A6" s="17" t="s">
        <v>18</v>
      </c>
      <c r="B6" s="8" t="s">
        <v>23</v>
      </c>
      <c r="C6" s="17">
        <v>2</v>
      </c>
      <c r="D6" s="39">
        <f t="shared" si="0"/>
        <v>0</v>
      </c>
      <c r="E6" s="50"/>
      <c r="F6" s="50"/>
      <c r="G6" s="50"/>
      <c r="H6" s="50"/>
      <c r="I6" s="50"/>
      <c r="J6" s="50"/>
      <c r="K6" s="50"/>
      <c r="L6" s="50"/>
      <c r="M6" s="50"/>
      <c r="N6" s="50"/>
      <c r="O6" s="50"/>
      <c r="P6" s="50"/>
    </row>
    <row r="7" spans="1:16" ht="81" customHeight="1" x14ac:dyDescent="0.25">
      <c r="A7" s="17" t="s">
        <v>18</v>
      </c>
      <c r="B7" s="8" t="s">
        <v>24</v>
      </c>
      <c r="C7" s="17">
        <v>2</v>
      </c>
      <c r="D7" s="39">
        <f t="shared" si="0"/>
        <v>1</v>
      </c>
      <c r="E7" s="50">
        <v>1</v>
      </c>
      <c r="F7" s="50"/>
      <c r="G7" s="50"/>
      <c r="H7" s="50"/>
      <c r="I7" s="50"/>
      <c r="J7" s="50"/>
      <c r="K7" s="50"/>
      <c r="L7" s="50"/>
      <c r="M7" s="50"/>
      <c r="N7" s="50"/>
      <c r="O7" s="50"/>
      <c r="P7" s="50"/>
    </row>
    <row r="8" spans="1:16" ht="81" customHeight="1" x14ac:dyDescent="0.25">
      <c r="A8" s="17" t="s">
        <v>18</v>
      </c>
      <c r="B8" s="8" t="s">
        <v>25</v>
      </c>
      <c r="C8" s="17">
        <v>2</v>
      </c>
      <c r="D8" s="39">
        <f t="shared" si="0"/>
        <v>1</v>
      </c>
      <c r="E8" s="50"/>
      <c r="F8" s="50"/>
      <c r="G8" s="50"/>
      <c r="H8" s="50"/>
      <c r="I8" s="50">
        <v>1</v>
      </c>
      <c r="J8" s="50"/>
      <c r="K8" s="50"/>
      <c r="L8" s="50"/>
      <c r="M8" s="50"/>
      <c r="N8" s="50"/>
      <c r="O8" s="50"/>
      <c r="P8" s="50"/>
    </row>
    <row r="9" spans="1:16" ht="81" customHeight="1" x14ac:dyDescent="0.25">
      <c r="A9" s="17" t="s">
        <v>18</v>
      </c>
      <c r="B9" s="8" t="s">
        <v>26</v>
      </c>
      <c r="C9" s="17">
        <v>2</v>
      </c>
      <c r="D9" s="39">
        <f t="shared" si="0"/>
        <v>1</v>
      </c>
      <c r="E9" s="50">
        <v>1</v>
      </c>
      <c r="F9" s="50"/>
      <c r="G9" s="50"/>
      <c r="H9" s="50"/>
      <c r="I9" s="50"/>
      <c r="J9" s="50"/>
      <c r="K9" s="50"/>
      <c r="L9" s="50"/>
      <c r="M9" s="50"/>
      <c r="N9" s="50"/>
      <c r="O9" s="50"/>
      <c r="P9" s="50"/>
    </row>
    <row r="10" spans="1:16" ht="28.5" customHeight="1" x14ac:dyDescent="0.25">
      <c r="A10" s="84" t="s">
        <v>87</v>
      </c>
      <c r="B10" s="46" t="s">
        <v>59</v>
      </c>
      <c r="C10" s="17">
        <v>0</v>
      </c>
      <c r="D10" s="39">
        <f t="shared" si="0"/>
        <v>0</v>
      </c>
      <c r="E10" s="50"/>
      <c r="F10" s="50"/>
      <c r="G10" s="50"/>
      <c r="H10" s="50"/>
      <c r="I10" s="50"/>
      <c r="J10" s="50"/>
      <c r="K10" s="50"/>
      <c r="L10" s="50"/>
      <c r="M10" s="50"/>
      <c r="N10" s="50"/>
      <c r="O10" s="50"/>
      <c r="P10" s="50"/>
    </row>
    <row r="11" spans="1:16" ht="28.5" customHeight="1" x14ac:dyDescent="0.25">
      <c r="A11" s="85"/>
      <c r="B11" s="46" t="s">
        <v>74</v>
      </c>
      <c r="C11" s="17">
        <v>2</v>
      </c>
      <c r="D11" s="39">
        <f t="shared" si="0"/>
        <v>1</v>
      </c>
      <c r="E11" s="50"/>
      <c r="F11" s="50">
        <v>1</v>
      </c>
      <c r="G11" s="50"/>
      <c r="H11" s="50"/>
      <c r="I11" s="50"/>
      <c r="J11" s="50"/>
      <c r="K11" s="50"/>
      <c r="L11" s="50"/>
      <c r="M11" s="50"/>
      <c r="N11" s="50"/>
      <c r="O11" s="50"/>
      <c r="P11" s="50"/>
    </row>
    <row r="12" spans="1:16" ht="28.5" customHeight="1" x14ac:dyDescent="0.25">
      <c r="A12" s="85"/>
      <c r="B12" s="46" t="s">
        <v>60</v>
      </c>
      <c r="C12" s="17">
        <v>0</v>
      </c>
      <c r="D12" s="39">
        <f t="shared" si="0"/>
        <v>0</v>
      </c>
      <c r="E12" s="50"/>
      <c r="F12" s="50"/>
      <c r="G12" s="50"/>
      <c r="H12" s="50"/>
      <c r="I12" s="50"/>
      <c r="J12" s="50"/>
      <c r="K12" s="50"/>
      <c r="L12" s="50"/>
      <c r="M12" s="50"/>
      <c r="N12" s="50"/>
      <c r="O12" s="50"/>
      <c r="P12" s="50"/>
    </row>
    <row r="13" spans="1:16" ht="28.5" customHeight="1" x14ac:dyDescent="0.25">
      <c r="A13" s="85"/>
      <c r="B13" s="46" t="s">
        <v>61</v>
      </c>
      <c r="C13" s="17">
        <v>9</v>
      </c>
      <c r="D13" s="39">
        <f t="shared" si="0"/>
        <v>4</v>
      </c>
      <c r="E13" s="50">
        <v>1</v>
      </c>
      <c r="F13" s="50">
        <v>1</v>
      </c>
      <c r="G13" s="50">
        <v>1</v>
      </c>
      <c r="H13" s="50">
        <v>1</v>
      </c>
      <c r="I13" s="50"/>
      <c r="J13" s="50"/>
      <c r="K13" s="50"/>
      <c r="L13" s="50"/>
      <c r="M13" s="50"/>
      <c r="N13" s="50"/>
      <c r="O13" s="50"/>
      <c r="P13" s="50"/>
    </row>
    <row r="14" spans="1:16" ht="28.5" customHeight="1" x14ac:dyDescent="0.25">
      <c r="A14" s="85"/>
      <c r="B14" s="46" t="s">
        <v>62</v>
      </c>
      <c r="C14" s="17">
        <v>0</v>
      </c>
      <c r="D14" s="39">
        <f t="shared" si="0"/>
        <v>0</v>
      </c>
      <c r="E14" s="50"/>
      <c r="F14" s="50"/>
      <c r="G14" s="50"/>
      <c r="H14" s="50"/>
      <c r="I14" s="50"/>
      <c r="J14" s="50"/>
      <c r="K14" s="50"/>
      <c r="L14" s="50"/>
      <c r="M14" s="50"/>
      <c r="N14" s="50"/>
      <c r="O14" s="50"/>
      <c r="P14" s="50"/>
    </row>
    <row r="15" spans="1:16" ht="28.5" customHeight="1" x14ac:dyDescent="0.25">
      <c r="A15" s="85"/>
      <c r="B15" s="46" t="s">
        <v>63</v>
      </c>
      <c r="C15" s="17">
        <v>0</v>
      </c>
      <c r="D15" s="39">
        <f t="shared" si="0"/>
        <v>0</v>
      </c>
      <c r="E15" s="50"/>
      <c r="F15" s="50"/>
      <c r="G15" s="50"/>
      <c r="H15" s="50"/>
      <c r="I15" s="50"/>
      <c r="J15" s="50"/>
      <c r="K15" s="50"/>
      <c r="L15" s="50"/>
      <c r="M15" s="50"/>
      <c r="N15" s="50"/>
      <c r="O15" s="50"/>
      <c r="P15" s="50"/>
    </row>
    <row r="16" spans="1:16" ht="28.5" customHeight="1" x14ac:dyDescent="0.25">
      <c r="A16" s="85"/>
      <c r="B16" s="46" t="s">
        <v>64</v>
      </c>
      <c r="C16" s="17">
        <v>0</v>
      </c>
      <c r="D16" s="39">
        <f t="shared" si="0"/>
        <v>0</v>
      </c>
      <c r="E16" s="50"/>
      <c r="F16" s="50"/>
      <c r="G16" s="50"/>
      <c r="H16" s="50"/>
      <c r="I16" s="50"/>
      <c r="J16" s="50"/>
      <c r="K16" s="50"/>
      <c r="L16" s="50"/>
      <c r="M16" s="50"/>
      <c r="N16" s="50"/>
      <c r="O16" s="50"/>
      <c r="P16" s="50"/>
    </row>
    <row r="17" spans="1:16" ht="28.5" customHeight="1" x14ac:dyDescent="0.25">
      <c r="A17" s="85"/>
      <c r="B17" s="46" t="s">
        <v>65</v>
      </c>
      <c r="C17" s="17">
        <v>0</v>
      </c>
      <c r="D17" s="39">
        <f t="shared" si="0"/>
        <v>0</v>
      </c>
      <c r="E17" s="50"/>
      <c r="F17" s="50"/>
      <c r="G17" s="50"/>
      <c r="H17" s="50"/>
      <c r="I17" s="50"/>
      <c r="J17" s="50"/>
      <c r="K17" s="50"/>
      <c r="L17" s="50"/>
      <c r="M17" s="50"/>
      <c r="N17" s="50"/>
      <c r="O17" s="50"/>
      <c r="P17" s="50"/>
    </row>
    <row r="18" spans="1:16" ht="28.5" customHeight="1" x14ac:dyDescent="0.25">
      <c r="A18" s="85"/>
      <c r="B18" s="46" t="s">
        <v>66</v>
      </c>
      <c r="C18" s="17">
        <v>0</v>
      </c>
      <c r="D18" s="39">
        <f t="shared" si="0"/>
        <v>0</v>
      </c>
      <c r="E18" s="50"/>
      <c r="F18" s="50"/>
      <c r="G18" s="50"/>
      <c r="H18" s="50"/>
      <c r="I18" s="50"/>
      <c r="J18" s="50"/>
      <c r="K18" s="50"/>
      <c r="L18" s="50"/>
      <c r="M18" s="50"/>
      <c r="N18" s="50"/>
      <c r="O18" s="50"/>
      <c r="P18" s="50"/>
    </row>
    <row r="19" spans="1:16" ht="28.5" customHeight="1" x14ac:dyDescent="0.25">
      <c r="A19" s="85"/>
      <c r="B19" s="46" t="s">
        <v>67</v>
      </c>
      <c r="C19" s="17">
        <v>0</v>
      </c>
      <c r="D19" s="39">
        <f t="shared" si="0"/>
        <v>0</v>
      </c>
      <c r="E19" s="50"/>
      <c r="F19" s="50"/>
      <c r="G19" s="50"/>
      <c r="H19" s="50"/>
      <c r="I19" s="50"/>
      <c r="J19" s="50"/>
      <c r="K19" s="50"/>
      <c r="L19" s="50"/>
      <c r="M19" s="50"/>
      <c r="N19" s="50"/>
      <c r="O19" s="50"/>
      <c r="P19" s="50"/>
    </row>
    <row r="20" spans="1:16" ht="28.5" customHeight="1" x14ac:dyDescent="0.25">
      <c r="A20" s="85"/>
      <c r="B20" s="46" t="s">
        <v>68</v>
      </c>
      <c r="C20" s="17">
        <v>0</v>
      </c>
      <c r="D20" s="39">
        <f t="shared" si="0"/>
        <v>0</v>
      </c>
      <c r="E20" s="50"/>
      <c r="F20" s="50"/>
      <c r="G20" s="50"/>
      <c r="H20" s="50"/>
      <c r="I20" s="50"/>
      <c r="J20" s="50"/>
      <c r="K20" s="50"/>
      <c r="L20" s="50"/>
      <c r="M20" s="50"/>
      <c r="N20" s="50"/>
      <c r="O20" s="50"/>
      <c r="P20" s="50"/>
    </row>
    <row r="21" spans="1:16" ht="28.5" customHeight="1" x14ac:dyDescent="0.25">
      <c r="A21" s="85"/>
      <c r="B21" s="46" t="s">
        <v>69</v>
      </c>
      <c r="C21" s="17">
        <v>0</v>
      </c>
      <c r="D21" s="39">
        <f t="shared" si="0"/>
        <v>0</v>
      </c>
      <c r="E21" s="50"/>
      <c r="F21" s="50"/>
      <c r="G21" s="50"/>
      <c r="H21" s="50"/>
      <c r="I21" s="50"/>
      <c r="J21" s="50"/>
      <c r="K21" s="50"/>
      <c r="L21" s="50"/>
      <c r="M21" s="50"/>
      <c r="N21" s="50"/>
      <c r="O21" s="50"/>
      <c r="P21" s="50"/>
    </row>
    <row r="22" spans="1:16" ht="28.5" customHeight="1" x14ac:dyDescent="0.25">
      <c r="A22" s="85"/>
      <c r="B22" s="46" t="s">
        <v>70</v>
      </c>
      <c r="C22" s="17">
        <v>0</v>
      </c>
      <c r="D22" s="39">
        <f t="shared" si="0"/>
        <v>0</v>
      </c>
      <c r="E22" s="50"/>
      <c r="F22" s="50"/>
      <c r="G22" s="50"/>
      <c r="H22" s="50"/>
      <c r="I22" s="50"/>
      <c r="J22" s="50"/>
      <c r="K22" s="50"/>
      <c r="L22" s="50"/>
      <c r="M22" s="50"/>
      <c r="N22" s="50"/>
      <c r="O22" s="50"/>
      <c r="P22" s="50"/>
    </row>
    <row r="23" spans="1:16" ht="28.5" customHeight="1" x14ac:dyDescent="0.25">
      <c r="A23" s="85"/>
      <c r="B23" s="46" t="s">
        <v>71</v>
      </c>
      <c r="C23" s="17">
        <v>0</v>
      </c>
      <c r="D23" s="39">
        <f t="shared" si="0"/>
        <v>0</v>
      </c>
      <c r="E23" s="50"/>
      <c r="F23" s="50"/>
      <c r="G23" s="50"/>
      <c r="H23" s="50"/>
      <c r="I23" s="50"/>
      <c r="J23" s="50"/>
      <c r="K23" s="50"/>
      <c r="L23" s="50"/>
      <c r="M23" s="50"/>
      <c r="N23" s="50"/>
      <c r="O23" s="50"/>
      <c r="P23" s="50"/>
    </row>
    <row r="24" spans="1:16" ht="28.5" customHeight="1" x14ac:dyDescent="0.25">
      <c r="A24" s="85"/>
      <c r="B24" s="46" t="s">
        <v>72</v>
      </c>
      <c r="C24" s="17">
        <v>80</v>
      </c>
      <c r="D24" s="39">
        <f t="shared" si="0"/>
        <v>40</v>
      </c>
      <c r="E24" s="50">
        <v>20</v>
      </c>
      <c r="F24" s="50"/>
      <c r="G24" s="50"/>
      <c r="H24" s="50"/>
      <c r="I24" s="50"/>
      <c r="J24" s="50">
        <v>20</v>
      </c>
      <c r="K24" s="50"/>
      <c r="L24" s="50"/>
      <c r="M24" s="50"/>
      <c r="N24" s="50"/>
      <c r="O24" s="50"/>
      <c r="P24" s="50"/>
    </row>
    <row r="25" spans="1:16" ht="28.5" customHeight="1" x14ac:dyDescent="0.25">
      <c r="A25" s="85"/>
      <c r="B25" s="46" t="s">
        <v>73</v>
      </c>
      <c r="C25" s="17">
        <v>0</v>
      </c>
      <c r="D25" s="39">
        <f t="shared" si="0"/>
        <v>0</v>
      </c>
      <c r="E25" s="50"/>
      <c r="F25" s="50"/>
      <c r="G25" s="50"/>
      <c r="H25" s="50"/>
      <c r="I25" s="50"/>
      <c r="J25" s="50"/>
      <c r="K25" s="50"/>
      <c r="L25" s="50"/>
      <c r="M25" s="50"/>
      <c r="N25" s="50"/>
      <c r="O25" s="50"/>
      <c r="P25" s="50"/>
    </row>
    <row r="26" spans="1:16" ht="24" customHeight="1" x14ac:dyDescent="0.25">
      <c r="A26" s="85"/>
      <c r="B26" s="47" t="s">
        <v>75</v>
      </c>
      <c r="C26" s="17">
        <v>1</v>
      </c>
      <c r="D26" s="39">
        <f t="shared" si="0"/>
        <v>2</v>
      </c>
      <c r="E26" s="50">
        <v>1</v>
      </c>
      <c r="F26" s="50"/>
      <c r="G26" s="50"/>
      <c r="H26" s="50">
        <v>1</v>
      </c>
      <c r="I26" s="50"/>
      <c r="J26" s="50"/>
      <c r="K26" s="50"/>
      <c r="L26" s="50"/>
      <c r="M26" s="50"/>
      <c r="N26" s="50"/>
      <c r="O26" s="50"/>
      <c r="P26" s="50"/>
    </row>
    <row r="27" spans="1:16" ht="24" customHeight="1" x14ac:dyDescent="0.25">
      <c r="A27" s="85"/>
      <c r="B27" s="47" t="s">
        <v>76</v>
      </c>
      <c r="C27" s="17">
        <v>1</v>
      </c>
      <c r="D27" s="39">
        <f t="shared" si="0"/>
        <v>0</v>
      </c>
      <c r="E27" s="50"/>
      <c r="F27" s="50"/>
      <c r="G27" s="50"/>
      <c r="H27" s="50"/>
      <c r="I27" s="50"/>
      <c r="J27" s="50"/>
      <c r="K27" s="50"/>
      <c r="L27" s="50"/>
      <c r="M27" s="50"/>
      <c r="N27" s="50"/>
      <c r="O27" s="50"/>
      <c r="P27" s="50"/>
    </row>
    <row r="28" spans="1:16" ht="24" customHeight="1" x14ac:dyDescent="0.25">
      <c r="A28" s="85"/>
      <c r="B28" s="47" t="s">
        <v>77</v>
      </c>
      <c r="C28" s="17">
        <v>0</v>
      </c>
      <c r="D28" s="39">
        <f t="shared" si="0"/>
        <v>0</v>
      </c>
      <c r="E28" s="50"/>
      <c r="F28" s="50"/>
      <c r="G28" s="50"/>
      <c r="H28" s="50"/>
      <c r="I28" s="50"/>
      <c r="J28" s="50"/>
      <c r="K28" s="50"/>
      <c r="L28" s="50"/>
      <c r="M28" s="50"/>
      <c r="N28" s="50"/>
      <c r="O28" s="50"/>
      <c r="P28" s="50"/>
    </row>
    <row r="29" spans="1:16" ht="24" customHeight="1" x14ac:dyDescent="0.25">
      <c r="A29" s="85"/>
      <c r="B29" s="47" t="s">
        <v>78</v>
      </c>
      <c r="C29" s="17">
        <v>0</v>
      </c>
      <c r="D29" s="39">
        <f t="shared" si="0"/>
        <v>0</v>
      </c>
      <c r="E29" s="50"/>
      <c r="F29" s="50"/>
      <c r="G29" s="50"/>
      <c r="H29" s="50"/>
      <c r="I29" s="50"/>
      <c r="J29" s="50"/>
      <c r="K29" s="50"/>
      <c r="L29" s="50"/>
      <c r="M29" s="50"/>
      <c r="N29" s="50"/>
      <c r="O29" s="50"/>
      <c r="P29" s="50"/>
    </row>
    <row r="30" spans="1:16" ht="24" customHeight="1" x14ac:dyDescent="0.25">
      <c r="A30" s="85"/>
      <c r="B30" s="47" t="s">
        <v>79</v>
      </c>
      <c r="C30" s="17">
        <v>0</v>
      </c>
      <c r="D30" s="39">
        <f t="shared" si="0"/>
        <v>0</v>
      </c>
      <c r="E30" s="50"/>
      <c r="F30" s="50"/>
      <c r="G30" s="50"/>
      <c r="H30" s="50"/>
      <c r="I30" s="50"/>
      <c r="J30" s="50"/>
      <c r="K30" s="50"/>
      <c r="L30" s="50"/>
      <c r="M30" s="50"/>
      <c r="N30" s="50"/>
      <c r="O30" s="50"/>
      <c r="P30" s="50"/>
    </row>
    <row r="31" spans="1:16" ht="24" customHeight="1" x14ac:dyDescent="0.25">
      <c r="A31" s="85"/>
      <c r="B31" s="47" t="s">
        <v>80</v>
      </c>
      <c r="C31" s="17">
        <v>0</v>
      </c>
      <c r="D31" s="39">
        <f t="shared" si="0"/>
        <v>0</v>
      </c>
      <c r="E31" s="50"/>
      <c r="F31" s="50"/>
      <c r="G31" s="50"/>
      <c r="H31" s="50"/>
      <c r="I31" s="50"/>
      <c r="J31" s="50"/>
      <c r="K31" s="50"/>
      <c r="L31" s="50"/>
      <c r="M31" s="50"/>
      <c r="N31" s="50"/>
      <c r="O31" s="50"/>
      <c r="P31" s="50"/>
    </row>
    <row r="32" spans="1:16" ht="24" customHeight="1" x14ac:dyDescent="0.25">
      <c r="A32" s="85"/>
      <c r="B32" s="47" t="s">
        <v>81</v>
      </c>
      <c r="C32" s="17">
        <v>0</v>
      </c>
      <c r="D32" s="39">
        <f t="shared" si="0"/>
        <v>0</v>
      </c>
      <c r="E32" s="50"/>
      <c r="F32" s="50"/>
      <c r="G32" s="50"/>
      <c r="H32" s="50"/>
      <c r="I32" s="50"/>
      <c r="J32" s="50"/>
      <c r="K32" s="50"/>
      <c r="L32" s="50"/>
      <c r="M32" s="50"/>
      <c r="N32" s="50"/>
      <c r="O32" s="50"/>
      <c r="P32" s="50"/>
    </row>
    <row r="33" spans="1:16" ht="24" customHeight="1" x14ac:dyDescent="0.25">
      <c r="A33" s="85"/>
      <c r="B33" s="47" t="s">
        <v>82</v>
      </c>
      <c r="C33" s="17">
        <v>0</v>
      </c>
      <c r="D33" s="39">
        <f t="shared" si="0"/>
        <v>0</v>
      </c>
      <c r="E33" s="50"/>
      <c r="F33" s="50"/>
      <c r="G33" s="50"/>
      <c r="H33" s="50"/>
      <c r="I33" s="50"/>
      <c r="J33" s="50"/>
      <c r="K33" s="50"/>
      <c r="L33" s="50"/>
      <c r="M33" s="50"/>
      <c r="N33" s="50"/>
      <c r="O33" s="50"/>
      <c r="P33" s="50"/>
    </row>
    <row r="34" spans="1:16" ht="24" customHeight="1" x14ac:dyDescent="0.25">
      <c r="A34" s="85"/>
      <c r="B34" s="47" t="s">
        <v>83</v>
      </c>
      <c r="C34" s="17">
        <v>0</v>
      </c>
      <c r="D34" s="39">
        <f t="shared" si="0"/>
        <v>0</v>
      </c>
      <c r="E34" s="50"/>
      <c r="F34" s="50"/>
      <c r="G34" s="50"/>
      <c r="H34" s="50"/>
      <c r="I34" s="50"/>
      <c r="J34" s="50"/>
      <c r="K34" s="50"/>
      <c r="L34" s="50"/>
      <c r="M34" s="50"/>
      <c r="N34" s="50"/>
      <c r="O34" s="50"/>
      <c r="P34" s="50"/>
    </row>
    <row r="35" spans="1:16" ht="24" customHeight="1" x14ac:dyDescent="0.25">
      <c r="A35" s="85"/>
      <c r="B35" s="47" t="s">
        <v>84</v>
      </c>
      <c r="C35" s="17">
        <v>0</v>
      </c>
      <c r="D35" s="39">
        <f t="shared" si="0"/>
        <v>0</v>
      </c>
      <c r="E35" s="50"/>
      <c r="F35" s="50"/>
      <c r="G35" s="50"/>
      <c r="H35" s="50"/>
      <c r="I35" s="50"/>
      <c r="J35" s="50"/>
      <c r="K35" s="50"/>
      <c r="L35" s="50"/>
      <c r="M35" s="50"/>
      <c r="N35" s="50"/>
      <c r="O35" s="50"/>
      <c r="P35" s="50"/>
    </row>
    <row r="36" spans="1:16" ht="24" customHeight="1" x14ac:dyDescent="0.25">
      <c r="A36" s="85"/>
      <c r="B36" s="47" t="s">
        <v>85</v>
      </c>
      <c r="C36" s="17">
        <v>0</v>
      </c>
      <c r="D36" s="39">
        <f t="shared" si="0"/>
        <v>0</v>
      </c>
      <c r="E36" s="50"/>
      <c r="F36" s="50"/>
      <c r="G36" s="50"/>
      <c r="H36" s="50"/>
      <c r="I36" s="50"/>
      <c r="J36" s="50"/>
      <c r="K36" s="50"/>
      <c r="L36" s="50"/>
      <c r="M36" s="50"/>
      <c r="N36" s="50"/>
      <c r="O36" s="50"/>
      <c r="P36" s="50"/>
    </row>
    <row r="37" spans="1:16" ht="24" customHeight="1" x14ac:dyDescent="0.25">
      <c r="A37" s="85"/>
      <c r="B37" s="47" t="s">
        <v>86</v>
      </c>
      <c r="C37" s="17">
        <v>0</v>
      </c>
      <c r="D37" s="39">
        <f t="shared" si="0"/>
        <v>0</v>
      </c>
      <c r="E37" s="50"/>
      <c r="F37" s="50"/>
      <c r="G37" s="50"/>
      <c r="H37" s="50"/>
      <c r="I37" s="50"/>
      <c r="J37" s="50"/>
      <c r="K37" s="50"/>
      <c r="L37" s="50"/>
      <c r="M37" s="50"/>
      <c r="N37" s="50"/>
      <c r="O37" s="50"/>
      <c r="P37" s="50"/>
    </row>
    <row r="38" spans="1:16" x14ac:dyDescent="0.25">
      <c r="C38" s="51">
        <f>SUM(C3:C37)</f>
        <v>106</v>
      </c>
      <c r="D38" s="52">
        <f>SUM(D3:D37)</f>
        <v>52</v>
      </c>
    </row>
    <row r="39" spans="1:16" x14ac:dyDescent="0.25">
      <c r="D39" s="20">
        <f>D38/C38</f>
        <v>0.49056603773584906</v>
      </c>
    </row>
  </sheetData>
  <sheetProtection algorithmName="SHA-512" hashValue="Y4r5/v7Ebq+sMPxVYUHeKgTZxjGw8MKLqdn/86ZB5Y07qUN/UFePUp4vIDDiOGysYm7Hc5qOU8svCKMg21IANA==" saltValue="sWoD7E3gMyXFhYQkfD+w7w==" spinCount="100000" sheet="1" objects="1" scenarios="1" autoFilter="0"/>
  <mergeCells count="1">
    <mergeCell ref="A10:A37"/>
  </mergeCells>
  <phoneticPr fontId="11" type="noConversion"/>
  <conditionalFormatting sqref="C3:D3">
    <cfRule type="dataBar" priority="9">
      <dataBar>
        <cfvo type="min"/>
        <cfvo type="max"/>
        <color rgb="FF008AEF"/>
      </dataBar>
      <extLst>
        <ext xmlns:x14="http://schemas.microsoft.com/office/spreadsheetml/2009/9/main" uri="{B025F937-C7B1-47D3-B67F-A62EFF666E3E}">
          <x14:id>{8993DDB8-2D54-44BB-949B-BB29BD89F20C}</x14:id>
        </ext>
      </extLst>
    </cfRule>
  </conditionalFormatting>
  <conditionalFormatting sqref="C4:D4">
    <cfRule type="dataBar" priority="8">
      <dataBar>
        <cfvo type="min"/>
        <cfvo type="max"/>
        <color rgb="FF008AEF"/>
      </dataBar>
      <extLst>
        <ext xmlns:x14="http://schemas.microsoft.com/office/spreadsheetml/2009/9/main" uri="{B025F937-C7B1-47D3-B67F-A62EFF666E3E}">
          <x14:id>{F32CB7C0-45DD-4796-BF31-C6242E63EFA5}</x14:id>
        </ext>
      </extLst>
    </cfRule>
  </conditionalFormatting>
  <conditionalFormatting sqref="C5:D5">
    <cfRule type="dataBar" priority="7">
      <dataBar>
        <cfvo type="min"/>
        <cfvo type="max"/>
        <color rgb="FF008AEF"/>
      </dataBar>
      <extLst>
        <ext xmlns:x14="http://schemas.microsoft.com/office/spreadsheetml/2009/9/main" uri="{B025F937-C7B1-47D3-B67F-A62EFF666E3E}">
          <x14:id>{54CCCC93-9FA2-4512-9EC8-C9DD460D18A3}</x14:id>
        </ext>
      </extLst>
    </cfRule>
  </conditionalFormatting>
  <conditionalFormatting sqref="C6:D6">
    <cfRule type="dataBar" priority="6">
      <dataBar>
        <cfvo type="min"/>
        <cfvo type="max"/>
        <color rgb="FF008AEF"/>
      </dataBar>
      <extLst>
        <ext xmlns:x14="http://schemas.microsoft.com/office/spreadsheetml/2009/9/main" uri="{B025F937-C7B1-47D3-B67F-A62EFF666E3E}">
          <x14:id>{6FC3C033-C21A-4CC5-8671-50046A4B7E09}</x14:id>
        </ext>
      </extLst>
    </cfRule>
  </conditionalFormatting>
  <conditionalFormatting sqref="C7:D7">
    <cfRule type="dataBar" priority="5">
      <dataBar>
        <cfvo type="min"/>
        <cfvo type="max"/>
        <color rgb="FF008AEF"/>
      </dataBar>
      <extLst>
        <ext xmlns:x14="http://schemas.microsoft.com/office/spreadsheetml/2009/9/main" uri="{B025F937-C7B1-47D3-B67F-A62EFF666E3E}">
          <x14:id>{32880A4C-819C-4E13-A72B-2D5E870F60E7}</x14:id>
        </ext>
      </extLst>
    </cfRule>
  </conditionalFormatting>
  <conditionalFormatting sqref="C8:D8">
    <cfRule type="dataBar" priority="4">
      <dataBar>
        <cfvo type="min"/>
        <cfvo type="max"/>
        <color rgb="FF008AEF"/>
      </dataBar>
      <extLst>
        <ext xmlns:x14="http://schemas.microsoft.com/office/spreadsheetml/2009/9/main" uri="{B025F937-C7B1-47D3-B67F-A62EFF666E3E}">
          <x14:id>{C3A3CD91-96F0-4F2C-A931-798AD77B62C6}</x14:id>
        </ext>
      </extLst>
    </cfRule>
  </conditionalFormatting>
  <conditionalFormatting sqref="C9:D9">
    <cfRule type="dataBar" priority="3">
      <dataBar>
        <cfvo type="min"/>
        <cfvo type="max"/>
        <color rgb="FF008AEF"/>
      </dataBar>
      <extLst>
        <ext xmlns:x14="http://schemas.microsoft.com/office/spreadsheetml/2009/9/main" uri="{B025F937-C7B1-47D3-B67F-A62EFF666E3E}">
          <x14:id>{D875BA59-5C82-4066-B8AC-3EAF9C2124EA}</x14:id>
        </ext>
      </extLst>
    </cfRule>
  </conditionalFormatting>
  <conditionalFormatting sqref="C10:D10">
    <cfRule type="dataBar" priority="2">
      <dataBar>
        <cfvo type="min"/>
        <cfvo type="max"/>
        <color rgb="FF008AEF"/>
      </dataBar>
      <extLst>
        <ext xmlns:x14="http://schemas.microsoft.com/office/spreadsheetml/2009/9/main" uri="{B025F937-C7B1-47D3-B67F-A62EFF666E3E}">
          <x14:id>{C0222760-8C91-44F1-B3D9-198952388074}</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{59852E4B-016F-4EDD-883A-11AA8E117621}</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{9C65D73C-1D6E-4742-BC8B-89BC7AEBE089}</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{48DE3FB5-1BD7-4488-A66E-D6BB6E3FD07C}</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{9E623983-88EC-4397-AB7E-C7E761C82BEB}</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{4640C8E7-E8A1-418E-B2BD-43436F18F6AD}</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{41C0FAAE-4420-40CA-AAAA-E59CC1083E30}</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{5AE00BBB-5D80-4D09-9F96-3B55553A9BC2}</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{387872D7-C8FB-457A-BDEE-E05EFF7F9149}</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{0CAD7F3B-5DD0-47BF-9F0A-711A051E6C43}</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{5C19E1B2-D69D-4764-954E-5DA68A1AC302}</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{BDDF2484-029B-4777-8B0F-B7D7799DEAF5}</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{B422A6A3-2B8E-4669-8089-2FB00FA67BEB}</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{42E26139-AD45-4436-B1A4-628EA210D3ED}</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{12CD54EA-0905-4D08-B6D3-AF703F505D92}</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{7C9A7F24-EF65-4D02-9E94-53C4049BA667}</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{65AD4045-8648-42CE-8335-83F24A13F6A1}</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{E6D21D5A-1D74-4A97-8D1F-9F9FE046DA10}</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{97ABCF22-FC22-4824-A53A-CC79E778D126}</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{4ED72DD0-F1FD-4ADA-ABD0-B54C204223F2}</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{A2C889B5-74FF-45ED-AACC-0888FE10ACB1}</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{9C46F4AD-BF49-42EB-A66F-E24D69D6520D}</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{6B5A92FF-053B-4C47-A7C5-D28B686A91C4}</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{5FD93EFC-43EA-45E3-8E20-1102D9D1BD9D}</x14:id>
        </ext>
      </extLst>
    </cfRule>
  </conditionalFormatting>
  <conditionalFormatting sqref="C34:D34">
    <cfRule type="dataBar" priority="13">
      <dataBar>
        <cfvo type="min"/>
        <cfvo type="max"/>
        <color rgb="FF008AEF"/>
      </dataBar>
      <extLst>
        <ext xmlns:x14="http://schemas.microsoft.com/office/spreadsheetml/2009/9/main" uri="{B025F937-C7B1-47D3-B67F-A62EFF666E3E}">
          <x14:id>{7B7AE9AA-0862-4DEF-9764-338057BA33B8}</x14:id>
        </ext>
      </extLst>
    </cfRule>
  </conditionalFormatting>
  <conditionalFormatting sqref="C35:D35">
    <cfRule type="dataBar" priority="12">
      <dataBar>
        <cfvo type="min"/>
        <cfvo type="max"/>
        <color rgb="FF008AEF"/>
      </dataBar>
      <extLst>
        <ext xmlns:x14="http://schemas.microsoft.com/office/spreadsheetml/2009/9/main" uri="{B025F937-C7B1-47D3-B67F-A62EFF666E3E}">
          <x14:id>{7F9A411C-DF23-4A1B-83FA-5ACCEC5DCCF0}</x14:id>
        </ext>
      </extLst>
    </cfRule>
  </conditionalFormatting>
  <conditionalFormatting sqref="C36:D36">
    <cfRule type="dataBar" priority="11">
      <dataBar>
        <cfvo type="min"/>
        <cfvo type="max"/>
        <color rgb="FF008AEF"/>
      </dataBar>
      <extLst>
        <ext xmlns:x14="http://schemas.microsoft.com/office/spreadsheetml/2009/9/main" uri="{B025F937-C7B1-47D3-B67F-A62EFF666E3E}">
          <x14:id>{2E2CE313-A828-472E-848E-7F2013EA1FA6}</x14:id>
        </ext>
      </extLst>
    </cfRule>
  </conditionalFormatting>
  <conditionalFormatting sqref="C37:D37">
    <cfRule type="dataBar" priority="10">
      <dataBar>
        <cfvo type="min"/>
        <cfvo type="max"/>
        <color rgb="FF008AEF"/>
      </dataBar>
      <extLst>
        <ext xmlns:x14="http://schemas.microsoft.com/office/spreadsheetml/2009/9/main" uri="{B025F937-C7B1-47D3-B67F-A62EFF666E3E}">
          <x14:id>{1B3709C4-6F6F-4940-B188-FA366A089673}</x14:id>
        </ext>
      </extLst>
    </cfRule>
  </conditionalFormatting>
  <conditionalFormatting sqref="E3:P37">
    <cfRule type="cellIs" dxfId="14"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993DDB8-2D54-44BB-949B-BB29BD89F20C}">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F32CB7C0-45DD-4796-BF31-C6242E63EFA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54CCCC93-9FA2-4512-9EC8-C9DD460D18A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FC3C033-C21A-4CC5-8671-50046A4B7E0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32880A4C-819C-4E13-A72B-2D5E870F60E7}">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C3A3CD91-96F0-4F2C-A931-798AD77B62C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875BA59-5C82-4066-B8AC-3EAF9C2124EA}">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C0222760-8C91-44F1-B3D9-19895238807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59852E4B-016F-4EDD-883A-11AA8E117621}">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9C65D73C-1D6E-4742-BC8B-89BC7AEBE08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8DE3FB5-1BD7-4488-A66E-D6BB6E3FD07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9E623983-88EC-4397-AB7E-C7E761C82BEB}">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4640C8E7-E8A1-418E-B2BD-43436F18F6AD}">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41C0FAAE-4420-40CA-AAAA-E59CC1083E30}">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5AE00BBB-5D80-4D09-9F96-3B55553A9BC2}">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387872D7-C8FB-457A-BDEE-E05EFF7F9149}">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CAD7F3B-5DD0-47BF-9F0A-711A051E6C43}">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5C19E1B2-D69D-4764-954E-5DA68A1AC30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DDF2484-029B-4777-8B0F-B7D7799DEAF5}">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B422A6A3-2B8E-4669-8089-2FB00FA67BEB}">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42E26139-AD45-4436-B1A4-628EA210D3ED}">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12CD54EA-0905-4D08-B6D3-AF703F505D92}">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7C9A7F24-EF65-4D02-9E94-53C4049BA667}">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65AD4045-8648-42CE-8335-83F24A13F6A1}">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E6D21D5A-1D74-4A97-8D1F-9F9FE046DA1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97ABCF22-FC22-4824-A53A-CC79E778D126}">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4ED72DD0-F1FD-4ADA-ABD0-B54C204223F2}">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A2C889B5-74FF-45ED-AACC-0888FE10ACB1}">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9C46F4AD-BF49-42EB-A66F-E24D69D6520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6B5A92FF-053B-4C47-A7C5-D28B686A91C4}">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5FD93EFC-43EA-45E3-8E20-1102D9D1BD9D}">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7B7AE9AA-0862-4DEF-9764-338057BA33B8}">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7F9A411C-DF23-4A1B-83FA-5ACCEC5DCCF0}">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2E2CE313-A828-472E-848E-7F2013EA1FA6}">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1B3709C4-6F6F-4940-B188-FA366A089673}">
            <x14:dataBar minLength="0" maxLength="100" gradient="0">
              <x14:cfvo type="autoMin"/>
              <x14:cfvo type="autoMax"/>
              <x14:negativeFillColor rgb="FFFF0000"/>
              <x14:axisColor rgb="FF000000"/>
            </x14:dataBar>
          </x14:cfRule>
          <xm:sqref>C37:D37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0"/>
  </sheetPr>
  <dimension ref="A1:Q65"/>
  <sheetViews>
    <sheetView zoomScale="90" zoomScaleNormal="90" workbookViewId="0">
      <selection activeCell="I29" sqref="I29"/>
    </sheetView>
  </sheetViews>
  <sheetFormatPr baseColWidth="10" defaultColWidth="13.140625" defaultRowHeight="15" x14ac:dyDescent="0.25"/>
  <cols>
    <col min="1" max="1" width="8.42578125" style="4" customWidth="1"/>
    <col min="2" max="2" width="101.7109375" style="4" customWidth="1"/>
    <col min="3" max="3" width="13.140625" style="4"/>
    <col min="4" max="4" width="25.7109375" style="4" customWidth="1"/>
    <col min="5" max="9" width="19.7109375" style="4" customWidth="1"/>
    <col min="10" max="16384" width="13.140625" style="4"/>
  </cols>
  <sheetData>
    <row r="1" spans="1:17" ht="61.5" customHeight="1" x14ac:dyDescent="0.25">
      <c r="A1" s="89" t="s">
        <v>1</v>
      </c>
      <c r="B1" s="1" t="s">
        <v>88</v>
      </c>
      <c r="C1" s="3" t="s">
        <v>2</v>
      </c>
      <c r="D1" s="3" t="s">
        <v>3</v>
      </c>
      <c r="E1" s="3" t="s">
        <v>3</v>
      </c>
      <c r="F1" s="3" t="s">
        <v>4</v>
      </c>
      <c r="G1" s="3" t="s">
        <v>5</v>
      </c>
      <c r="H1" s="3" t="s">
        <v>6</v>
      </c>
      <c r="I1" s="3" t="s">
        <v>7</v>
      </c>
      <c r="J1" s="3" t="s">
        <v>8</v>
      </c>
      <c r="K1" s="3" t="s">
        <v>9</v>
      </c>
      <c r="L1" s="3" t="s">
        <v>10</v>
      </c>
      <c r="M1" s="3" t="s">
        <v>11</v>
      </c>
      <c r="N1" s="3" t="s">
        <v>12</v>
      </c>
      <c r="O1" s="3" t="s">
        <v>13</v>
      </c>
      <c r="P1" s="3" t="s">
        <v>14</v>
      </c>
      <c r="Q1" s="3" t="s">
        <v>15</v>
      </c>
    </row>
    <row r="2" spans="1:17" s="7" customFormat="1" ht="15.75" thickBot="1" x14ac:dyDescent="0.3">
      <c r="A2" s="90"/>
      <c r="B2" s="1"/>
      <c r="C2" s="6">
        <v>2026</v>
      </c>
      <c r="D2" s="6" t="s">
        <v>16</v>
      </c>
      <c r="E2" s="6" t="s">
        <v>16</v>
      </c>
      <c r="F2" s="48"/>
      <c r="G2" s="48"/>
      <c r="H2" s="48"/>
      <c r="I2" s="48"/>
      <c r="J2" s="48"/>
      <c r="K2" s="48"/>
      <c r="L2" s="48"/>
      <c r="M2" s="48"/>
      <c r="N2" s="48"/>
      <c r="O2" s="48"/>
      <c r="P2" s="48"/>
      <c r="Q2" s="48"/>
    </row>
    <row r="3" spans="1:17" ht="81" customHeight="1" thickBot="1" x14ac:dyDescent="0.3">
      <c r="A3" s="75" t="s">
        <v>18</v>
      </c>
      <c r="B3" s="53" t="s">
        <v>17</v>
      </c>
      <c r="C3" s="10">
        <v>2</v>
      </c>
      <c r="D3" s="39">
        <f>SUM(E3:Q3)</f>
        <v>1</v>
      </c>
      <c r="E3" s="50"/>
      <c r="F3" s="50"/>
      <c r="G3" s="50">
        <v>1</v>
      </c>
      <c r="H3" s="50"/>
      <c r="I3" s="50"/>
      <c r="J3" s="50"/>
      <c r="K3" s="50"/>
      <c r="L3" s="50"/>
      <c r="M3" s="50"/>
      <c r="N3" s="50"/>
      <c r="O3" s="50"/>
      <c r="P3" s="50"/>
      <c r="Q3" s="50"/>
    </row>
    <row r="4" spans="1:17" ht="81" customHeight="1" thickBot="1" x14ac:dyDescent="0.3">
      <c r="A4" s="76" t="s">
        <v>20</v>
      </c>
      <c r="B4" s="22" t="s">
        <v>19</v>
      </c>
      <c r="C4" s="13">
        <v>2</v>
      </c>
      <c r="D4" s="39">
        <f t="shared" ref="D4:D10" si="0">SUM(E4:Q4)</f>
        <v>0</v>
      </c>
      <c r="E4" s="50"/>
      <c r="F4" s="50">
        <v>0</v>
      </c>
      <c r="G4" s="50">
        <v>0</v>
      </c>
      <c r="H4" s="50">
        <v>0</v>
      </c>
      <c r="I4" s="50">
        <v>0</v>
      </c>
      <c r="J4" s="50"/>
      <c r="K4" s="50"/>
      <c r="L4" s="50"/>
      <c r="M4" s="50"/>
      <c r="N4" s="50"/>
      <c r="O4" s="50"/>
      <c r="P4" s="50"/>
      <c r="Q4" s="50"/>
    </row>
    <row r="5" spans="1:17" ht="81" customHeight="1" thickBot="1" x14ac:dyDescent="0.3">
      <c r="A5" s="83" t="s">
        <v>22</v>
      </c>
      <c r="B5" s="23" t="s">
        <v>27</v>
      </c>
      <c r="C5" s="16">
        <v>1</v>
      </c>
      <c r="D5" s="39">
        <f t="shared" si="0"/>
        <v>0</v>
      </c>
      <c r="E5" s="50"/>
      <c r="F5" s="50">
        <v>0</v>
      </c>
      <c r="G5" s="50">
        <v>0</v>
      </c>
      <c r="H5" s="50">
        <v>0</v>
      </c>
      <c r="I5" s="50">
        <v>0</v>
      </c>
      <c r="J5" s="50"/>
      <c r="K5" s="50"/>
      <c r="L5" s="50"/>
      <c r="M5" s="50"/>
      <c r="N5" s="50"/>
      <c r="O5" s="50"/>
      <c r="P5" s="50"/>
      <c r="Q5" s="50"/>
    </row>
    <row r="6" spans="1:17" ht="81" customHeight="1" thickBot="1" x14ac:dyDescent="0.3">
      <c r="A6" s="77" t="s">
        <v>18</v>
      </c>
      <c r="B6" s="21" t="s">
        <v>23</v>
      </c>
      <c r="C6" s="18">
        <v>2</v>
      </c>
      <c r="D6" s="39">
        <f t="shared" si="0"/>
        <v>0</v>
      </c>
      <c r="E6" s="50"/>
      <c r="F6" s="50"/>
      <c r="G6" s="50"/>
      <c r="H6" s="50"/>
      <c r="I6" s="50"/>
      <c r="J6" s="50"/>
      <c r="K6" s="50"/>
      <c r="L6" s="50"/>
      <c r="M6" s="50"/>
      <c r="N6" s="50"/>
      <c r="O6" s="50"/>
      <c r="P6" s="50"/>
      <c r="Q6" s="50"/>
    </row>
    <row r="7" spans="1:17" ht="81" customHeight="1" thickBot="1" x14ac:dyDescent="0.3">
      <c r="A7" s="77" t="s">
        <v>18</v>
      </c>
      <c r="B7" s="21" t="s">
        <v>28</v>
      </c>
      <c r="C7" s="18">
        <v>1</v>
      </c>
      <c r="D7" s="39">
        <f t="shared" si="0"/>
        <v>0</v>
      </c>
      <c r="E7" s="50"/>
      <c r="F7" s="50"/>
      <c r="G7" s="50"/>
      <c r="H7" s="50"/>
      <c r="I7" s="50"/>
      <c r="J7" s="50"/>
      <c r="K7" s="50"/>
      <c r="L7" s="50"/>
      <c r="M7" s="50"/>
      <c r="N7" s="50"/>
      <c r="O7" s="50"/>
      <c r="P7" s="50"/>
      <c r="Q7" s="50"/>
    </row>
    <row r="8" spans="1:17" ht="81" customHeight="1" thickBot="1" x14ac:dyDescent="0.3">
      <c r="A8" s="77" t="s">
        <v>18</v>
      </c>
      <c r="B8" s="21" t="s">
        <v>29</v>
      </c>
      <c r="C8" s="18">
        <v>1</v>
      </c>
      <c r="D8" s="39">
        <f t="shared" si="0"/>
        <v>0</v>
      </c>
      <c r="E8" s="50"/>
      <c r="F8" s="50"/>
      <c r="G8" s="50"/>
      <c r="H8" s="50"/>
      <c r="I8" s="50"/>
      <c r="J8" s="50"/>
      <c r="K8" s="50"/>
      <c r="L8" s="50"/>
      <c r="M8" s="50"/>
      <c r="N8" s="50"/>
      <c r="O8" s="50"/>
      <c r="P8" s="50"/>
      <c r="Q8" s="50"/>
    </row>
    <row r="9" spans="1:17" ht="81" customHeight="1" thickBot="1" x14ac:dyDescent="0.3">
      <c r="A9" s="77" t="s">
        <v>18</v>
      </c>
      <c r="B9" s="21" t="s">
        <v>25</v>
      </c>
      <c r="C9" s="18">
        <v>2</v>
      </c>
      <c r="D9" s="39">
        <f t="shared" si="0"/>
        <v>0</v>
      </c>
      <c r="E9" s="50"/>
      <c r="F9" s="50"/>
      <c r="G9" s="50"/>
      <c r="H9" s="50"/>
      <c r="I9" s="50"/>
      <c r="J9" s="50"/>
      <c r="K9" s="50"/>
      <c r="L9" s="50"/>
      <c r="M9" s="50"/>
      <c r="N9" s="50"/>
      <c r="O9" s="50"/>
      <c r="P9" s="50"/>
      <c r="Q9" s="50"/>
    </row>
    <row r="10" spans="1:17" ht="81" customHeight="1" thickBot="1" x14ac:dyDescent="0.3">
      <c r="A10" s="77" t="s">
        <v>18</v>
      </c>
      <c r="B10" s="21" t="s">
        <v>26</v>
      </c>
      <c r="C10" s="18">
        <v>1</v>
      </c>
      <c r="D10" s="39">
        <f t="shared" si="0"/>
        <v>0</v>
      </c>
      <c r="E10" s="50"/>
      <c r="F10" s="50"/>
      <c r="G10" s="50"/>
      <c r="H10" s="50"/>
      <c r="I10" s="50"/>
      <c r="J10" s="50"/>
      <c r="K10" s="50"/>
      <c r="L10" s="50"/>
      <c r="M10" s="50"/>
      <c r="N10" s="50"/>
      <c r="O10" s="50"/>
      <c r="P10" s="50"/>
      <c r="Q10" s="50"/>
    </row>
    <row r="11" spans="1:17" ht="28.5" customHeight="1" x14ac:dyDescent="0.25">
      <c r="A11" s="86" t="s">
        <v>87</v>
      </c>
      <c r="B11" s="54" t="s">
        <v>59</v>
      </c>
      <c r="C11" s="18">
        <v>0</v>
      </c>
      <c r="D11" s="39">
        <f t="shared" ref="D11:D38" si="1">SUM(E11:P11)</f>
        <v>0</v>
      </c>
      <c r="E11" s="50"/>
      <c r="F11" s="50"/>
      <c r="G11" s="50"/>
      <c r="H11" s="50"/>
      <c r="I11" s="50"/>
      <c r="J11" s="50"/>
      <c r="K11" s="50"/>
      <c r="L11" s="50"/>
      <c r="M11" s="50"/>
      <c r="N11" s="50"/>
      <c r="O11" s="50"/>
      <c r="P11" s="50"/>
      <c r="Q11" s="49"/>
    </row>
    <row r="12" spans="1:17" ht="28.5" customHeight="1" x14ac:dyDescent="0.25">
      <c r="A12" s="87"/>
      <c r="B12" s="54" t="s">
        <v>74</v>
      </c>
      <c r="C12" s="18">
        <v>0</v>
      </c>
      <c r="D12" s="39">
        <f t="shared" si="1"/>
        <v>0</v>
      </c>
      <c r="E12" s="50"/>
      <c r="F12" s="50"/>
      <c r="G12" s="50"/>
      <c r="H12" s="50"/>
      <c r="I12" s="50"/>
      <c r="J12" s="50"/>
      <c r="K12" s="50"/>
      <c r="L12" s="50"/>
      <c r="M12" s="50"/>
      <c r="N12" s="50"/>
      <c r="O12" s="50"/>
      <c r="P12" s="50"/>
      <c r="Q12" s="49"/>
    </row>
    <row r="13" spans="1:17" ht="28.5" customHeight="1" x14ac:dyDescent="0.25">
      <c r="A13" s="87"/>
      <c r="B13" s="54" t="s">
        <v>60</v>
      </c>
      <c r="C13" s="18">
        <v>12</v>
      </c>
      <c r="D13" s="39">
        <f t="shared" si="1"/>
        <v>2</v>
      </c>
      <c r="E13" s="50"/>
      <c r="F13" s="50">
        <v>1</v>
      </c>
      <c r="G13" s="50">
        <v>1</v>
      </c>
      <c r="H13" s="50"/>
      <c r="I13" s="50"/>
      <c r="J13" s="50"/>
      <c r="K13" s="50"/>
      <c r="L13" s="50"/>
      <c r="M13" s="50"/>
      <c r="N13" s="50"/>
      <c r="O13" s="50"/>
      <c r="P13" s="50"/>
      <c r="Q13" s="49"/>
    </row>
    <row r="14" spans="1:17" ht="28.5" customHeight="1" x14ac:dyDescent="0.25">
      <c r="A14" s="87"/>
      <c r="B14" s="54" t="s">
        <v>61</v>
      </c>
      <c r="C14" s="18">
        <v>6</v>
      </c>
      <c r="D14" s="39">
        <f t="shared" si="1"/>
        <v>0</v>
      </c>
      <c r="E14" s="50"/>
      <c r="F14" s="50"/>
      <c r="G14" s="50"/>
      <c r="H14" s="50"/>
      <c r="I14" s="50"/>
      <c r="J14" s="50"/>
      <c r="K14" s="50"/>
      <c r="L14" s="50"/>
      <c r="M14" s="50"/>
      <c r="N14" s="50"/>
      <c r="O14" s="50"/>
      <c r="P14" s="50"/>
      <c r="Q14" s="49"/>
    </row>
    <row r="15" spans="1:17" ht="28.5" customHeight="1" x14ac:dyDescent="0.25">
      <c r="A15" s="87"/>
      <c r="B15" s="54" t="s">
        <v>62</v>
      </c>
      <c r="C15" s="18">
        <v>0</v>
      </c>
      <c r="D15" s="39">
        <f t="shared" si="1"/>
        <v>0</v>
      </c>
      <c r="E15" s="50"/>
      <c r="F15" s="50"/>
      <c r="G15" s="50"/>
      <c r="H15" s="50"/>
      <c r="I15" s="50"/>
      <c r="J15" s="50"/>
      <c r="K15" s="50"/>
      <c r="L15" s="50"/>
      <c r="M15" s="50"/>
      <c r="N15" s="50"/>
      <c r="O15" s="50"/>
      <c r="P15" s="50"/>
      <c r="Q15" s="49"/>
    </row>
    <row r="16" spans="1:17" ht="28.5" customHeight="1" x14ac:dyDescent="0.25">
      <c r="A16" s="87"/>
      <c r="B16" s="54" t="s">
        <v>63</v>
      </c>
      <c r="C16" s="18">
        <v>3</v>
      </c>
      <c r="D16" s="39">
        <f t="shared" si="1"/>
        <v>0</v>
      </c>
      <c r="E16" s="50"/>
      <c r="F16" s="50"/>
      <c r="G16" s="50"/>
      <c r="H16" s="50"/>
      <c r="I16" s="50"/>
      <c r="J16" s="50"/>
      <c r="K16" s="50"/>
      <c r="L16" s="50"/>
      <c r="M16" s="50"/>
      <c r="N16" s="50"/>
      <c r="O16" s="50"/>
      <c r="P16" s="50"/>
      <c r="Q16" s="49"/>
    </row>
    <row r="17" spans="1:17" ht="28.5" customHeight="1" x14ac:dyDescent="0.25">
      <c r="A17" s="87"/>
      <c r="B17" s="54" t="s">
        <v>64</v>
      </c>
      <c r="C17" s="18">
        <v>0</v>
      </c>
      <c r="D17" s="39">
        <f t="shared" si="1"/>
        <v>0</v>
      </c>
      <c r="E17" s="50"/>
      <c r="F17" s="50"/>
      <c r="G17" s="50"/>
      <c r="H17" s="50"/>
      <c r="I17" s="50"/>
      <c r="J17" s="50"/>
      <c r="K17" s="50"/>
      <c r="L17" s="50"/>
      <c r="M17" s="50"/>
      <c r="N17" s="50"/>
      <c r="O17" s="50"/>
      <c r="P17" s="50"/>
      <c r="Q17" s="49"/>
    </row>
    <row r="18" spans="1:17" ht="28.5" customHeight="1" x14ac:dyDescent="0.25">
      <c r="A18" s="87"/>
      <c r="B18" s="54" t="s">
        <v>65</v>
      </c>
      <c r="C18" s="18">
        <v>0</v>
      </c>
      <c r="D18" s="39">
        <f t="shared" si="1"/>
        <v>0</v>
      </c>
      <c r="E18" s="50"/>
      <c r="F18" s="50"/>
      <c r="G18" s="50"/>
      <c r="H18" s="50"/>
      <c r="I18" s="50"/>
      <c r="J18" s="50"/>
      <c r="K18" s="50"/>
      <c r="L18" s="50"/>
      <c r="M18" s="50"/>
      <c r="N18" s="50"/>
      <c r="O18" s="50"/>
      <c r="P18" s="50"/>
      <c r="Q18" s="49"/>
    </row>
    <row r="19" spans="1:17" ht="28.5" customHeight="1" x14ac:dyDescent="0.25">
      <c r="A19" s="87"/>
      <c r="B19" s="54" t="s">
        <v>66</v>
      </c>
      <c r="C19" s="18">
        <v>0</v>
      </c>
      <c r="D19" s="39">
        <f t="shared" si="1"/>
        <v>0</v>
      </c>
      <c r="E19" s="50"/>
      <c r="F19" s="50"/>
      <c r="G19" s="50"/>
      <c r="H19" s="50"/>
      <c r="I19" s="50"/>
      <c r="J19" s="50"/>
      <c r="K19" s="50"/>
      <c r="L19" s="50"/>
      <c r="M19" s="50"/>
      <c r="N19" s="50"/>
      <c r="O19" s="50"/>
      <c r="P19" s="50"/>
      <c r="Q19" s="49"/>
    </row>
    <row r="20" spans="1:17" ht="28.5" customHeight="1" x14ac:dyDescent="0.25">
      <c r="A20" s="87"/>
      <c r="B20" s="54" t="s">
        <v>67</v>
      </c>
      <c r="C20" s="18">
        <v>0</v>
      </c>
      <c r="D20" s="39">
        <f t="shared" si="1"/>
        <v>0</v>
      </c>
      <c r="E20" s="50"/>
      <c r="F20" s="50"/>
      <c r="G20" s="50"/>
      <c r="H20" s="50"/>
      <c r="I20" s="50"/>
      <c r="J20" s="50"/>
      <c r="K20" s="50"/>
      <c r="L20" s="50"/>
      <c r="M20" s="50"/>
      <c r="N20" s="50"/>
      <c r="O20" s="50"/>
      <c r="P20" s="50"/>
      <c r="Q20" s="49"/>
    </row>
    <row r="21" spans="1:17" ht="28.5" customHeight="1" x14ac:dyDescent="0.25">
      <c r="A21" s="87"/>
      <c r="B21" s="54" t="s">
        <v>68</v>
      </c>
      <c r="C21" s="18">
        <v>3</v>
      </c>
      <c r="D21" s="39">
        <f t="shared" si="1"/>
        <v>0</v>
      </c>
      <c r="E21" s="50"/>
      <c r="F21" s="50"/>
      <c r="G21" s="50"/>
      <c r="H21" s="50"/>
      <c r="I21" s="50"/>
      <c r="J21" s="50"/>
      <c r="K21" s="50"/>
      <c r="L21" s="50"/>
      <c r="M21" s="50"/>
      <c r="N21" s="50"/>
      <c r="O21" s="50"/>
      <c r="P21" s="50"/>
      <c r="Q21" s="49"/>
    </row>
    <row r="22" spans="1:17" ht="28.5" customHeight="1" x14ac:dyDescent="0.25">
      <c r="A22" s="87"/>
      <c r="B22" s="54" t="s">
        <v>69</v>
      </c>
      <c r="C22" s="18">
        <v>0</v>
      </c>
      <c r="D22" s="39">
        <f t="shared" si="1"/>
        <v>0</v>
      </c>
      <c r="E22" s="50"/>
      <c r="F22" s="50"/>
      <c r="G22" s="50"/>
      <c r="H22" s="50"/>
      <c r="I22" s="50"/>
      <c r="J22" s="50"/>
      <c r="K22" s="50"/>
      <c r="L22" s="50"/>
      <c r="M22" s="50"/>
      <c r="N22" s="50"/>
      <c r="O22" s="50"/>
      <c r="P22" s="50"/>
      <c r="Q22" s="49"/>
    </row>
    <row r="23" spans="1:17" ht="28.5" customHeight="1" x14ac:dyDescent="0.25">
      <c r="A23" s="87"/>
      <c r="B23" s="54" t="s">
        <v>70</v>
      </c>
      <c r="C23" s="18">
        <v>0</v>
      </c>
      <c r="D23" s="39">
        <f t="shared" si="1"/>
        <v>0</v>
      </c>
      <c r="E23" s="50"/>
      <c r="F23" s="50"/>
      <c r="G23" s="50"/>
      <c r="H23" s="50"/>
      <c r="I23" s="50"/>
      <c r="J23" s="50"/>
      <c r="K23" s="50"/>
      <c r="L23" s="50"/>
      <c r="M23" s="50"/>
      <c r="N23" s="50"/>
      <c r="O23" s="50"/>
      <c r="P23" s="50"/>
      <c r="Q23" s="49"/>
    </row>
    <row r="24" spans="1:17" ht="28.5" customHeight="1" x14ac:dyDescent="0.25">
      <c r="A24" s="87"/>
      <c r="B24" s="54" t="s">
        <v>71</v>
      </c>
      <c r="C24" s="18">
        <v>0</v>
      </c>
      <c r="D24" s="39">
        <f t="shared" si="1"/>
        <v>0</v>
      </c>
      <c r="E24" s="50"/>
      <c r="F24" s="50"/>
      <c r="G24" s="50"/>
      <c r="H24" s="50"/>
      <c r="I24" s="50"/>
      <c r="J24" s="50"/>
      <c r="K24" s="50"/>
      <c r="L24" s="50"/>
      <c r="M24" s="50"/>
      <c r="N24" s="50"/>
      <c r="O24" s="50"/>
      <c r="P24" s="50"/>
      <c r="Q24" s="49"/>
    </row>
    <row r="25" spans="1:17" ht="28.5" customHeight="1" x14ac:dyDescent="0.25">
      <c r="A25" s="87"/>
      <c r="B25" s="54" t="s">
        <v>72</v>
      </c>
      <c r="C25" s="18">
        <v>135</v>
      </c>
      <c r="D25" s="39">
        <f t="shared" si="1"/>
        <v>65</v>
      </c>
      <c r="E25" s="50"/>
      <c r="F25" s="50">
        <v>30</v>
      </c>
      <c r="G25" s="50">
        <v>2</v>
      </c>
      <c r="H25" s="50"/>
      <c r="I25" s="50">
        <v>33</v>
      </c>
      <c r="J25" s="50"/>
      <c r="K25" s="50"/>
      <c r="L25" s="50"/>
      <c r="M25" s="50"/>
      <c r="N25" s="50"/>
      <c r="O25" s="50"/>
      <c r="P25" s="50"/>
      <c r="Q25" s="49"/>
    </row>
    <row r="26" spans="1:17" ht="28.5" customHeight="1" x14ac:dyDescent="0.25">
      <c r="A26" s="87"/>
      <c r="B26" s="54" t="s">
        <v>73</v>
      </c>
      <c r="C26" s="18">
        <v>2</v>
      </c>
      <c r="D26" s="39">
        <f t="shared" si="1"/>
        <v>0</v>
      </c>
      <c r="E26" s="50"/>
      <c r="F26" s="50"/>
      <c r="G26" s="50"/>
      <c r="H26" s="50"/>
      <c r="I26" s="50"/>
      <c r="J26" s="50"/>
      <c r="K26" s="50"/>
      <c r="L26" s="50"/>
      <c r="M26" s="50"/>
      <c r="N26" s="50"/>
      <c r="O26" s="50"/>
      <c r="P26" s="50"/>
      <c r="Q26" s="49"/>
    </row>
    <row r="27" spans="1:17" ht="24" customHeight="1" x14ac:dyDescent="0.25">
      <c r="A27" s="87"/>
      <c r="B27" s="55" t="s">
        <v>75</v>
      </c>
      <c r="C27" s="18">
        <v>1</v>
      </c>
      <c r="D27" s="39">
        <f t="shared" si="1"/>
        <v>1</v>
      </c>
      <c r="E27" s="50"/>
      <c r="F27" s="50"/>
      <c r="G27" s="50">
        <v>1</v>
      </c>
      <c r="H27" s="50"/>
      <c r="I27" s="50"/>
      <c r="J27" s="50"/>
      <c r="K27" s="50"/>
      <c r="L27" s="50"/>
      <c r="M27" s="50"/>
      <c r="N27" s="50"/>
      <c r="O27" s="50"/>
      <c r="P27" s="50"/>
      <c r="Q27" s="49"/>
    </row>
    <row r="28" spans="1:17" ht="24" customHeight="1" x14ac:dyDescent="0.25">
      <c r="A28" s="87"/>
      <c r="B28" s="55" t="s">
        <v>76</v>
      </c>
      <c r="C28" s="18">
        <v>1</v>
      </c>
      <c r="D28" s="39">
        <f t="shared" si="1"/>
        <v>0</v>
      </c>
      <c r="E28" s="50"/>
      <c r="F28" s="50"/>
      <c r="G28" s="50"/>
      <c r="H28" s="50"/>
      <c r="I28" s="50"/>
      <c r="J28" s="50"/>
      <c r="K28" s="50"/>
      <c r="L28" s="50"/>
      <c r="M28" s="50"/>
      <c r="N28" s="50"/>
      <c r="O28" s="50"/>
      <c r="P28" s="50"/>
      <c r="Q28" s="49"/>
    </row>
    <row r="29" spans="1:17" ht="24" customHeight="1" x14ac:dyDescent="0.25">
      <c r="A29" s="87"/>
      <c r="B29" s="55" t="s">
        <v>77</v>
      </c>
      <c r="C29" s="18">
        <v>1</v>
      </c>
      <c r="D29" s="39">
        <f t="shared" si="1"/>
        <v>1</v>
      </c>
      <c r="E29" s="50"/>
      <c r="F29" s="50"/>
      <c r="G29" s="50"/>
      <c r="H29" s="50"/>
      <c r="I29" s="50"/>
      <c r="J29" s="50">
        <v>1</v>
      </c>
      <c r="K29" s="50"/>
      <c r="L29" s="50"/>
      <c r="M29" s="50"/>
      <c r="N29" s="50"/>
      <c r="O29" s="50"/>
      <c r="P29" s="50"/>
      <c r="Q29" s="49"/>
    </row>
    <row r="30" spans="1:17" ht="24" customHeight="1" x14ac:dyDescent="0.25">
      <c r="A30" s="87"/>
      <c r="B30" s="55" t="s">
        <v>78</v>
      </c>
      <c r="C30" s="18">
        <v>1</v>
      </c>
      <c r="D30" s="39">
        <f t="shared" si="1"/>
        <v>0</v>
      </c>
      <c r="E30" s="50"/>
      <c r="F30" s="50"/>
      <c r="G30" s="50"/>
      <c r="H30" s="50"/>
      <c r="I30" s="50"/>
      <c r="J30" s="50"/>
      <c r="K30" s="50"/>
      <c r="L30" s="50"/>
      <c r="M30" s="50"/>
      <c r="N30" s="50"/>
      <c r="O30" s="50"/>
      <c r="P30" s="50"/>
      <c r="Q30" s="49"/>
    </row>
    <row r="31" spans="1:17" ht="24" customHeight="1" x14ac:dyDescent="0.25">
      <c r="A31" s="87"/>
      <c r="B31" s="55" t="s">
        <v>79</v>
      </c>
      <c r="C31" s="18">
        <v>1</v>
      </c>
      <c r="D31" s="39">
        <f t="shared" si="1"/>
        <v>0</v>
      </c>
      <c r="E31" s="50"/>
      <c r="F31" s="50"/>
      <c r="G31" s="50"/>
      <c r="H31" s="50"/>
      <c r="I31" s="50"/>
      <c r="J31" s="50"/>
      <c r="K31" s="50"/>
      <c r="L31" s="50"/>
      <c r="M31" s="50"/>
      <c r="N31" s="50"/>
      <c r="O31" s="50"/>
      <c r="P31" s="50"/>
      <c r="Q31" s="49"/>
    </row>
    <row r="32" spans="1:17" ht="24" customHeight="1" x14ac:dyDescent="0.25">
      <c r="A32" s="87"/>
      <c r="B32" s="55" t="s">
        <v>80</v>
      </c>
      <c r="C32" s="18">
        <v>1</v>
      </c>
      <c r="D32" s="39">
        <f t="shared" si="1"/>
        <v>0</v>
      </c>
      <c r="E32" s="50"/>
      <c r="F32" s="50"/>
      <c r="G32" s="50"/>
      <c r="H32" s="50"/>
      <c r="I32" s="50"/>
      <c r="J32" s="50"/>
      <c r="K32" s="50"/>
      <c r="L32" s="50"/>
      <c r="M32" s="50"/>
      <c r="N32" s="50"/>
      <c r="O32" s="50"/>
      <c r="P32" s="50"/>
      <c r="Q32" s="49"/>
    </row>
    <row r="33" spans="1:17" ht="24" customHeight="1" x14ac:dyDescent="0.25">
      <c r="A33" s="87"/>
      <c r="B33" s="55" t="s">
        <v>81</v>
      </c>
      <c r="C33" s="18">
        <v>1</v>
      </c>
      <c r="D33" s="39">
        <f t="shared" si="1"/>
        <v>0</v>
      </c>
      <c r="E33" s="50"/>
      <c r="F33" s="50"/>
      <c r="G33" s="50"/>
      <c r="H33" s="50"/>
      <c r="I33" s="50"/>
      <c r="J33" s="50"/>
      <c r="K33" s="50"/>
      <c r="L33" s="50"/>
      <c r="M33" s="50"/>
      <c r="N33" s="50"/>
      <c r="O33" s="50"/>
      <c r="P33" s="50"/>
      <c r="Q33" s="49"/>
    </row>
    <row r="34" spans="1:17" ht="24" customHeight="1" x14ac:dyDescent="0.25">
      <c r="A34" s="87"/>
      <c r="B34" s="55" t="s">
        <v>82</v>
      </c>
      <c r="C34" s="18">
        <v>1</v>
      </c>
      <c r="D34" s="39">
        <f t="shared" si="1"/>
        <v>0</v>
      </c>
      <c r="E34" s="50"/>
      <c r="F34" s="50"/>
      <c r="G34" s="50"/>
      <c r="H34" s="50"/>
      <c r="I34" s="50"/>
      <c r="J34" s="50"/>
      <c r="K34" s="50"/>
      <c r="L34" s="50"/>
      <c r="M34" s="50"/>
      <c r="N34" s="50"/>
      <c r="O34" s="50"/>
      <c r="P34" s="50"/>
      <c r="Q34" s="49"/>
    </row>
    <row r="35" spans="1:17" ht="24" customHeight="1" x14ac:dyDescent="0.25">
      <c r="A35" s="87"/>
      <c r="B35" s="55" t="s">
        <v>83</v>
      </c>
      <c r="C35" s="18">
        <v>1</v>
      </c>
      <c r="D35" s="39">
        <f t="shared" si="1"/>
        <v>0</v>
      </c>
      <c r="E35" s="50"/>
      <c r="F35" s="50"/>
      <c r="G35" s="50"/>
      <c r="H35" s="50"/>
      <c r="I35" s="50"/>
      <c r="J35" s="50"/>
      <c r="K35" s="50"/>
      <c r="L35" s="50"/>
      <c r="M35" s="50"/>
      <c r="N35" s="50"/>
      <c r="O35" s="50"/>
      <c r="P35" s="50"/>
      <c r="Q35" s="49"/>
    </row>
    <row r="36" spans="1:17" ht="24" customHeight="1" x14ac:dyDescent="0.25">
      <c r="A36" s="87"/>
      <c r="B36" s="55" t="s">
        <v>84</v>
      </c>
      <c r="C36" s="18">
        <v>1</v>
      </c>
      <c r="D36" s="39">
        <f t="shared" si="1"/>
        <v>0</v>
      </c>
      <c r="E36" s="50"/>
      <c r="F36" s="50"/>
      <c r="G36" s="50"/>
      <c r="H36" s="50"/>
      <c r="I36" s="50"/>
      <c r="J36" s="50"/>
      <c r="K36" s="50"/>
      <c r="L36" s="50"/>
      <c r="M36" s="50"/>
      <c r="N36" s="50"/>
      <c r="O36" s="50"/>
      <c r="P36" s="50"/>
      <c r="Q36" s="49"/>
    </row>
    <row r="37" spans="1:17" ht="24" customHeight="1" x14ac:dyDescent="0.25">
      <c r="A37" s="87"/>
      <c r="B37" s="55" t="s">
        <v>85</v>
      </c>
      <c r="C37" s="18">
        <v>1</v>
      </c>
      <c r="D37" s="39">
        <f t="shared" si="1"/>
        <v>0</v>
      </c>
      <c r="E37" s="50"/>
      <c r="F37" s="50"/>
      <c r="G37" s="50"/>
      <c r="H37" s="50"/>
      <c r="I37" s="50"/>
      <c r="J37" s="50"/>
      <c r="K37" s="50"/>
      <c r="L37" s="50"/>
      <c r="M37" s="50"/>
      <c r="N37" s="50"/>
      <c r="O37" s="50"/>
      <c r="P37" s="50"/>
      <c r="Q37" s="49"/>
    </row>
    <row r="38" spans="1:17" ht="24" customHeight="1" thickBot="1" x14ac:dyDescent="0.3">
      <c r="A38" s="88"/>
      <c r="B38" s="56" t="s">
        <v>86</v>
      </c>
      <c r="C38" s="18">
        <v>1</v>
      </c>
      <c r="D38" s="39">
        <f t="shared" si="1"/>
        <v>0</v>
      </c>
      <c r="E38" s="50"/>
      <c r="F38" s="50"/>
      <c r="G38" s="50"/>
      <c r="H38" s="50"/>
      <c r="I38" s="50"/>
      <c r="J38" s="50"/>
      <c r="K38" s="50"/>
      <c r="L38" s="50"/>
      <c r="M38" s="50"/>
      <c r="N38" s="50"/>
      <c r="O38" s="50"/>
      <c r="P38" s="50"/>
      <c r="Q38" s="49"/>
    </row>
    <row r="39" spans="1:17" x14ac:dyDescent="0.25">
      <c r="C39" s="51">
        <f>SUM(C3:C38)</f>
        <v>185</v>
      </c>
      <c r="D39" s="52">
        <f>SUM(D3:D38)</f>
        <v>70</v>
      </c>
    </row>
    <row r="40" spans="1:17" x14ac:dyDescent="0.25">
      <c r="C40" s="25"/>
      <c r="D40" s="20">
        <f>D39/C39</f>
        <v>0.3783783783783784</v>
      </c>
    </row>
    <row r="41" spans="1:17" x14ac:dyDescent="0.25">
      <c r="C41" s="25"/>
      <c r="D41" s="25"/>
    </row>
    <row r="50" spans="3:3" x14ac:dyDescent="0.25">
      <c r="C50" s="61"/>
    </row>
    <row r="51" spans="3:3" x14ac:dyDescent="0.25">
      <c r="C51" s="61"/>
    </row>
    <row r="52" spans="3:3" x14ac:dyDescent="0.25">
      <c r="C52" s="61"/>
    </row>
    <row r="53" spans="3:3" x14ac:dyDescent="0.25">
      <c r="C53" s="61"/>
    </row>
    <row r="54" spans="3:3" x14ac:dyDescent="0.25">
      <c r="C54" s="61"/>
    </row>
    <row r="55" spans="3:3" x14ac:dyDescent="0.25">
      <c r="C55" s="61"/>
    </row>
    <row r="56" spans="3:3" x14ac:dyDescent="0.25">
      <c r="C56" s="61"/>
    </row>
    <row r="57" spans="3:3" x14ac:dyDescent="0.25">
      <c r="C57" s="61"/>
    </row>
    <row r="58" spans="3:3" x14ac:dyDescent="0.25">
      <c r="C58" s="61"/>
    </row>
    <row r="59" spans="3:3" x14ac:dyDescent="0.25">
      <c r="C59" s="61"/>
    </row>
    <row r="60" spans="3:3" x14ac:dyDescent="0.25">
      <c r="C60" s="61"/>
    </row>
    <row r="61" spans="3:3" x14ac:dyDescent="0.25">
      <c r="C61" s="61"/>
    </row>
    <row r="62" spans="3:3" x14ac:dyDescent="0.25">
      <c r="C62" s="61"/>
    </row>
    <row r="63" spans="3:3" x14ac:dyDescent="0.25">
      <c r="C63" s="61"/>
    </row>
    <row r="64" spans="3:3" x14ac:dyDescent="0.25">
      <c r="C64" s="61"/>
    </row>
    <row r="65" spans="3:3" x14ac:dyDescent="0.25">
      <c r="C65" s="61"/>
    </row>
  </sheetData>
  <sheetProtection algorithmName="SHA-512" hashValue="ihszYYwjEhmbCp86TWv4AJxwDNh+kaZvGCJ/BT6mYBvgZCiWVppBARpUUVILzYrLPMzcpzeGcRruExEflL+9RA==" saltValue="HpasQ9oziug5txULgnlewQ==" spinCount="100000" sheet="1" objects="1" scenarios="1" autoFilter="0"/>
  <mergeCells count="2">
    <mergeCell ref="A11:A38"/>
    <mergeCell ref="A1:A2"/>
  </mergeCells>
  <conditionalFormatting sqref="C3:D3 D4:D10">
    <cfRule type="dataBar" priority="3">
      <dataBar>
        <cfvo type="min"/>
        <cfvo type="max"/>
        <color rgb="FF008AEF"/>
      </dataBar>
      <extLst>
        <ext xmlns:x14="http://schemas.microsoft.com/office/spreadsheetml/2009/9/main" uri="{B025F937-C7B1-47D3-B67F-A62EFF666E3E}">
          <x14:id>{E3F38F53-C18E-48DB-859C-1A4A006DE9B2}</x14:id>
        </ext>
      </extLst>
    </cfRule>
  </conditionalFormatting>
  <conditionalFormatting sqref="C4:D4">
    <cfRule type="dataBar" priority="4">
      <dataBar>
        <cfvo type="min"/>
        <cfvo type="max"/>
        <color rgb="FF008AEF"/>
      </dataBar>
      <extLst>
        <ext xmlns:x14="http://schemas.microsoft.com/office/spreadsheetml/2009/9/main" uri="{B025F937-C7B1-47D3-B67F-A62EFF666E3E}">
          <x14:id>{41DD8416-D82C-4D45-99CC-C2F7629638D8}</x14:id>
        </ext>
      </extLst>
    </cfRule>
  </conditionalFormatting>
  <conditionalFormatting sqref="C5:D5">
    <cfRule type="dataBar" priority="5">
      <dataBar>
        <cfvo type="min"/>
        <cfvo type="max"/>
        <color rgb="FF008AEF"/>
      </dataBar>
      <extLst>
        <ext xmlns:x14="http://schemas.microsoft.com/office/spreadsheetml/2009/9/main" uri="{B025F937-C7B1-47D3-B67F-A62EFF666E3E}">
          <x14:id>{CC32CC03-CC49-4A02-A5E0-A0523AF52679}</x14:id>
        </ext>
      </extLst>
    </cfRule>
  </conditionalFormatting>
  <conditionalFormatting sqref="C6:D6">
    <cfRule type="dataBar" priority="6">
      <dataBar>
        <cfvo type="min"/>
        <cfvo type="max"/>
        <color rgb="FF008AEF"/>
      </dataBar>
      <extLst>
        <ext xmlns:x14="http://schemas.microsoft.com/office/spreadsheetml/2009/9/main" uri="{B025F937-C7B1-47D3-B67F-A62EFF666E3E}">
          <x14:id>{32B39855-4919-4F61-8231-4B20F12FD696}</x14:id>
        </ext>
      </extLst>
    </cfRule>
  </conditionalFormatting>
  <conditionalFormatting sqref="C7:D7">
    <cfRule type="dataBar" priority="7">
      <dataBar>
        <cfvo type="min"/>
        <cfvo type="max"/>
        <color rgb="FF008AEF"/>
      </dataBar>
      <extLst>
        <ext xmlns:x14="http://schemas.microsoft.com/office/spreadsheetml/2009/9/main" uri="{B025F937-C7B1-47D3-B67F-A62EFF666E3E}">
          <x14:id>{21FA2BF9-E75B-4779-8488-3C7A3A527691}</x14:id>
        </ext>
      </extLst>
    </cfRule>
  </conditionalFormatting>
  <conditionalFormatting sqref="C8:D8">
    <cfRule type="dataBar" priority="8">
      <dataBar>
        <cfvo type="min"/>
        <cfvo type="max"/>
        <color rgb="FF008AEF"/>
      </dataBar>
      <extLst>
        <ext xmlns:x14="http://schemas.microsoft.com/office/spreadsheetml/2009/9/main" uri="{B025F937-C7B1-47D3-B67F-A62EFF666E3E}">
          <x14:id>{DAE07B51-DDA2-4B24-80DF-DD6D04231277}</x14:id>
        </ext>
      </extLst>
    </cfRule>
  </conditionalFormatting>
  <conditionalFormatting sqref="C9:D9">
    <cfRule type="dataBar" priority="9">
      <dataBar>
        <cfvo type="min"/>
        <cfvo type="max"/>
        <color rgb="FF008AEF"/>
      </dataBar>
      <extLst>
        <ext xmlns:x14="http://schemas.microsoft.com/office/spreadsheetml/2009/9/main" uri="{B025F937-C7B1-47D3-B67F-A62EFF666E3E}">
          <x14:id>{9D77EED3-A6F2-44A4-8D4C-9B9DCE6DE626}</x14:id>
        </ext>
      </extLst>
    </cfRule>
  </conditionalFormatting>
  <conditionalFormatting sqref="C10:D10">
    <cfRule type="dataBar" priority="10">
      <dataBar>
        <cfvo type="min"/>
        <cfvo type="max"/>
        <color rgb="FF008AEF"/>
      </dataBar>
      <extLst>
        <ext xmlns:x14="http://schemas.microsoft.com/office/spreadsheetml/2009/9/main" uri="{B025F937-C7B1-47D3-B67F-A62EFF666E3E}">
          <x14:id>{15A3DB9D-1712-4D58-9FBB-75278FFD90A4}</x14:id>
        </ext>
      </extLst>
    </cfRule>
  </conditionalFormatting>
  <conditionalFormatting sqref="C11:D11">
    <cfRule type="dataBar" priority="12">
      <dataBar>
        <cfvo type="min"/>
        <cfvo type="max"/>
        <color rgb="FF008AEF"/>
      </dataBar>
      <extLst>
        <ext xmlns:x14="http://schemas.microsoft.com/office/spreadsheetml/2009/9/main" uri="{B025F937-C7B1-47D3-B67F-A62EFF666E3E}">
          <x14:id>{A4FE4C37-91BE-4E0B-8CB0-127A0164555D}</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{5FF05021-4CDD-4679-AC1A-BC386D3D5C47}</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{26E7CAD6-589C-4195-96D4-C30A8E6CA865}</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{F2A0F53E-DF2C-4550-8CD5-CDF97552E14C}</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{9869E268-2937-42F0-B071-72F8B815A6A4}</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{AAA0F2EA-0934-4644-9BF2-8FC74598BD26}</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{7F110DA4-E993-4D11-9C81-0CEEDB957B65}</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{142BD907-7C5C-4114-988E-87F33E89E039}</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{EC85C143-D34B-4710-80AD-8F642B2AA70C}</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{4A2E086C-C7EB-4139-90C6-A8ADD4BCB3A4}</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{8CCAA39B-DC70-45EA-84F9-37F248C28E4B}</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{C5F05F19-1D18-4395-81CA-96BB405D5A22}</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{99A1F3F4-AAE6-4520-9CA3-0D18FFCA59C5}</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{B315D4D2-638E-423A-BE0B-F45E06981F63}</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{3C5900AC-EE97-4703-ABBF-4E71E8E5182D}</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{A4E93A9D-DCE9-4FDD-80EB-FCE97A0BB31E}</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{7764C4A0-F054-468B-B0E3-C4220AC64E10}</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{57AB2211-C794-47E4-A9E5-9E5B880466C9}</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{8C8C3D0A-46F0-4345-A806-014F41FE8A31}</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{179674A6-D298-4EB5-AFA0-5FAC01DD1D3F}</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{E45765EA-4F5B-4673-A35E-4FE5470EA56D}</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{ACC994DD-FDE8-4EE0-BF87-33A3105ED2CF}</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{72E98F58-00CB-4316-93FA-19832B4EE0CD}</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{88AAFD4B-E0E4-4378-8031-20519107337F}</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{2CC65357-7C69-44C0-AFE4-96A17459D2B4}</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{D33AA4BC-2811-4A60-BEE6-1DD454E8556E}</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{6239897A-42FB-4884-988B-C967C786B03E}</x14:id>
        </ext>
      </extLst>
    </cfRule>
  </conditionalFormatting>
  <conditionalFormatting sqref="C38:D38">
    <cfRule type="dataBar" priority="13">
      <dataBar>
        <cfvo type="min"/>
        <cfvo type="max"/>
        <color rgb="FF008AEF"/>
      </dataBar>
      <extLst>
        <ext xmlns:x14="http://schemas.microsoft.com/office/spreadsheetml/2009/9/main" uri="{B025F937-C7B1-47D3-B67F-A62EFF666E3E}">
          <x14:id>{1CDED3B9-D646-426E-9893-862A47D0501C}</x14:id>
        </ext>
      </extLst>
    </cfRule>
  </conditionalFormatting>
  <conditionalFormatting sqref="E3:G34">
    <cfRule type="cellIs" dxfId="13" priority="1" operator="greaterThan">
      <formula>0</formula>
    </cfRule>
  </conditionalFormatting>
  <conditionalFormatting sqref="H11:P34 E35:P38">
    <cfRule type="cellIs" dxfId="12" priority="11" operator="greaterThan">
      <formula>0</formula>
    </cfRule>
  </conditionalFormatting>
  <conditionalFormatting sqref="H3:Q10">
    <cfRule type="cellIs" dxfId="11"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3F38F53-C18E-48DB-859C-1A4A006DE9B2}">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41DD8416-D82C-4D45-99CC-C2F7629638D8}">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CC32CC03-CC49-4A02-A5E0-A0523AF5267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32B39855-4919-4F61-8231-4B20F12FD69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21FA2BF9-E75B-4779-8488-3C7A3A527691}">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AE07B51-DDA2-4B24-80DF-DD6D04231277}">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9D77EED3-A6F2-44A4-8D4C-9B9DCE6DE62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5A3DB9D-1712-4D58-9FBB-75278FFD90A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A4FE4C37-91BE-4E0B-8CB0-127A0164555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5FF05021-4CDD-4679-AC1A-BC386D3D5C4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26E7CAD6-589C-4195-96D4-C30A8E6CA865}">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F2A0F53E-DF2C-4550-8CD5-CDF97552E14C}">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9869E268-2937-42F0-B071-72F8B815A6A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AA0F2EA-0934-4644-9BF2-8FC74598BD2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7F110DA4-E993-4D11-9C81-0CEEDB957B65}">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42BD907-7C5C-4114-988E-87F33E89E039}">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C85C143-D34B-4710-80AD-8F642B2AA70C}">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4A2E086C-C7EB-4139-90C6-A8ADD4BCB3A4}">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CCAA39B-DC70-45EA-84F9-37F248C28E4B}">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5F05F19-1D18-4395-81CA-96BB405D5A22}">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9A1F3F4-AAE6-4520-9CA3-0D18FFCA59C5}">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B315D4D2-638E-423A-BE0B-F45E06981F63}">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3C5900AC-EE97-4703-ABBF-4E71E8E5182D}">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A4E93A9D-DCE9-4FDD-80EB-FCE97A0BB31E}">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7764C4A0-F054-468B-B0E3-C4220AC64E1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57AB2211-C794-47E4-A9E5-9E5B880466C9}">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8C8C3D0A-46F0-4345-A806-014F41FE8A31}">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179674A6-D298-4EB5-AFA0-5FAC01DD1D3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E45765EA-4F5B-4673-A35E-4FE5470EA56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ACC994DD-FDE8-4EE0-BF87-33A3105ED2CF}">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72E98F58-00CB-4316-93FA-19832B4EE0CD}">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88AAFD4B-E0E4-4378-8031-20519107337F}">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2CC65357-7C69-44C0-AFE4-96A17459D2B4}">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D33AA4BC-2811-4A60-BEE6-1DD454E8556E}">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6239897A-42FB-4884-988B-C967C786B03E}">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1CDED3B9-D646-426E-9893-862A47D0501C}">
            <x14:dataBar minLength="0" maxLength="100" gradient="0">
              <x14:cfvo type="autoMin"/>
              <x14:cfvo type="autoMax"/>
              <x14:negativeFillColor rgb="FFFF0000"/>
              <x14:axisColor rgb="FF000000"/>
            </x14:dataBar>
          </x14:cfRule>
          <xm:sqref>C38:D38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'C:\Users\108720436\Desktop\16. PUMI 2025\II TRIMESTRE\JUNIO\DR1 CENTRAL\[D2 Merced PUMI 2025 Junio.xlsx]DAT1'!#REF!</xm:f>
          </x14:formula1>
          <xm:sqref>R11:BN39 E39:Q39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9"/>
  <sheetViews>
    <sheetView zoomScale="90" zoomScaleNormal="90" workbookViewId="0">
      <selection activeCell="K6" sqref="K6"/>
    </sheetView>
  </sheetViews>
  <sheetFormatPr baseColWidth="10" defaultColWidth="13.140625" defaultRowHeight="15" x14ac:dyDescent="0.25"/>
  <cols>
    <col min="1" max="1" width="10.5703125" style="4" customWidth="1"/>
    <col min="2" max="2" width="103.5703125" style="4" customWidth="1"/>
    <col min="3" max="3" width="26.85546875" style="4" customWidth="1"/>
    <col min="4" max="4" width="13.140625" style="4"/>
    <col min="5" max="16" width="15.5703125" style="4" customWidth="1"/>
    <col min="17" max="16384" width="13.140625" style="4"/>
  </cols>
  <sheetData>
    <row r="1" spans="1:16" ht="15.75" thickBot="1" x14ac:dyDescent="0.3">
      <c r="A1" s="2" t="s">
        <v>1</v>
      </c>
      <c r="B1" s="1" t="s">
        <v>30</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s="7" customFormat="1" ht="15.75" thickBot="1" x14ac:dyDescent="0.3">
      <c r="A2" s="5"/>
      <c r="B2" s="1"/>
      <c r="C2" s="6">
        <v>2026</v>
      </c>
      <c r="D2" s="6" t="s">
        <v>16</v>
      </c>
      <c r="E2" s="48"/>
      <c r="F2" s="48"/>
      <c r="G2" s="48"/>
      <c r="H2" s="48"/>
      <c r="I2" s="48"/>
      <c r="J2" s="48"/>
      <c r="K2" s="48"/>
      <c r="L2" s="48"/>
      <c r="M2" s="48"/>
      <c r="N2" s="48"/>
      <c r="O2" s="48"/>
      <c r="P2" s="48"/>
    </row>
    <row r="3" spans="1:16" ht="81" customHeight="1" thickBot="1" x14ac:dyDescent="0.3">
      <c r="A3" s="9" t="s">
        <v>18</v>
      </c>
      <c r="B3" s="21" t="s">
        <v>17</v>
      </c>
      <c r="C3" s="10">
        <v>2</v>
      </c>
      <c r="D3" s="39">
        <f>SUM(E3:P3)</f>
        <v>2</v>
      </c>
      <c r="E3" s="50">
        <v>1</v>
      </c>
      <c r="F3" s="50"/>
      <c r="G3" s="50"/>
      <c r="H3" s="50">
        <v>1</v>
      </c>
      <c r="I3" s="50"/>
      <c r="J3" s="50"/>
      <c r="K3" s="50"/>
      <c r="L3" s="50"/>
      <c r="M3" s="50"/>
      <c r="N3" s="50"/>
      <c r="O3" s="50"/>
      <c r="P3" s="50"/>
    </row>
    <row r="4" spans="1:16" ht="81" customHeight="1" thickBot="1" x14ac:dyDescent="0.3">
      <c r="A4" s="12" t="s">
        <v>20</v>
      </c>
      <c r="B4" s="22" t="s">
        <v>19</v>
      </c>
      <c r="C4" s="13">
        <v>2</v>
      </c>
      <c r="D4" s="39">
        <f t="shared" ref="D4:D8" si="0">SUM(E4:P4)</f>
        <v>1</v>
      </c>
      <c r="E4" s="50">
        <v>0</v>
      </c>
      <c r="F4" s="50">
        <v>0</v>
      </c>
      <c r="G4" s="50">
        <v>0</v>
      </c>
      <c r="H4" s="50">
        <v>0</v>
      </c>
      <c r="I4" s="50">
        <v>1</v>
      </c>
      <c r="J4" s="50"/>
      <c r="K4" s="50"/>
      <c r="L4" s="50"/>
      <c r="M4" s="50"/>
      <c r="N4" s="50"/>
      <c r="O4" s="50"/>
      <c r="P4" s="50"/>
    </row>
    <row r="5" spans="1:16" ht="81" customHeight="1" thickBot="1" x14ac:dyDescent="0.3">
      <c r="A5" s="15" t="s">
        <v>22</v>
      </c>
      <c r="B5" s="23" t="s">
        <v>27</v>
      </c>
      <c r="C5" s="16">
        <v>1</v>
      </c>
      <c r="D5" s="39">
        <f t="shared" si="0"/>
        <v>1</v>
      </c>
      <c r="E5" s="50">
        <v>0</v>
      </c>
      <c r="F5" s="50">
        <v>0</v>
      </c>
      <c r="G5" s="50">
        <v>0</v>
      </c>
      <c r="H5" s="50">
        <v>0</v>
      </c>
      <c r="I5" s="50">
        <v>1</v>
      </c>
      <c r="J5" s="50"/>
      <c r="K5" s="50"/>
      <c r="L5" s="50"/>
      <c r="M5" s="50"/>
      <c r="N5" s="50"/>
      <c r="O5" s="50"/>
      <c r="P5" s="50"/>
    </row>
    <row r="6" spans="1:16" ht="81" customHeight="1" thickBot="1" x14ac:dyDescent="0.3">
      <c r="A6" s="17" t="s">
        <v>18</v>
      </c>
      <c r="B6" s="21" t="s">
        <v>29</v>
      </c>
      <c r="C6" s="18">
        <v>1</v>
      </c>
      <c r="D6" s="39">
        <f t="shared" si="0"/>
        <v>1</v>
      </c>
      <c r="E6" s="50"/>
      <c r="F6" s="50"/>
      <c r="G6" s="50">
        <v>1</v>
      </c>
      <c r="H6" s="50"/>
      <c r="I6" s="50"/>
      <c r="J6" s="50"/>
      <c r="K6" s="50"/>
      <c r="L6" s="50"/>
      <c r="M6" s="50"/>
      <c r="N6" s="50"/>
      <c r="O6" s="50"/>
      <c r="P6" s="50"/>
    </row>
    <row r="7" spans="1:16" ht="81" customHeight="1" thickBot="1" x14ac:dyDescent="0.3">
      <c r="A7" s="17" t="s">
        <v>18</v>
      </c>
      <c r="B7" s="21" t="s">
        <v>25</v>
      </c>
      <c r="C7" s="17">
        <v>2</v>
      </c>
      <c r="D7" s="39">
        <f t="shared" si="0"/>
        <v>1</v>
      </c>
      <c r="E7" s="50"/>
      <c r="F7" s="50"/>
      <c r="G7" s="50"/>
      <c r="H7" s="50"/>
      <c r="I7" s="50"/>
      <c r="J7" s="50">
        <v>1</v>
      </c>
      <c r="K7" s="50"/>
      <c r="L7" s="50"/>
      <c r="M7" s="50"/>
      <c r="N7" s="50"/>
      <c r="O7" s="50"/>
      <c r="P7" s="50"/>
    </row>
    <row r="8" spans="1:16" ht="81" customHeight="1" thickBot="1" x14ac:dyDescent="0.3">
      <c r="A8" s="17" t="s">
        <v>18</v>
      </c>
      <c r="B8" s="24" t="s">
        <v>26</v>
      </c>
      <c r="C8" s="17">
        <v>1</v>
      </c>
      <c r="D8" s="39">
        <f t="shared" si="0"/>
        <v>1</v>
      </c>
      <c r="E8" s="50"/>
      <c r="F8" s="50"/>
      <c r="G8" s="50"/>
      <c r="H8" s="50">
        <v>1</v>
      </c>
      <c r="I8" s="50"/>
      <c r="J8" s="50"/>
      <c r="K8" s="50"/>
      <c r="L8" s="50"/>
      <c r="M8" s="50"/>
      <c r="N8" s="50"/>
      <c r="O8" s="50"/>
      <c r="P8" s="50"/>
    </row>
    <row r="9" spans="1:16" ht="28.5" customHeight="1" x14ac:dyDescent="0.25">
      <c r="A9" s="86" t="s">
        <v>87</v>
      </c>
      <c r="B9" s="54" t="s">
        <v>59</v>
      </c>
      <c r="C9" s="17"/>
      <c r="D9" s="39">
        <f t="shared" ref="D9:D36" si="1">SUM(E9:P9)</f>
        <v>0</v>
      </c>
      <c r="E9" s="50"/>
      <c r="F9" s="50"/>
      <c r="G9" s="50"/>
      <c r="H9" s="50"/>
      <c r="I9" s="50"/>
      <c r="J9" s="50"/>
      <c r="K9" s="50"/>
      <c r="L9" s="50"/>
      <c r="M9" s="50"/>
      <c r="N9" s="50"/>
      <c r="O9" s="50"/>
      <c r="P9" s="50"/>
    </row>
    <row r="10" spans="1:16" ht="28.5" customHeight="1" x14ac:dyDescent="0.25">
      <c r="A10" s="87"/>
      <c r="B10" s="54" t="s">
        <v>74</v>
      </c>
      <c r="C10" s="17"/>
      <c r="D10" s="39">
        <f t="shared" si="1"/>
        <v>0</v>
      </c>
      <c r="E10" s="50"/>
      <c r="F10" s="50"/>
      <c r="G10" s="50"/>
      <c r="H10" s="50"/>
      <c r="I10" s="50"/>
      <c r="J10" s="50"/>
      <c r="K10" s="50"/>
      <c r="L10" s="50"/>
      <c r="M10" s="50"/>
      <c r="N10" s="50"/>
      <c r="O10" s="50"/>
      <c r="P10" s="50"/>
    </row>
    <row r="11" spans="1:16" ht="28.5" customHeight="1" x14ac:dyDescent="0.25">
      <c r="A11" s="87"/>
      <c r="B11" s="54" t="s">
        <v>60</v>
      </c>
      <c r="C11" s="57">
        <v>32</v>
      </c>
      <c r="D11" s="39">
        <f t="shared" si="1"/>
        <v>15</v>
      </c>
      <c r="E11" s="50">
        <v>5</v>
      </c>
      <c r="F11" s="50">
        <v>1</v>
      </c>
      <c r="G11" s="50">
        <v>1</v>
      </c>
      <c r="H11" s="50">
        <v>5</v>
      </c>
      <c r="I11" s="50">
        <v>3</v>
      </c>
      <c r="J11" s="50"/>
      <c r="K11" s="50"/>
      <c r="L11" s="50"/>
      <c r="M11" s="50"/>
      <c r="N11" s="50"/>
      <c r="O11" s="50"/>
      <c r="P11" s="50"/>
    </row>
    <row r="12" spans="1:16" ht="28.5" customHeight="1" x14ac:dyDescent="0.25">
      <c r="A12" s="87"/>
      <c r="B12" s="54" t="s">
        <v>61</v>
      </c>
      <c r="C12" s="57">
        <v>29</v>
      </c>
      <c r="D12" s="39">
        <f t="shared" si="1"/>
        <v>32</v>
      </c>
      <c r="E12" s="50"/>
      <c r="F12" s="50"/>
      <c r="G12" s="50">
        <v>4</v>
      </c>
      <c r="H12" s="50">
        <v>27</v>
      </c>
      <c r="I12" s="50"/>
      <c r="J12" s="50">
        <v>1</v>
      </c>
      <c r="K12" s="50"/>
      <c r="L12" s="50"/>
      <c r="M12" s="50"/>
      <c r="N12" s="50"/>
      <c r="O12" s="50"/>
      <c r="P12" s="50"/>
    </row>
    <row r="13" spans="1:16" ht="28.5" customHeight="1" x14ac:dyDescent="0.25">
      <c r="A13" s="87"/>
      <c r="B13" s="54" t="s">
        <v>62</v>
      </c>
      <c r="C13" s="57">
        <v>0</v>
      </c>
      <c r="D13" s="39">
        <f t="shared" si="1"/>
        <v>0</v>
      </c>
      <c r="E13" s="50"/>
      <c r="F13" s="50"/>
      <c r="G13" s="50"/>
      <c r="H13" s="50"/>
      <c r="I13" s="50"/>
      <c r="J13" s="50"/>
      <c r="K13" s="50"/>
      <c r="L13" s="50"/>
      <c r="M13" s="50"/>
      <c r="N13" s="50"/>
      <c r="O13" s="50"/>
      <c r="P13" s="50"/>
    </row>
    <row r="14" spans="1:16" ht="28.5" customHeight="1" x14ac:dyDescent="0.25">
      <c r="A14" s="87"/>
      <c r="B14" s="54" t="s">
        <v>63</v>
      </c>
      <c r="C14" s="57">
        <v>9</v>
      </c>
      <c r="D14" s="39">
        <f t="shared" si="1"/>
        <v>0</v>
      </c>
      <c r="E14" s="50"/>
      <c r="F14" s="50"/>
      <c r="G14" s="50"/>
      <c r="H14" s="50"/>
      <c r="I14" s="50"/>
      <c r="J14" s="50"/>
      <c r="K14" s="50"/>
      <c r="L14" s="50"/>
      <c r="M14" s="50"/>
      <c r="N14" s="50"/>
      <c r="O14" s="50"/>
      <c r="P14" s="50"/>
    </row>
    <row r="15" spans="1:16" ht="28.5" customHeight="1" x14ac:dyDescent="0.25">
      <c r="A15" s="87"/>
      <c r="B15" s="54" t="s">
        <v>64</v>
      </c>
      <c r="C15" s="57">
        <v>1</v>
      </c>
      <c r="D15" s="39">
        <f t="shared" si="1"/>
        <v>1</v>
      </c>
      <c r="E15" s="50"/>
      <c r="F15" s="50">
        <v>1</v>
      </c>
      <c r="G15" s="50"/>
      <c r="H15" s="50"/>
      <c r="I15" s="50"/>
      <c r="J15" s="50"/>
      <c r="K15" s="50"/>
      <c r="L15" s="50"/>
      <c r="M15" s="50"/>
      <c r="N15" s="50"/>
      <c r="O15" s="50"/>
      <c r="P15" s="50"/>
    </row>
    <row r="16" spans="1:16" ht="28.5" customHeight="1" x14ac:dyDescent="0.25">
      <c r="A16" s="87"/>
      <c r="B16" s="54" t="s">
        <v>65</v>
      </c>
      <c r="C16" s="57">
        <v>0</v>
      </c>
      <c r="D16" s="39">
        <f t="shared" si="1"/>
        <v>0</v>
      </c>
      <c r="E16" s="50"/>
      <c r="F16" s="50"/>
      <c r="G16" s="50"/>
      <c r="H16" s="50"/>
      <c r="I16" s="50"/>
      <c r="J16" s="50"/>
      <c r="K16" s="50"/>
      <c r="L16" s="50"/>
      <c r="M16" s="50"/>
      <c r="N16" s="50"/>
      <c r="O16" s="50"/>
      <c r="P16" s="50"/>
    </row>
    <row r="17" spans="1:16" ht="28.5" customHeight="1" x14ac:dyDescent="0.25">
      <c r="A17" s="87"/>
      <c r="B17" s="54" t="s">
        <v>66</v>
      </c>
      <c r="C17" s="57">
        <v>1</v>
      </c>
      <c r="D17" s="39">
        <f t="shared" si="1"/>
        <v>1</v>
      </c>
      <c r="E17" s="50">
        <v>1</v>
      </c>
      <c r="F17" s="50"/>
      <c r="G17" s="50"/>
      <c r="H17" s="50"/>
      <c r="I17" s="50"/>
      <c r="J17" s="50"/>
      <c r="K17" s="50"/>
      <c r="L17" s="50"/>
      <c r="M17" s="50"/>
      <c r="N17" s="50"/>
      <c r="O17" s="50"/>
      <c r="P17" s="50"/>
    </row>
    <row r="18" spans="1:16" ht="28.5" customHeight="1" x14ac:dyDescent="0.25">
      <c r="A18" s="87"/>
      <c r="B18" s="54" t="s">
        <v>67</v>
      </c>
      <c r="C18" s="57">
        <v>1</v>
      </c>
      <c r="D18" s="39">
        <f t="shared" si="1"/>
        <v>1</v>
      </c>
      <c r="E18" s="50">
        <v>1</v>
      </c>
      <c r="F18" s="50"/>
      <c r="G18" s="50"/>
      <c r="H18" s="50"/>
      <c r="I18" s="50"/>
      <c r="J18" s="50"/>
      <c r="K18" s="50"/>
      <c r="L18" s="50"/>
      <c r="M18" s="50"/>
      <c r="N18" s="50"/>
      <c r="O18" s="50"/>
      <c r="P18" s="50"/>
    </row>
    <row r="19" spans="1:16" ht="28.5" customHeight="1" x14ac:dyDescent="0.25">
      <c r="A19" s="87"/>
      <c r="B19" s="54" t="s">
        <v>68</v>
      </c>
      <c r="C19" s="57">
        <v>5</v>
      </c>
      <c r="D19" s="39">
        <f t="shared" si="1"/>
        <v>1</v>
      </c>
      <c r="E19" s="50"/>
      <c r="F19" s="50"/>
      <c r="G19" s="50"/>
      <c r="H19" s="50"/>
      <c r="I19" s="50">
        <v>1</v>
      </c>
      <c r="J19" s="50"/>
      <c r="K19" s="50"/>
      <c r="L19" s="50"/>
      <c r="M19" s="50"/>
      <c r="N19" s="50"/>
      <c r="O19" s="50"/>
      <c r="P19" s="50"/>
    </row>
    <row r="20" spans="1:16" ht="28.5" customHeight="1" x14ac:dyDescent="0.25">
      <c r="A20" s="87"/>
      <c r="B20" s="54" t="s">
        <v>69</v>
      </c>
      <c r="C20" s="57">
        <v>2</v>
      </c>
      <c r="D20" s="39">
        <f t="shared" si="1"/>
        <v>2</v>
      </c>
      <c r="E20" s="50"/>
      <c r="F20" s="50"/>
      <c r="G20" s="50"/>
      <c r="H20" s="50">
        <v>2</v>
      </c>
      <c r="I20" s="50"/>
      <c r="J20" s="50"/>
      <c r="K20" s="50"/>
      <c r="L20" s="50"/>
      <c r="M20" s="50"/>
      <c r="N20" s="50"/>
      <c r="O20" s="50"/>
      <c r="P20" s="50"/>
    </row>
    <row r="21" spans="1:16" ht="28.5" customHeight="1" x14ac:dyDescent="0.25">
      <c r="A21" s="87"/>
      <c r="B21" s="54" t="s">
        <v>70</v>
      </c>
      <c r="C21" s="57">
        <v>0</v>
      </c>
      <c r="D21" s="39">
        <f t="shared" si="1"/>
        <v>0</v>
      </c>
      <c r="E21" s="50"/>
      <c r="F21" s="50"/>
      <c r="G21" s="50"/>
      <c r="H21" s="50"/>
      <c r="I21" s="50"/>
      <c r="J21" s="50"/>
      <c r="K21" s="50"/>
      <c r="L21" s="50"/>
      <c r="M21" s="50"/>
      <c r="N21" s="50"/>
      <c r="O21" s="50"/>
      <c r="P21" s="50"/>
    </row>
    <row r="22" spans="1:16" ht="28.5" customHeight="1" x14ac:dyDescent="0.25">
      <c r="A22" s="87"/>
      <c r="B22" s="54" t="s">
        <v>71</v>
      </c>
      <c r="C22" s="57">
        <v>0</v>
      </c>
      <c r="D22" s="39">
        <f t="shared" si="1"/>
        <v>0</v>
      </c>
      <c r="E22" s="50"/>
      <c r="F22" s="50"/>
      <c r="G22" s="50"/>
      <c r="H22" s="50"/>
      <c r="I22" s="50"/>
      <c r="J22" s="50"/>
      <c r="K22" s="50"/>
      <c r="L22" s="50"/>
      <c r="M22" s="50"/>
      <c r="N22" s="50"/>
      <c r="O22" s="50"/>
      <c r="P22" s="50"/>
    </row>
    <row r="23" spans="1:16" ht="28.5" customHeight="1" x14ac:dyDescent="0.25">
      <c r="A23" s="87"/>
      <c r="B23" s="54" t="s">
        <v>72</v>
      </c>
      <c r="C23" s="57">
        <v>128</v>
      </c>
      <c r="D23" s="39">
        <f t="shared" si="1"/>
        <v>51</v>
      </c>
      <c r="E23" s="50">
        <v>37</v>
      </c>
      <c r="F23" s="50"/>
      <c r="G23" s="50"/>
      <c r="H23" s="50">
        <v>14</v>
      </c>
      <c r="I23" s="50"/>
      <c r="J23" s="50"/>
      <c r="K23" s="50"/>
      <c r="L23" s="50"/>
      <c r="M23" s="50"/>
      <c r="N23" s="50"/>
      <c r="O23" s="50"/>
      <c r="P23" s="50"/>
    </row>
    <row r="24" spans="1:16" ht="28.5" customHeight="1" x14ac:dyDescent="0.25">
      <c r="A24" s="87"/>
      <c r="B24" s="54" t="s">
        <v>73</v>
      </c>
      <c r="C24" s="57">
        <v>5</v>
      </c>
      <c r="D24" s="39">
        <f t="shared" si="1"/>
        <v>1</v>
      </c>
      <c r="E24" s="50">
        <v>1</v>
      </c>
      <c r="F24" s="50"/>
      <c r="G24" s="50"/>
      <c r="H24" s="50"/>
      <c r="I24" s="50"/>
      <c r="J24" s="50"/>
      <c r="K24" s="50"/>
      <c r="L24" s="50"/>
      <c r="M24" s="50"/>
      <c r="N24" s="50"/>
      <c r="O24" s="50"/>
      <c r="P24" s="50"/>
    </row>
    <row r="25" spans="1:16" ht="24" customHeight="1" x14ac:dyDescent="0.25">
      <c r="A25" s="87"/>
      <c r="B25" s="55" t="s">
        <v>75</v>
      </c>
      <c r="C25" s="17">
        <v>1</v>
      </c>
      <c r="D25" s="39">
        <f t="shared" si="1"/>
        <v>0</v>
      </c>
      <c r="E25" s="50"/>
      <c r="F25" s="50"/>
      <c r="G25" s="50"/>
      <c r="H25" s="50"/>
      <c r="I25" s="50"/>
      <c r="J25" s="50"/>
      <c r="K25" s="50"/>
      <c r="L25" s="50"/>
      <c r="M25" s="50"/>
      <c r="N25" s="50"/>
      <c r="O25" s="50"/>
      <c r="P25" s="50"/>
    </row>
    <row r="26" spans="1:16" ht="24" customHeight="1" x14ac:dyDescent="0.25">
      <c r="A26" s="87"/>
      <c r="B26" s="55" t="s">
        <v>76</v>
      </c>
      <c r="C26" s="17">
        <v>1</v>
      </c>
      <c r="D26" s="39">
        <f t="shared" si="1"/>
        <v>0</v>
      </c>
      <c r="E26" s="50"/>
      <c r="F26" s="50"/>
      <c r="G26" s="50"/>
      <c r="H26" s="50"/>
      <c r="I26" s="50"/>
      <c r="J26" s="50"/>
      <c r="K26" s="50"/>
      <c r="L26" s="50"/>
      <c r="M26" s="50"/>
      <c r="N26" s="50"/>
      <c r="O26" s="50"/>
      <c r="P26" s="50"/>
    </row>
    <row r="27" spans="1:16" ht="24" customHeight="1" x14ac:dyDescent="0.25">
      <c r="A27" s="87"/>
      <c r="B27" s="55" t="s">
        <v>77</v>
      </c>
      <c r="C27" s="17">
        <v>1</v>
      </c>
      <c r="D27" s="39">
        <f t="shared" si="1"/>
        <v>0</v>
      </c>
      <c r="E27" s="50"/>
      <c r="F27" s="50"/>
      <c r="G27" s="50"/>
      <c r="H27" s="50"/>
      <c r="I27" s="50"/>
      <c r="J27" s="50"/>
      <c r="K27" s="50"/>
      <c r="L27" s="50"/>
      <c r="M27" s="50"/>
      <c r="N27" s="50"/>
      <c r="O27" s="50"/>
      <c r="P27" s="50"/>
    </row>
    <row r="28" spans="1:16" ht="24" customHeight="1" x14ac:dyDescent="0.25">
      <c r="A28" s="87"/>
      <c r="B28" s="55" t="s">
        <v>78</v>
      </c>
      <c r="C28" s="17">
        <v>1</v>
      </c>
      <c r="D28" s="39">
        <f t="shared" si="1"/>
        <v>0</v>
      </c>
      <c r="E28" s="50"/>
      <c r="F28" s="50"/>
      <c r="G28" s="50"/>
      <c r="H28" s="50"/>
      <c r="I28" s="50"/>
      <c r="J28" s="50"/>
      <c r="K28" s="50"/>
      <c r="L28" s="50"/>
      <c r="M28" s="50"/>
      <c r="N28" s="50"/>
      <c r="O28" s="50"/>
      <c r="P28" s="50"/>
    </row>
    <row r="29" spans="1:16" ht="24" customHeight="1" x14ac:dyDescent="0.25">
      <c r="A29" s="87"/>
      <c r="B29" s="55" t="s">
        <v>79</v>
      </c>
      <c r="C29" s="17">
        <v>1</v>
      </c>
      <c r="D29" s="39">
        <f t="shared" si="1"/>
        <v>0</v>
      </c>
      <c r="E29" s="50"/>
      <c r="F29" s="50"/>
      <c r="G29" s="50"/>
      <c r="H29" s="50"/>
      <c r="I29" s="50"/>
      <c r="J29" s="50"/>
      <c r="K29" s="50"/>
      <c r="L29" s="50"/>
      <c r="M29" s="50"/>
      <c r="N29" s="50"/>
      <c r="O29" s="50"/>
      <c r="P29" s="50"/>
    </row>
    <row r="30" spans="1:16" ht="24" customHeight="1" x14ac:dyDescent="0.25">
      <c r="A30" s="87"/>
      <c r="B30" s="55" t="s">
        <v>80</v>
      </c>
      <c r="C30" s="17">
        <v>1</v>
      </c>
      <c r="D30" s="39">
        <f t="shared" si="1"/>
        <v>0</v>
      </c>
      <c r="E30" s="50"/>
      <c r="F30" s="50"/>
      <c r="G30" s="50"/>
      <c r="H30" s="50"/>
      <c r="I30" s="50"/>
      <c r="J30" s="50"/>
      <c r="K30" s="50"/>
      <c r="L30" s="50"/>
      <c r="M30" s="50"/>
      <c r="N30" s="50"/>
      <c r="O30" s="50"/>
      <c r="P30" s="50"/>
    </row>
    <row r="31" spans="1:16" ht="24" customHeight="1" x14ac:dyDescent="0.25">
      <c r="A31" s="87"/>
      <c r="B31" s="55" t="s">
        <v>81</v>
      </c>
      <c r="C31" s="17">
        <v>1</v>
      </c>
      <c r="D31" s="39">
        <f t="shared" si="1"/>
        <v>0</v>
      </c>
      <c r="E31" s="50"/>
      <c r="F31" s="50"/>
      <c r="G31" s="50"/>
      <c r="H31" s="50"/>
      <c r="I31" s="50"/>
      <c r="J31" s="50"/>
      <c r="K31" s="50"/>
      <c r="L31" s="50"/>
      <c r="M31" s="50"/>
      <c r="N31" s="50"/>
      <c r="O31" s="50"/>
      <c r="P31" s="50"/>
    </row>
    <row r="32" spans="1:16" ht="24" customHeight="1" x14ac:dyDescent="0.25">
      <c r="A32" s="87"/>
      <c r="B32" s="55" t="s">
        <v>82</v>
      </c>
      <c r="C32" s="17">
        <v>1</v>
      </c>
      <c r="D32" s="39">
        <f t="shared" si="1"/>
        <v>0</v>
      </c>
      <c r="E32" s="50"/>
      <c r="F32" s="50"/>
      <c r="G32" s="50"/>
      <c r="H32" s="50"/>
      <c r="I32" s="50"/>
      <c r="J32" s="50"/>
      <c r="K32" s="50"/>
      <c r="L32" s="50"/>
      <c r="M32" s="50"/>
      <c r="N32" s="50"/>
      <c r="O32" s="50"/>
      <c r="P32" s="50"/>
    </row>
    <row r="33" spans="1:16" ht="24" customHeight="1" x14ac:dyDescent="0.25">
      <c r="A33" s="87"/>
      <c r="B33" s="55" t="s">
        <v>83</v>
      </c>
      <c r="C33" s="17">
        <v>1</v>
      </c>
      <c r="D33" s="39">
        <f t="shared" si="1"/>
        <v>0</v>
      </c>
      <c r="E33" s="50"/>
      <c r="F33" s="50"/>
      <c r="G33" s="50"/>
      <c r="H33" s="50"/>
      <c r="I33" s="50"/>
      <c r="J33" s="50"/>
      <c r="K33" s="50"/>
      <c r="L33" s="50"/>
      <c r="M33" s="50"/>
      <c r="N33" s="50"/>
      <c r="O33" s="50"/>
      <c r="P33" s="50"/>
    </row>
    <row r="34" spans="1:16" ht="24" customHeight="1" x14ac:dyDescent="0.25">
      <c r="A34" s="87"/>
      <c r="B34" s="55" t="s">
        <v>84</v>
      </c>
      <c r="C34" s="17">
        <v>1</v>
      </c>
      <c r="D34" s="39">
        <f t="shared" si="1"/>
        <v>0</v>
      </c>
      <c r="E34" s="50"/>
      <c r="F34" s="50"/>
      <c r="G34" s="50"/>
      <c r="H34" s="50"/>
      <c r="I34" s="50"/>
      <c r="J34" s="50"/>
      <c r="K34" s="50"/>
      <c r="L34" s="50"/>
      <c r="M34" s="50"/>
      <c r="N34" s="50"/>
      <c r="O34" s="50"/>
      <c r="P34" s="50"/>
    </row>
    <row r="35" spans="1:16" ht="24" customHeight="1" x14ac:dyDescent="0.25">
      <c r="A35" s="87"/>
      <c r="B35" s="55" t="s">
        <v>85</v>
      </c>
      <c r="C35" s="17">
        <v>1</v>
      </c>
      <c r="D35" s="39">
        <f t="shared" si="1"/>
        <v>0</v>
      </c>
      <c r="E35" s="50"/>
      <c r="F35" s="50"/>
      <c r="G35" s="50"/>
      <c r="H35" s="50"/>
      <c r="I35" s="50"/>
      <c r="J35" s="50"/>
      <c r="K35" s="50"/>
      <c r="L35" s="50"/>
      <c r="M35" s="50"/>
      <c r="N35" s="50"/>
      <c r="O35" s="50"/>
      <c r="P35" s="50"/>
    </row>
    <row r="36" spans="1:16" ht="24" customHeight="1" thickBot="1" x14ac:dyDescent="0.3">
      <c r="A36" s="88"/>
      <c r="B36" s="56" t="s">
        <v>86</v>
      </c>
      <c r="C36" s="17">
        <v>1</v>
      </c>
      <c r="D36" s="39">
        <f t="shared" si="1"/>
        <v>0</v>
      </c>
      <c r="E36" s="50"/>
      <c r="F36" s="50"/>
      <c r="G36" s="50"/>
      <c r="H36" s="50"/>
      <c r="I36" s="50"/>
      <c r="J36" s="50"/>
      <c r="K36" s="50"/>
      <c r="L36" s="50"/>
      <c r="M36" s="50"/>
      <c r="N36" s="50"/>
      <c r="O36" s="50"/>
      <c r="P36" s="50"/>
    </row>
    <row r="37" spans="1:16" x14ac:dyDescent="0.25">
      <c r="C37" s="51">
        <f>SUM(C3:C36)</f>
        <v>234</v>
      </c>
      <c r="D37" s="51">
        <f>SUM(D3:D36)</f>
        <v>112</v>
      </c>
      <c r="E37" s="50"/>
      <c r="F37" s="50"/>
      <c r="G37" s="50"/>
      <c r="H37" s="50"/>
      <c r="I37" s="50"/>
      <c r="J37" s="50"/>
      <c r="K37" s="50"/>
      <c r="L37" s="50"/>
      <c r="M37" s="50"/>
      <c r="N37" s="50"/>
      <c r="O37" s="50"/>
      <c r="P37" s="50"/>
    </row>
    <row r="38" spans="1:16" x14ac:dyDescent="0.25">
      <c r="D38" s="20">
        <f>D37/C37</f>
        <v>0.47863247863247865</v>
      </c>
    </row>
    <row r="39" spans="1:16" x14ac:dyDescent="0.25">
      <c r="D39" s="25"/>
    </row>
  </sheetData>
  <sheetProtection algorithmName="SHA-512" hashValue="kDu5NLYXemO2FjB6bYzA7hq1+htCi5gkFO/9T9ShgZbXGtlfMX841Y0uqcypUC3vzcXPRAdCxayQ2miT6EE6gg==" saltValue="qvGJSw0ZvpXm22mlOAPU0A==" spinCount="100000" sheet="1" objects="1" scenarios="1" autoFilter="0"/>
  <mergeCells count="1">
    <mergeCell ref="A9:A36"/>
  </mergeCells>
  <conditionalFormatting sqref="C3:D3">
    <cfRule type="dataBar" priority="22">
      <dataBar>
        <cfvo type="min"/>
        <cfvo type="max"/>
        <color rgb="FF008AEF"/>
      </dataBar>
      <extLst>
        <ext xmlns:x14="http://schemas.microsoft.com/office/spreadsheetml/2009/9/main" uri="{B025F937-C7B1-47D3-B67F-A62EFF666E3E}">
          <x14:id>{1652A4DD-9776-4243-8028-428249D3195B}</x14:id>
        </ext>
      </extLst>
    </cfRule>
  </conditionalFormatting>
  <conditionalFormatting sqref="C4:D4">
    <cfRule type="dataBar" priority="21">
      <dataBar>
        <cfvo type="min"/>
        <cfvo type="max"/>
        <color rgb="FF008AEF"/>
      </dataBar>
      <extLst>
        <ext xmlns:x14="http://schemas.microsoft.com/office/spreadsheetml/2009/9/main" uri="{B025F937-C7B1-47D3-B67F-A62EFF666E3E}">
          <x14:id>{E9884649-5CAE-4B9C-B19C-AEC638533D94}</x14:id>
        </ext>
      </extLst>
    </cfRule>
  </conditionalFormatting>
  <conditionalFormatting sqref="C5:D5">
    <cfRule type="dataBar" priority="20">
      <dataBar>
        <cfvo type="min"/>
        <cfvo type="max"/>
        <color rgb="FF008AEF"/>
      </dataBar>
      <extLst>
        <ext xmlns:x14="http://schemas.microsoft.com/office/spreadsheetml/2009/9/main" uri="{B025F937-C7B1-47D3-B67F-A62EFF666E3E}">
          <x14:id>{24F7FE97-809A-41D3-A880-4F837CCFFC55}</x14:id>
        </ext>
      </extLst>
    </cfRule>
  </conditionalFormatting>
  <conditionalFormatting sqref="C6:D6">
    <cfRule type="dataBar" priority="19">
      <dataBar>
        <cfvo type="min"/>
        <cfvo type="max"/>
        <color rgb="FF008AEF"/>
      </dataBar>
      <extLst>
        <ext xmlns:x14="http://schemas.microsoft.com/office/spreadsheetml/2009/9/main" uri="{B025F937-C7B1-47D3-B67F-A62EFF666E3E}">
          <x14:id>{E9FF7934-2549-4E98-9606-31FCB9DD1DED}</x14:id>
        </ext>
      </extLst>
    </cfRule>
  </conditionalFormatting>
  <conditionalFormatting sqref="C7:D7">
    <cfRule type="dataBar" priority="18">
      <dataBar>
        <cfvo type="min"/>
        <cfvo type="max"/>
        <color rgb="FF008AEF"/>
      </dataBar>
      <extLst>
        <ext xmlns:x14="http://schemas.microsoft.com/office/spreadsheetml/2009/9/main" uri="{B025F937-C7B1-47D3-B67F-A62EFF666E3E}">
          <x14:id>{43D31E35-7F5C-466E-8966-604D49DE42D2}</x14:id>
        </ext>
      </extLst>
    </cfRule>
  </conditionalFormatting>
  <conditionalFormatting sqref="C8:D8">
    <cfRule type="dataBar" priority="17">
      <dataBar>
        <cfvo type="min"/>
        <cfvo type="max"/>
        <color rgb="FF008AEF"/>
      </dataBar>
      <extLst>
        <ext xmlns:x14="http://schemas.microsoft.com/office/spreadsheetml/2009/9/main" uri="{B025F937-C7B1-47D3-B67F-A62EFF666E3E}">
          <x14:id>{7BEC11E0-F2DB-4D6B-837C-D0C8BA6530CA}</x14:id>
        </ext>
      </extLst>
    </cfRule>
  </conditionalFormatting>
  <conditionalFormatting sqref="C9:D9">
    <cfRule type="dataBar" priority="16">
      <dataBar>
        <cfvo type="min"/>
        <cfvo type="max"/>
        <color rgb="FF008AEF"/>
      </dataBar>
      <extLst>
        <ext xmlns:x14="http://schemas.microsoft.com/office/spreadsheetml/2009/9/main" uri="{B025F937-C7B1-47D3-B67F-A62EFF666E3E}">
          <x14:id>{7EF9B5B5-61CB-4372-9CA3-A964C7C8C81D}</x14:id>
        </ext>
      </extLst>
    </cfRule>
  </conditionalFormatting>
  <conditionalFormatting sqref="C10:D10">
    <cfRule type="dataBar" priority="15">
      <dataBar>
        <cfvo type="min"/>
        <cfvo type="max"/>
        <color rgb="FF008AEF"/>
      </dataBar>
      <extLst>
        <ext xmlns:x14="http://schemas.microsoft.com/office/spreadsheetml/2009/9/main" uri="{B025F937-C7B1-47D3-B67F-A62EFF666E3E}">
          <x14:id>{EFED4402-7ED6-44FA-8A24-27AEC3690892}</x14:id>
        </ext>
      </extLst>
    </cfRule>
  </conditionalFormatting>
  <conditionalFormatting sqref="C11:D11">
    <cfRule type="dataBar" priority="14">
      <dataBar>
        <cfvo type="min"/>
        <cfvo type="max"/>
        <color rgb="FF008AEF"/>
      </dataBar>
      <extLst>
        <ext xmlns:x14="http://schemas.microsoft.com/office/spreadsheetml/2009/9/main" uri="{B025F937-C7B1-47D3-B67F-A62EFF666E3E}">
          <x14:id>{39A496FD-8BE9-471C-A649-986F207C3634}</x14:id>
        </ext>
      </extLst>
    </cfRule>
  </conditionalFormatting>
  <conditionalFormatting sqref="C12:D12">
    <cfRule type="dataBar" priority="13">
      <dataBar>
        <cfvo type="min"/>
        <cfvo type="max"/>
        <color rgb="FF008AEF"/>
      </dataBar>
      <extLst>
        <ext xmlns:x14="http://schemas.microsoft.com/office/spreadsheetml/2009/9/main" uri="{B025F937-C7B1-47D3-B67F-A62EFF666E3E}">
          <x14:id>{9F81543A-AC43-468D-83CE-A600660EAE18}</x14:id>
        </ext>
      </extLst>
    </cfRule>
  </conditionalFormatting>
  <conditionalFormatting sqref="C13:D13">
    <cfRule type="dataBar" priority="12">
      <dataBar>
        <cfvo type="min"/>
        <cfvo type="max"/>
        <color rgb="FF008AEF"/>
      </dataBar>
      <extLst>
        <ext xmlns:x14="http://schemas.microsoft.com/office/spreadsheetml/2009/9/main" uri="{B025F937-C7B1-47D3-B67F-A62EFF666E3E}">
          <x14:id>{4589C08C-45BB-45FE-9081-902DDA109AF6}</x14:id>
        </ext>
      </extLst>
    </cfRule>
  </conditionalFormatting>
  <conditionalFormatting sqref="C14:D14">
    <cfRule type="dataBar" priority="11">
      <dataBar>
        <cfvo type="min"/>
        <cfvo type="max"/>
        <color rgb="FF008AEF"/>
      </dataBar>
      <extLst>
        <ext xmlns:x14="http://schemas.microsoft.com/office/spreadsheetml/2009/9/main" uri="{B025F937-C7B1-47D3-B67F-A62EFF666E3E}">
          <x14:id>{62D54478-55C0-4F48-91E8-A2D26C970925}</x14:id>
        </ext>
      </extLst>
    </cfRule>
  </conditionalFormatting>
  <conditionalFormatting sqref="C15:D15">
    <cfRule type="dataBar" priority="10">
      <dataBar>
        <cfvo type="min"/>
        <cfvo type="max"/>
        <color rgb="FF008AEF"/>
      </dataBar>
      <extLst>
        <ext xmlns:x14="http://schemas.microsoft.com/office/spreadsheetml/2009/9/main" uri="{B025F937-C7B1-47D3-B67F-A62EFF666E3E}">
          <x14:id>{5B122CBE-D028-4476-9129-02B7877D6146}</x14:id>
        </ext>
      </extLst>
    </cfRule>
  </conditionalFormatting>
  <conditionalFormatting sqref="C16:D16">
    <cfRule type="dataBar" priority="9">
      <dataBar>
        <cfvo type="min"/>
        <cfvo type="max"/>
        <color rgb="FF008AEF"/>
      </dataBar>
      <extLst>
        <ext xmlns:x14="http://schemas.microsoft.com/office/spreadsheetml/2009/9/main" uri="{B025F937-C7B1-47D3-B67F-A62EFF666E3E}">
          <x14:id>{83F10261-5AA2-4A0A-B7B3-6AEFF9E926BA}</x14:id>
        </ext>
      </extLst>
    </cfRule>
  </conditionalFormatting>
  <conditionalFormatting sqref="C17:D17">
    <cfRule type="dataBar" priority="8">
      <dataBar>
        <cfvo type="min"/>
        <cfvo type="max"/>
        <color rgb="FF008AEF"/>
      </dataBar>
      <extLst>
        <ext xmlns:x14="http://schemas.microsoft.com/office/spreadsheetml/2009/9/main" uri="{B025F937-C7B1-47D3-B67F-A62EFF666E3E}">
          <x14:id>{E29EC3EC-079A-4E0C-B509-C7865807691B}</x14:id>
        </ext>
      </extLst>
    </cfRule>
  </conditionalFormatting>
  <conditionalFormatting sqref="C18:D18">
    <cfRule type="dataBar" priority="7">
      <dataBar>
        <cfvo type="min"/>
        <cfvo type="max"/>
        <color rgb="FF008AEF"/>
      </dataBar>
      <extLst>
        <ext xmlns:x14="http://schemas.microsoft.com/office/spreadsheetml/2009/9/main" uri="{B025F937-C7B1-47D3-B67F-A62EFF666E3E}">
          <x14:id>{59C7D6BB-92CA-4CE6-9EDC-B840565646B9}</x14:id>
        </ext>
      </extLst>
    </cfRule>
  </conditionalFormatting>
  <conditionalFormatting sqref="C19:D19">
    <cfRule type="dataBar" priority="6">
      <dataBar>
        <cfvo type="min"/>
        <cfvo type="max"/>
        <color rgb="FF008AEF"/>
      </dataBar>
      <extLst>
        <ext xmlns:x14="http://schemas.microsoft.com/office/spreadsheetml/2009/9/main" uri="{B025F937-C7B1-47D3-B67F-A62EFF666E3E}">
          <x14:id>{9E781FAF-E56E-488C-994A-F2E29A75CEC7}</x14:id>
        </ext>
      </extLst>
    </cfRule>
  </conditionalFormatting>
  <conditionalFormatting sqref="C20:D20">
    <cfRule type="dataBar" priority="5">
      <dataBar>
        <cfvo type="min"/>
        <cfvo type="max"/>
        <color rgb="FF008AEF"/>
      </dataBar>
      <extLst>
        <ext xmlns:x14="http://schemas.microsoft.com/office/spreadsheetml/2009/9/main" uri="{B025F937-C7B1-47D3-B67F-A62EFF666E3E}">
          <x14:id>{0C22E7D4-4543-4594-8C3E-AAD0EFBB3190}</x14:id>
        </ext>
      </extLst>
    </cfRule>
  </conditionalFormatting>
  <conditionalFormatting sqref="C21:D21">
    <cfRule type="dataBar" priority="4">
      <dataBar>
        <cfvo type="min"/>
        <cfvo type="max"/>
        <color rgb="FF008AEF"/>
      </dataBar>
      <extLst>
        <ext xmlns:x14="http://schemas.microsoft.com/office/spreadsheetml/2009/9/main" uri="{B025F937-C7B1-47D3-B67F-A62EFF666E3E}">
          <x14:id>{6D57560A-292E-4F4F-A946-EC22BAB8659D}</x14:id>
        </ext>
      </extLst>
    </cfRule>
  </conditionalFormatting>
  <conditionalFormatting sqref="C22:D22">
    <cfRule type="dataBar" priority="3">
      <dataBar>
        <cfvo type="min"/>
        <cfvo type="max"/>
        <color rgb="FF008AEF"/>
      </dataBar>
      <extLst>
        <ext xmlns:x14="http://schemas.microsoft.com/office/spreadsheetml/2009/9/main" uri="{B025F937-C7B1-47D3-B67F-A62EFF666E3E}">
          <x14:id>{09AABF25-BCB0-475F-8268-776FA679518B}</x14:id>
        </ext>
      </extLst>
    </cfRule>
  </conditionalFormatting>
  <conditionalFormatting sqref="C23:D23">
    <cfRule type="dataBar" priority="2">
      <dataBar>
        <cfvo type="min"/>
        <cfvo type="max"/>
        <color rgb="FF008AEF"/>
      </dataBar>
      <extLst>
        <ext xmlns:x14="http://schemas.microsoft.com/office/spreadsheetml/2009/9/main" uri="{B025F937-C7B1-47D3-B67F-A62EFF666E3E}">
          <x14:id>{984ECC9F-7D03-422B-ACA2-4BD25CD5E41E}</x14:id>
        </ext>
      </extLst>
    </cfRule>
  </conditionalFormatting>
  <conditionalFormatting sqref="C24:D24">
    <cfRule type="dataBar" priority="1">
      <dataBar>
        <cfvo type="min"/>
        <cfvo type="max"/>
        <color rgb="FF008AEF"/>
      </dataBar>
      <extLst>
        <ext xmlns:x14="http://schemas.microsoft.com/office/spreadsheetml/2009/9/main" uri="{B025F937-C7B1-47D3-B67F-A62EFF666E3E}">
          <x14:id>{C686962A-94C4-495B-B85A-95A818A1BB14}</x14:id>
        </ext>
      </extLst>
    </cfRule>
  </conditionalFormatting>
  <conditionalFormatting sqref="C25:D25">
    <cfRule type="dataBar" priority="35">
      <dataBar>
        <cfvo type="min"/>
        <cfvo type="max"/>
        <color rgb="FF008AEF"/>
      </dataBar>
      <extLst>
        <ext xmlns:x14="http://schemas.microsoft.com/office/spreadsheetml/2009/9/main" uri="{B025F937-C7B1-47D3-B67F-A62EFF666E3E}">
          <x14:id>{05208341-ECD3-4734-96F3-D53FC323F946}</x14:id>
        </ext>
      </extLst>
    </cfRule>
  </conditionalFormatting>
  <conditionalFormatting sqref="C26:D26">
    <cfRule type="dataBar" priority="34">
      <dataBar>
        <cfvo type="min"/>
        <cfvo type="max"/>
        <color rgb="FF008AEF"/>
      </dataBar>
      <extLst>
        <ext xmlns:x14="http://schemas.microsoft.com/office/spreadsheetml/2009/9/main" uri="{B025F937-C7B1-47D3-B67F-A62EFF666E3E}">
          <x14:id>{DBC338D4-F08A-4239-BD3C-EBC2A159D9F6}</x14:id>
        </ext>
      </extLst>
    </cfRule>
  </conditionalFormatting>
  <conditionalFormatting sqref="C27:D27">
    <cfRule type="dataBar" priority="33">
      <dataBar>
        <cfvo type="min"/>
        <cfvo type="max"/>
        <color rgb="FF008AEF"/>
      </dataBar>
      <extLst>
        <ext xmlns:x14="http://schemas.microsoft.com/office/spreadsheetml/2009/9/main" uri="{B025F937-C7B1-47D3-B67F-A62EFF666E3E}">
          <x14:id>{CA67D3C2-2AEE-4B32-AD5C-1B69DECBBE3C}</x14:id>
        </ext>
      </extLst>
    </cfRule>
  </conditionalFormatting>
  <conditionalFormatting sqref="C28:D28">
    <cfRule type="dataBar" priority="32">
      <dataBar>
        <cfvo type="min"/>
        <cfvo type="max"/>
        <color rgb="FF008AEF"/>
      </dataBar>
      <extLst>
        <ext xmlns:x14="http://schemas.microsoft.com/office/spreadsheetml/2009/9/main" uri="{B025F937-C7B1-47D3-B67F-A62EFF666E3E}">
          <x14:id>{37D7312E-DC86-47D0-BEB9-DE629745D892}</x14:id>
        </ext>
      </extLst>
    </cfRule>
  </conditionalFormatting>
  <conditionalFormatting sqref="C29:D29">
    <cfRule type="dataBar" priority="31">
      <dataBar>
        <cfvo type="min"/>
        <cfvo type="max"/>
        <color rgb="FF008AEF"/>
      </dataBar>
      <extLst>
        <ext xmlns:x14="http://schemas.microsoft.com/office/spreadsheetml/2009/9/main" uri="{B025F937-C7B1-47D3-B67F-A62EFF666E3E}">
          <x14:id>{F975E358-4B2B-4EAA-9A8E-270C9FAB85F0}</x14:id>
        </ext>
      </extLst>
    </cfRule>
  </conditionalFormatting>
  <conditionalFormatting sqref="C30:D30">
    <cfRule type="dataBar" priority="30">
      <dataBar>
        <cfvo type="min"/>
        <cfvo type="max"/>
        <color rgb="FF008AEF"/>
      </dataBar>
      <extLst>
        <ext xmlns:x14="http://schemas.microsoft.com/office/spreadsheetml/2009/9/main" uri="{B025F937-C7B1-47D3-B67F-A62EFF666E3E}">
          <x14:id>{64CD52A4-AB80-42D0-BB0F-048FF4D99AA4}</x14:id>
        </ext>
      </extLst>
    </cfRule>
  </conditionalFormatting>
  <conditionalFormatting sqref="C31:D31">
    <cfRule type="dataBar" priority="29">
      <dataBar>
        <cfvo type="min"/>
        <cfvo type="max"/>
        <color rgb="FF008AEF"/>
      </dataBar>
      <extLst>
        <ext xmlns:x14="http://schemas.microsoft.com/office/spreadsheetml/2009/9/main" uri="{B025F937-C7B1-47D3-B67F-A62EFF666E3E}">
          <x14:id>{9FEBC341-56A5-4939-B790-2EEE7BA8083A}</x14:id>
        </ext>
      </extLst>
    </cfRule>
  </conditionalFormatting>
  <conditionalFormatting sqref="C32:D32">
    <cfRule type="dataBar" priority="28">
      <dataBar>
        <cfvo type="min"/>
        <cfvo type="max"/>
        <color rgb="FF008AEF"/>
      </dataBar>
      <extLst>
        <ext xmlns:x14="http://schemas.microsoft.com/office/spreadsheetml/2009/9/main" uri="{B025F937-C7B1-47D3-B67F-A62EFF666E3E}">
          <x14:id>{15BCC507-38C8-4A53-9D2C-D8509357656F}</x14:id>
        </ext>
      </extLst>
    </cfRule>
  </conditionalFormatting>
  <conditionalFormatting sqref="C33:D33">
    <cfRule type="dataBar" priority="27">
      <dataBar>
        <cfvo type="min"/>
        <cfvo type="max"/>
        <color rgb="FF008AEF"/>
      </dataBar>
      <extLst>
        <ext xmlns:x14="http://schemas.microsoft.com/office/spreadsheetml/2009/9/main" uri="{B025F937-C7B1-47D3-B67F-A62EFF666E3E}">
          <x14:id>{7F092832-2E30-44B5-8994-0C347B557029}</x14:id>
        </ext>
      </extLst>
    </cfRule>
  </conditionalFormatting>
  <conditionalFormatting sqref="C34:D34">
    <cfRule type="dataBar" priority="26">
      <dataBar>
        <cfvo type="min"/>
        <cfvo type="max"/>
        <color rgb="FF008AEF"/>
      </dataBar>
      <extLst>
        <ext xmlns:x14="http://schemas.microsoft.com/office/spreadsheetml/2009/9/main" uri="{B025F937-C7B1-47D3-B67F-A62EFF666E3E}">
          <x14:id>{9DEC8F0D-BCC5-4724-AA3F-D8BE33E5FDCC}</x14:id>
        </ext>
      </extLst>
    </cfRule>
  </conditionalFormatting>
  <conditionalFormatting sqref="C35:D35">
    <cfRule type="dataBar" priority="25">
      <dataBar>
        <cfvo type="min"/>
        <cfvo type="max"/>
        <color rgb="FF008AEF"/>
      </dataBar>
      <extLst>
        <ext xmlns:x14="http://schemas.microsoft.com/office/spreadsheetml/2009/9/main" uri="{B025F937-C7B1-47D3-B67F-A62EFF666E3E}">
          <x14:id>{D99CD10D-C52D-400D-934D-DE7135AD0A1C}</x14:id>
        </ext>
      </extLst>
    </cfRule>
  </conditionalFormatting>
  <conditionalFormatting sqref="C36:D36">
    <cfRule type="dataBar" priority="24">
      <dataBar>
        <cfvo type="min"/>
        <cfvo type="max"/>
        <color rgb="FF008AEF"/>
      </dataBar>
      <extLst>
        <ext xmlns:x14="http://schemas.microsoft.com/office/spreadsheetml/2009/9/main" uri="{B025F937-C7B1-47D3-B67F-A62EFF666E3E}">
          <x14:id>{879110D4-D223-4997-85A9-15B95EA9398F}</x14:id>
        </ext>
      </extLst>
    </cfRule>
  </conditionalFormatting>
  <conditionalFormatting sqref="E3:P37">
    <cfRule type="cellIs" dxfId="10" priority="5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652A4DD-9776-4243-8028-428249D3195B}">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E9884649-5CAE-4B9C-B19C-AEC638533D94}">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4F7FE97-809A-41D3-A880-4F837CCFFC55}">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E9FF7934-2549-4E98-9606-31FCB9DD1DED}">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43D31E35-7F5C-466E-8966-604D49DE42D2}">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7BEC11E0-F2DB-4D6B-837C-D0C8BA6530CA}">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7EF9B5B5-61CB-4372-9CA3-A964C7C8C81D}">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EFED4402-7ED6-44FA-8A24-27AEC3690892}">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39A496FD-8BE9-471C-A649-986F207C3634}">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9F81543A-AC43-468D-83CE-A600660EAE18}">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589C08C-45BB-45FE-9081-902DDA109AF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62D54478-55C0-4F48-91E8-A2D26C970925}">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5B122CBE-D028-4476-9129-02B7877D6146}">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83F10261-5AA2-4A0A-B7B3-6AEFF9E926BA}">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29EC3EC-079A-4E0C-B509-C7865807691B}">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9C7D6BB-92CA-4CE6-9EDC-B840565646B9}">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9E781FAF-E56E-488C-994A-F2E29A75CEC7}">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0C22E7D4-4543-4594-8C3E-AAD0EFBB319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6D57560A-292E-4F4F-A946-EC22BAB8659D}">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09AABF25-BCB0-475F-8268-776FA679518B}">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84ECC9F-7D03-422B-ACA2-4BD25CD5E41E}">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686962A-94C4-495B-B85A-95A818A1BB14}">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05208341-ECD3-4734-96F3-D53FC323F946}">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BC338D4-F08A-4239-BD3C-EBC2A159D9F6}">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A67D3C2-2AEE-4B32-AD5C-1B69DECBBE3C}">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7D7312E-DC86-47D0-BEB9-DE629745D892}">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F975E358-4B2B-4EAA-9A8E-270C9FAB85F0}">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64CD52A4-AB80-42D0-BB0F-048FF4D99AA4}">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9FEBC341-56A5-4939-B790-2EEE7BA8083A}">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15BCC507-38C8-4A53-9D2C-D8509357656F}">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7F092832-2E30-44B5-8994-0C347B557029}">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9DEC8F0D-BCC5-4724-AA3F-D8BE33E5FDCC}">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D99CD10D-C52D-400D-934D-DE7135AD0A1C}">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879110D4-D223-4997-85A9-15B95EA9398F}">
            <x14:dataBar minLength="0" maxLength="100" gradient="0">
              <x14:cfvo type="autoMin"/>
              <x14:cfvo type="autoMax"/>
              <x14:negativeFillColor rgb="FFFF0000"/>
              <x14:axisColor rgb="FF000000"/>
            </x14:dataBar>
          </x14:cfRule>
          <xm:sqref>C36:D36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'C:\Users\108720436\Desktop\16. PUMI 2025\II TRIMESTRE\JUNIO\DR1 CENTRAL\[D2 Merced PUMI 2025 Junio.xlsx]DAT1'!#REF!</xm:f>
          </x14:formula1>
          <xm:sqref>E37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38"/>
  <sheetViews>
    <sheetView zoomScale="110" zoomScaleNormal="110" workbookViewId="0">
      <selection activeCell="G28" sqref="G28"/>
    </sheetView>
  </sheetViews>
  <sheetFormatPr baseColWidth="10" defaultColWidth="13.140625" defaultRowHeight="15" x14ac:dyDescent="0.25"/>
  <cols>
    <col min="1" max="1" width="7.140625" style="4" customWidth="1"/>
    <col min="2" max="2" width="73.42578125" style="4" customWidth="1"/>
    <col min="3" max="3" width="13.140625" style="4"/>
    <col min="4" max="4" width="25.7109375" style="4" customWidth="1"/>
    <col min="5" max="16" width="15.5703125" style="4" customWidth="1"/>
    <col min="17" max="16384" width="13.140625" style="4"/>
  </cols>
  <sheetData>
    <row r="1" spans="1:16" ht="61.5" customHeight="1" x14ac:dyDescent="0.25">
      <c r="A1" s="91" t="s">
        <v>1</v>
      </c>
      <c r="B1" s="26" t="s">
        <v>31</v>
      </c>
      <c r="C1" s="27" t="s">
        <v>2</v>
      </c>
      <c r="D1" s="27" t="s">
        <v>3</v>
      </c>
      <c r="E1" s="3" t="s">
        <v>4</v>
      </c>
      <c r="F1" s="3" t="s">
        <v>5</v>
      </c>
      <c r="G1" s="3" t="s">
        <v>6</v>
      </c>
      <c r="H1" s="3" t="s">
        <v>7</v>
      </c>
      <c r="I1" s="3" t="s">
        <v>8</v>
      </c>
      <c r="J1" s="3" t="s">
        <v>9</v>
      </c>
      <c r="K1" s="3" t="s">
        <v>10</v>
      </c>
      <c r="L1" s="3" t="s">
        <v>11</v>
      </c>
      <c r="M1" s="3" t="s">
        <v>12</v>
      </c>
      <c r="N1" s="3" t="s">
        <v>13</v>
      </c>
      <c r="O1" s="3" t="s">
        <v>14</v>
      </c>
      <c r="P1" s="3" t="s">
        <v>15</v>
      </c>
    </row>
    <row r="2" spans="1:16" s="7" customFormat="1" ht="15.75" thickBot="1" x14ac:dyDescent="0.3">
      <c r="A2" s="92"/>
      <c r="B2" s="1"/>
      <c r="C2" s="6">
        <v>2026</v>
      </c>
      <c r="D2" s="6" t="s">
        <v>16</v>
      </c>
      <c r="E2" s="48"/>
      <c r="F2" s="48"/>
      <c r="G2" s="48"/>
      <c r="H2" s="48"/>
      <c r="I2" s="48"/>
      <c r="J2" s="48"/>
      <c r="K2" s="48"/>
      <c r="L2" s="48"/>
      <c r="M2" s="48"/>
      <c r="N2" s="48"/>
      <c r="O2" s="48"/>
      <c r="P2" s="48"/>
    </row>
    <row r="3" spans="1:16" ht="81" customHeight="1" thickBot="1" x14ac:dyDescent="0.3">
      <c r="A3" s="64" t="s">
        <v>18</v>
      </c>
      <c r="B3" s="21" t="s">
        <v>17</v>
      </c>
      <c r="C3" s="10">
        <v>2</v>
      </c>
      <c r="D3" s="39">
        <f t="shared" ref="D3:D8" si="0">SUM(E3:P3)</f>
        <v>2</v>
      </c>
      <c r="E3" s="50"/>
      <c r="F3" s="50">
        <v>1</v>
      </c>
      <c r="G3" s="50">
        <v>1</v>
      </c>
      <c r="H3" s="50"/>
      <c r="I3" s="50"/>
      <c r="J3" s="50"/>
      <c r="K3" s="50"/>
      <c r="L3" s="50"/>
      <c r="M3" s="50"/>
      <c r="N3" s="50"/>
      <c r="O3" s="50"/>
      <c r="P3" s="50"/>
    </row>
    <row r="4" spans="1:16" ht="99.75" customHeight="1" thickBot="1" x14ac:dyDescent="0.3">
      <c r="A4" s="65" t="s">
        <v>20</v>
      </c>
      <c r="B4" s="22" t="s">
        <v>19</v>
      </c>
      <c r="C4" s="13">
        <v>2</v>
      </c>
      <c r="D4" s="39">
        <f t="shared" si="0"/>
        <v>0</v>
      </c>
      <c r="E4" s="50">
        <v>0</v>
      </c>
      <c r="F4" s="50">
        <v>0</v>
      </c>
      <c r="G4" s="50">
        <v>0</v>
      </c>
      <c r="H4" s="50">
        <v>0</v>
      </c>
      <c r="I4" s="50"/>
      <c r="J4" s="50"/>
      <c r="K4" s="50"/>
      <c r="L4" s="50"/>
      <c r="M4" s="50"/>
      <c r="N4" s="50"/>
      <c r="O4" s="50"/>
      <c r="P4" s="50"/>
    </row>
    <row r="5" spans="1:16" ht="99.75" customHeight="1" thickBot="1" x14ac:dyDescent="0.3">
      <c r="A5" s="79" t="s">
        <v>22</v>
      </c>
      <c r="B5" s="23" t="s">
        <v>27</v>
      </c>
      <c r="C5" s="16">
        <v>1</v>
      </c>
      <c r="D5" s="39">
        <f t="shared" si="0"/>
        <v>0</v>
      </c>
      <c r="E5" s="50">
        <v>0</v>
      </c>
      <c r="F5" s="50">
        <v>0</v>
      </c>
      <c r="G5" s="50">
        <v>0</v>
      </c>
      <c r="H5" s="50">
        <v>0</v>
      </c>
      <c r="I5" s="50"/>
      <c r="J5" s="50"/>
      <c r="K5" s="50"/>
      <c r="L5" s="50"/>
      <c r="M5" s="50"/>
      <c r="N5" s="50"/>
      <c r="O5" s="50"/>
      <c r="P5" s="50"/>
    </row>
    <row r="6" spans="1:16" ht="99.75" customHeight="1" thickBot="1" x14ac:dyDescent="0.3">
      <c r="A6" s="66" t="s">
        <v>18</v>
      </c>
      <c r="B6" s="21" t="s">
        <v>23</v>
      </c>
      <c r="C6" s="18">
        <v>2</v>
      </c>
      <c r="D6" s="39">
        <f t="shared" si="0"/>
        <v>1</v>
      </c>
      <c r="E6" s="50"/>
      <c r="F6" s="50"/>
      <c r="G6" s="50"/>
      <c r="H6" s="50"/>
      <c r="I6" s="50">
        <v>1</v>
      </c>
      <c r="J6" s="50"/>
      <c r="K6" s="50"/>
      <c r="L6" s="50"/>
      <c r="M6" s="50"/>
      <c r="N6" s="50"/>
      <c r="O6" s="50"/>
      <c r="P6" s="50"/>
    </row>
    <row r="7" spans="1:16" ht="99.75" customHeight="1" thickBot="1" x14ac:dyDescent="0.3">
      <c r="A7" s="66" t="s">
        <v>18</v>
      </c>
      <c r="B7" s="21" t="s">
        <v>24</v>
      </c>
      <c r="C7" s="17">
        <v>2</v>
      </c>
      <c r="D7" s="39">
        <f t="shared" si="0"/>
        <v>1</v>
      </c>
      <c r="E7" s="50">
        <v>1</v>
      </c>
      <c r="F7" s="50"/>
      <c r="G7" s="50"/>
      <c r="H7" s="50"/>
      <c r="I7" s="50"/>
      <c r="J7" s="50"/>
      <c r="K7" s="50"/>
      <c r="L7" s="50"/>
      <c r="M7" s="50"/>
      <c r="N7" s="50"/>
      <c r="O7" s="50"/>
      <c r="P7" s="50"/>
    </row>
    <row r="8" spans="1:16" ht="99.75" customHeight="1" thickBot="1" x14ac:dyDescent="0.3">
      <c r="A8" s="66" t="s">
        <v>18</v>
      </c>
      <c r="B8" s="24" t="s">
        <v>29</v>
      </c>
      <c r="C8" s="17">
        <v>1</v>
      </c>
      <c r="D8" s="39">
        <f t="shared" si="0"/>
        <v>0</v>
      </c>
      <c r="E8" s="50"/>
      <c r="F8" s="50"/>
      <c r="G8" s="50"/>
      <c r="H8" s="50"/>
      <c r="I8" s="50"/>
      <c r="J8" s="50"/>
      <c r="K8" s="50"/>
      <c r="L8" s="50"/>
      <c r="M8" s="50"/>
      <c r="N8" s="50"/>
      <c r="O8" s="50"/>
      <c r="P8" s="50"/>
    </row>
    <row r="9" spans="1:16" ht="28.5" customHeight="1" x14ac:dyDescent="0.25">
      <c r="A9" s="86" t="s">
        <v>87</v>
      </c>
      <c r="B9" s="54" t="s">
        <v>59</v>
      </c>
      <c r="C9" s="17">
        <v>0</v>
      </c>
      <c r="D9" s="39">
        <f t="shared" ref="D9:D36" si="1">SUM(E9:P9)</f>
        <v>0</v>
      </c>
      <c r="E9" s="50"/>
      <c r="F9" s="50"/>
      <c r="G9" s="50"/>
      <c r="H9" s="50"/>
      <c r="I9" s="50"/>
      <c r="J9" s="50"/>
      <c r="K9" s="50"/>
      <c r="L9" s="50"/>
      <c r="M9" s="50"/>
      <c r="N9" s="50"/>
      <c r="O9" s="50"/>
      <c r="P9" s="50"/>
    </row>
    <row r="10" spans="1:16" ht="28.5" customHeight="1" x14ac:dyDescent="0.25">
      <c r="A10" s="87"/>
      <c r="B10" s="54" t="s">
        <v>74</v>
      </c>
      <c r="C10" s="17">
        <v>0</v>
      </c>
      <c r="D10" s="39">
        <f t="shared" si="1"/>
        <v>0</v>
      </c>
      <c r="E10" s="50"/>
      <c r="F10" s="50"/>
      <c r="G10" s="50"/>
      <c r="H10" s="50"/>
      <c r="I10" s="50"/>
      <c r="J10" s="50"/>
      <c r="K10" s="50"/>
      <c r="L10" s="50"/>
      <c r="M10" s="50"/>
      <c r="N10" s="50"/>
      <c r="O10" s="50"/>
      <c r="P10" s="50"/>
    </row>
    <row r="11" spans="1:16" ht="28.5" customHeight="1" x14ac:dyDescent="0.25">
      <c r="A11" s="87"/>
      <c r="B11" s="54" t="s">
        <v>60</v>
      </c>
      <c r="C11" s="17">
        <v>32</v>
      </c>
      <c r="D11" s="39">
        <f t="shared" si="1"/>
        <v>14</v>
      </c>
      <c r="E11" s="50">
        <v>1</v>
      </c>
      <c r="F11" s="50"/>
      <c r="G11" s="50">
        <v>2</v>
      </c>
      <c r="H11" s="50"/>
      <c r="I11" s="50">
        <v>11</v>
      </c>
      <c r="J11" s="50"/>
      <c r="K11" s="50"/>
      <c r="L11" s="50"/>
      <c r="M11" s="50"/>
      <c r="N11" s="50"/>
      <c r="O11" s="50"/>
      <c r="P11" s="50"/>
    </row>
    <row r="12" spans="1:16" ht="28.5" customHeight="1" x14ac:dyDescent="0.25">
      <c r="A12" s="87"/>
      <c r="B12" s="54" t="s">
        <v>61</v>
      </c>
      <c r="C12" s="17">
        <v>8</v>
      </c>
      <c r="D12" s="39">
        <f t="shared" si="1"/>
        <v>1</v>
      </c>
      <c r="E12" s="50"/>
      <c r="F12" s="50"/>
      <c r="G12" s="50"/>
      <c r="H12" s="50">
        <v>1</v>
      </c>
      <c r="I12" s="50"/>
      <c r="J12" s="50"/>
      <c r="K12" s="50"/>
      <c r="L12" s="50"/>
      <c r="M12" s="50"/>
      <c r="N12" s="50"/>
      <c r="O12" s="50"/>
      <c r="P12" s="50"/>
    </row>
    <row r="13" spans="1:16" ht="28.5" customHeight="1" x14ac:dyDescent="0.25">
      <c r="A13" s="87"/>
      <c r="B13" s="54" t="s">
        <v>62</v>
      </c>
      <c r="C13" s="17">
        <v>0</v>
      </c>
      <c r="D13" s="39">
        <f t="shared" si="1"/>
        <v>0</v>
      </c>
      <c r="E13" s="50"/>
      <c r="F13" s="50"/>
      <c r="G13" s="50"/>
      <c r="H13" s="50"/>
      <c r="I13" s="50"/>
      <c r="J13" s="50"/>
      <c r="K13" s="50"/>
      <c r="L13" s="50"/>
      <c r="M13" s="50"/>
      <c r="N13" s="50"/>
      <c r="O13" s="50"/>
      <c r="P13" s="50"/>
    </row>
    <row r="14" spans="1:16" ht="28.5" customHeight="1" x14ac:dyDescent="0.25">
      <c r="A14" s="87"/>
      <c r="B14" s="54" t="s">
        <v>63</v>
      </c>
      <c r="C14" s="17">
        <v>8</v>
      </c>
      <c r="D14" s="39">
        <f t="shared" si="1"/>
        <v>0</v>
      </c>
      <c r="E14" s="50"/>
      <c r="F14" s="50"/>
      <c r="G14" s="50"/>
      <c r="H14" s="50"/>
      <c r="I14" s="50"/>
      <c r="J14" s="50"/>
      <c r="K14" s="50"/>
      <c r="L14" s="50"/>
      <c r="M14" s="50"/>
      <c r="N14" s="50"/>
      <c r="O14" s="50"/>
      <c r="P14" s="50"/>
    </row>
    <row r="15" spans="1:16" ht="28.5" customHeight="1" x14ac:dyDescent="0.25">
      <c r="A15" s="87"/>
      <c r="B15" s="54" t="s">
        <v>64</v>
      </c>
      <c r="C15" s="17">
        <v>5</v>
      </c>
      <c r="D15" s="39">
        <f t="shared" si="1"/>
        <v>0</v>
      </c>
      <c r="E15" s="50"/>
      <c r="F15" s="50"/>
      <c r="G15" s="50"/>
      <c r="H15" s="50"/>
      <c r="I15" s="50"/>
      <c r="J15" s="50"/>
      <c r="K15" s="50"/>
      <c r="L15" s="50"/>
      <c r="M15" s="50"/>
      <c r="N15" s="50"/>
      <c r="O15" s="50"/>
      <c r="P15" s="50"/>
    </row>
    <row r="16" spans="1:16" ht="28.5" customHeight="1" x14ac:dyDescent="0.25">
      <c r="A16" s="87"/>
      <c r="B16" s="54" t="s">
        <v>65</v>
      </c>
      <c r="C16" s="17">
        <v>3</v>
      </c>
      <c r="D16" s="39">
        <f t="shared" si="1"/>
        <v>0</v>
      </c>
      <c r="E16" s="50"/>
      <c r="F16" s="50"/>
      <c r="G16" s="50"/>
      <c r="H16" s="50"/>
      <c r="I16" s="50"/>
      <c r="J16" s="50"/>
      <c r="K16" s="50"/>
      <c r="L16" s="50"/>
      <c r="M16" s="50"/>
      <c r="N16" s="50"/>
      <c r="O16" s="50"/>
      <c r="P16" s="50"/>
    </row>
    <row r="17" spans="1:16" ht="28.5" customHeight="1" x14ac:dyDescent="0.25">
      <c r="A17" s="87"/>
      <c r="B17" s="54" t="s">
        <v>66</v>
      </c>
      <c r="C17" s="17">
        <v>2</v>
      </c>
      <c r="D17" s="39">
        <f t="shared" si="1"/>
        <v>0</v>
      </c>
      <c r="E17" s="50"/>
      <c r="F17" s="50"/>
      <c r="G17" s="50"/>
      <c r="H17" s="50"/>
      <c r="I17" s="50"/>
      <c r="J17" s="50"/>
      <c r="K17" s="50"/>
      <c r="L17" s="50"/>
      <c r="M17" s="50"/>
      <c r="N17" s="50"/>
      <c r="O17" s="50"/>
      <c r="P17" s="50"/>
    </row>
    <row r="18" spans="1:16" ht="28.5" customHeight="1" x14ac:dyDescent="0.25">
      <c r="A18" s="87"/>
      <c r="B18" s="54" t="s">
        <v>67</v>
      </c>
      <c r="C18" s="17">
        <v>3</v>
      </c>
      <c r="D18" s="39">
        <f t="shared" si="1"/>
        <v>0</v>
      </c>
      <c r="E18" s="50"/>
      <c r="F18" s="50"/>
      <c r="G18" s="50"/>
      <c r="H18" s="50"/>
      <c r="I18" s="50"/>
      <c r="J18" s="50"/>
      <c r="K18" s="50"/>
      <c r="L18" s="50"/>
      <c r="M18" s="50"/>
      <c r="N18" s="50"/>
      <c r="O18" s="50"/>
      <c r="P18" s="50"/>
    </row>
    <row r="19" spans="1:16" ht="28.5" customHeight="1" x14ac:dyDescent="0.25">
      <c r="A19" s="87"/>
      <c r="B19" s="54" t="s">
        <v>68</v>
      </c>
      <c r="C19" s="17">
        <v>3</v>
      </c>
      <c r="D19" s="39">
        <f t="shared" si="1"/>
        <v>0</v>
      </c>
      <c r="E19" s="50"/>
      <c r="F19" s="50"/>
      <c r="G19" s="50"/>
      <c r="H19" s="50"/>
      <c r="I19" s="50"/>
      <c r="J19" s="50"/>
      <c r="K19" s="50"/>
      <c r="L19" s="50"/>
      <c r="M19" s="50"/>
      <c r="N19" s="50"/>
      <c r="O19" s="50"/>
      <c r="P19" s="50"/>
    </row>
    <row r="20" spans="1:16" ht="28.5" customHeight="1" x14ac:dyDescent="0.25">
      <c r="A20" s="87"/>
      <c r="B20" s="54" t="s">
        <v>69</v>
      </c>
      <c r="C20" s="17">
        <v>0</v>
      </c>
      <c r="D20" s="39">
        <f t="shared" si="1"/>
        <v>0</v>
      </c>
      <c r="E20" s="50"/>
      <c r="F20" s="50"/>
      <c r="G20" s="50"/>
      <c r="H20" s="50"/>
      <c r="I20" s="50"/>
      <c r="J20" s="50"/>
      <c r="K20" s="50"/>
      <c r="L20" s="50"/>
      <c r="M20" s="50"/>
      <c r="N20" s="50"/>
      <c r="O20" s="50"/>
      <c r="P20" s="50"/>
    </row>
    <row r="21" spans="1:16" ht="28.5" customHeight="1" x14ac:dyDescent="0.25">
      <c r="A21" s="87"/>
      <c r="B21" s="54" t="s">
        <v>70</v>
      </c>
      <c r="C21" s="17">
        <v>0</v>
      </c>
      <c r="D21" s="39">
        <f t="shared" si="1"/>
        <v>0</v>
      </c>
      <c r="E21" s="50"/>
      <c r="F21" s="50"/>
      <c r="G21" s="50"/>
      <c r="H21" s="50"/>
      <c r="I21" s="50"/>
      <c r="J21" s="50"/>
      <c r="K21" s="50"/>
      <c r="L21" s="50"/>
      <c r="M21" s="50"/>
      <c r="N21" s="50"/>
      <c r="O21" s="50"/>
      <c r="P21" s="50"/>
    </row>
    <row r="22" spans="1:16" ht="28.5" customHeight="1" x14ac:dyDescent="0.25">
      <c r="A22" s="87"/>
      <c r="B22" s="54" t="s">
        <v>71</v>
      </c>
      <c r="C22" s="17">
        <v>0</v>
      </c>
      <c r="D22" s="39">
        <f t="shared" si="1"/>
        <v>0</v>
      </c>
      <c r="E22" s="50"/>
      <c r="F22" s="50"/>
      <c r="G22" s="50"/>
      <c r="H22" s="50"/>
      <c r="I22" s="50"/>
      <c r="J22" s="50"/>
      <c r="K22" s="50"/>
      <c r="L22" s="50"/>
      <c r="M22" s="50"/>
      <c r="N22" s="50"/>
      <c r="O22" s="50"/>
      <c r="P22" s="50"/>
    </row>
    <row r="23" spans="1:16" ht="28.5" customHeight="1" x14ac:dyDescent="0.25">
      <c r="A23" s="87"/>
      <c r="B23" s="54" t="s">
        <v>72</v>
      </c>
      <c r="C23" s="17">
        <v>67</v>
      </c>
      <c r="D23" s="39">
        <f t="shared" si="1"/>
        <v>18</v>
      </c>
      <c r="E23" s="50"/>
      <c r="F23" s="50"/>
      <c r="G23" s="50"/>
      <c r="H23" s="50">
        <v>8</v>
      </c>
      <c r="I23" s="50"/>
      <c r="J23" s="50">
        <v>10</v>
      </c>
      <c r="K23" s="50"/>
      <c r="L23" s="50"/>
      <c r="M23" s="50"/>
      <c r="N23" s="50"/>
      <c r="O23" s="50"/>
      <c r="P23" s="50"/>
    </row>
    <row r="24" spans="1:16" ht="28.5" customHeight="1" x14ac:dyDescent="0.25">
      <c r="A24" s="87"/>
      <c r="B24" s="54" t="s">
        <v>73</v>
      </c>
      <c r="C24" s="17">
        <v>2</v>
      </c>
      <c r="D24" s="39">
        <f t="shared" si="1"/>
        <v>0</v>
      </c>
      <c r="E24" s="50"/>
      <c r="F24" s="50"/>
      <c r="G24" s="50"/>
      <c r="H24" s="50"/>
      <c r="I24" s="50"/>
      <c r="J24" s="50"/>
      <c r="K24" s="50"/>
      <c r="L24" s="50"/>
      <c r="M24" s="50"/>
      <c r="N24" s="50"/>
      <c r="O24" s="50"/>
      <c r="P24" s="50"/>
    </row>
    <row r="25" spans="1:16" ht="24" customHeight="1" x14ac:dyDescent="0.25">
      <c r="A25" s="87"/>
      <c r="B25" s="55" t="s">
        <v>75</v>
      </c>
      <c r="C25" s="17">
        <v>1</v>
      </c>
      <c r="D25" s="39">
        <f t="shared" si="1"/>
        <v>1</v>
      </c>
      <c r="E25" s="50"/>
      <c r="F25" s="50"/>
      <c r="G25" s="50">
        <v>1</v>
      </c>
      <c r="H25" s="50"/>
      <c r="I25" s="50"/>
      <c r="J25" s="50"/>
      <c r="K25" s="50"/>
      <c r="L25" s="50"/>
      <c r="M25" s="50"/>
      <c r="N25" s="50"/>
      <c r="O25" s="50"/>
      <c r="P25" s="50"/>
    </row>
    <row r="26" spans="1:16" ht="24" customHeight="1" x14ac:dyDescent="0.25">
      <c r="A26" s="87"/>
      <c r="B26" s="55" t="s">
        <v>76</v>
      </c>
      <c r="C26" s="17">
        <v>1</v>
      </c>
      <c r="D26" s="39">
        <f t="shared" si="1"/>
        <v>1</v>
      </c>
      <c r="E26" s="50"/>
      <c r="F26" s="50"/>
      <c r="G26" s="50"/>
      <c r="H26" s="50"/>
      <c r="I26" s="50"/>
      <c r="J26" s="50">
        <v>1</v>
      </c>
      <c r="K26" s="50"/>
      <c r="L26" s="50"/>
      <c r="M26" s="50"/>
      <c r="N26" s="50"/>
      <c r="O26" s="50"/>
      <c r="P26" s="50"/>
    </row>
    <row r="27" spans="1:16" ht="24" customHeight="1" x14ac:dyDescent="0.25">
      <c r="A27" s="87"/>
      <c r="B27" s="55" t="s">
        <v>77</v>
      </c>
      <c r="C27" s="17">
        <v>1</v>
      </c>
      <c r="D27" s="39">
        <f t="shared" si="1"/>
        <v>0</v>
      </c>
      <c r="E27" s="50"/>
      <c r="F27" s="50"/>
      <c r="G27" s="50"/>
      <c r="H27" s="50"/>
      <c r="I27" s="50"/>
      <c r="J27" s="50"/>
      <c r="K27" s="50"/>
      <c r="L27" s="50"/>
      <c r="M27" s="50"/>
      <c r="N27" s="50"/>
      <c r="O27" s="50"/>
      <c r="P27" s="50"/>
    </row>
    <row r="28" spans="1:16" ht="24" customHeight="1" x14ac:dyDescent="0.25">
      <c r="A28" s="87"/>
      <c r="B28" s="55" t="s">
        <v>78</v>
      </c>
      <c r="C28" s="17">
        <v>1</v>
      </c>
      <c r="D28" s="39">
        <f t="shared" si="1"/>
        <v>0</v>
      </c>
      <c r="E28" s="50"/>
      <c r="F28" s="50"/>
      <c r="G28" s="50"/>
      <c r="H28" s="50"/>
      <c r="I28" s="50"/>
      <c r="J28" s="50"/>
      <c r="K28" s="50"/>
      <c r="L28" s="50"/>
      <c r="M28" s="50"/>
      <c r="N28" s="50"/>
      <c r="O28" s="50"/>
      <c r="P28" s="50"/>
    </row>
    <row r="29" spans="1:16" ht="24" customHeight="1" x14ac:dyDescent="0.25">
      <c r="A29" s="87"/>
      <c r="B29" s="55" t="s">
        <v>79</v>
      </c>
      <c r="C29" s="17">
        <v>1</v>
      </c>
      <c r="D29" s="39">
        <f t="shared" si="1"/>
        <v>0</v>
      </c>
      <c r="E29" s="50"/>
      <c r="F29" s="50"/>
      <c r="G29" s="50"/>
      <c r="H29" s="50"/>
      <c r="I29" s="50"/>
      <c r="J29" s="50"/>
      <c r="K29" s="50"/>
      <c r="L29" s="50"/>
      <c r="M29" s="50"/>
      <c r="N29" s="50"/>
      <c r="O29" s="50"/>
      <c r="P29" s="50"/>
    </row>
    <row r="30" spans="1:16" ht="24" customHeight="1" x14ac:dyDescent="0.25">
      <c r="A30" s="87"/>
      <c r="B30" s="55" t="s">
        <v>80</v>
      </c>
      <c r="C30" s="17">
        <v>1</v>
      </c>
      <c r="D30" s="39">
        <f t="shared" si="1"/>
        <v>0</v>
      </c>
      <c r="E30" s="50"/>
      <c r="F30" s="50"/>
      <c r="G30" s="50"/>
      <c r="H30" s="50"/>
      <c r="I30" s="50"/>
      <c r="J30" s="50"/>
      <c r="K30" s="50"/>
      <c r="L30" s="50"/>
      <c r="M30" s="50"/>
      <c r="N30" s="50"/>
      <c r="O30" s="50"/>
      <c r="P30" s="50"/>
    </row>
    <row r="31" spans="1:16" ht="24" customHeight="1" x14ac:dyDescent="0.25">
      <c r="A31" s="87"/>
      <c r="B31" s="55" t="s">
        <v>81</v>
      </c>
      <c r="C31" s="17">
        <v>1</v>
      </c>
      <c r="D31" s="39">
        <f t="shared" si="1"/>
        <v>0</v>
      </c>
      <c r="E31" s="50"/>
      <c r="F31" s="50"/>
      <c r="G31" s="50"/>
      <c r="H31" s="50"/>
      <c r="I31" s="50"/>
      <c r="J31" s="50"/>
      <c r="K31" s="50"/>
      <c r="L31" s="50"/>
      <c r="M31" s="50"/>
      <c r="N31" s="50"/>
      <c r="O31" s="50"/>
      <c r="P31" s="50"/>
    </row>
    <row r="32" spans="1:16" ht="24" customHeight="1" x14ac:dyDescent="0.25">
      <c r="A32" s="87"/>
      <c r="B32" s="55" t="s">
        <v>82</v>
      </c>
      <c r="C32" s="17">
        <v>1</v>
      </c>
      <c r="D32" s="39">
        <f t="shared" si="1"/>
        <v>0</v>
      </c>
      <c r="E32" s="50"/>
      <c r="F32" s="50"/>
      <c r="G32" s="50"/>
      <c r="H32" s="50"/>
      <c r="I32" s="50"/>
      <c r="J32" s="50"/>
      <c r="K32" s="50"/>
      <c r="L32" s="50"/>
      <c r="M32" s="50"/>
      <c r="N32" s="50"/>
      <c r="O32" s="50"/>
      <c r="P32" s="50"/>
    </row>
    <row r="33" spans="1:16" ht="24" customHeight="1" x14ac:dyDescent="0.25">
      <c r="A33" s="87"/>
      <c r="B33" s="55" t="s">
        <v>83</v>
      </c>
      <c r="C33" s="17">
        <v>1</v>
      </c>
      <c r="D33" s="39">
        <f t="shared" si="1"/>
        <v>0</v>
      </c>
      <c r="E33" s="50"/>
      <c r="F33" s="50"/>
      <c r="G33" s="50"/>
      <c r="H33" s="50"/>
      <c r="I33" s="50"/>
      <c r="J33" s="50"/>
      <c r="K33" s="50"/>
      <c r="L33" s="50"/>
      <c r="M33" s="50"/>
      <c r="N33" s="50"/>
      <c r="O33" s="50"/>
      <c r="P33" s="50"/>
    </row>
    <row r="34" spans="1:16" ht="24" customHeight="1" x14ac:dyDescent="0.25">
      <c r="A34" s="87"/>
      <c r="B34" s="55" t="s">
        <v>84</v>
      </c>
      <c r="C34" s="17">
        <v>1</v>
      </c>
      <c r="D34" s="39">
        <f t="shared" si="1"/>
        <v>0</v>
      </c>
      <c r="E34" s="50"/>
      <c r="F34" s="50"/>
      <c r="G34" s="50"/>
      <c r="H34" s="50"/>
      <c r="I34" s="50"/>
      <c r="J34" s="50"/>
      <c r="K34" s="50"/>
      <c r="L34" s="50"/>
      <c r="M34" s="50"/>
      <c r="N34" s="50"/>
      <c r="O34" s="50"/>
      <c r="P34" s="50"/>
    </row>
    <row r="35" spans="1:16" ht="24" customHeight="1" x14ac:dyDescent="0.25">
      <c r="A35" s="87"/>
      <c r="B35" s="55" t="s">
        <v>85</v>
      </c>
      <c r="C35" s="17">
        <v>1</v>
      </c>
      <c r="D35" s="39">
        <f t="shared" si="1"/>
        <v>0</v>
      </c>
      <c r="E35" s="50"/>
      <c r="F35" s="50"/>
      <c r="G35" s="50"/>
      <c r="H35" s="50"/>
      <c r="I35" s="50"/>
      <c r="J35" s="50"/>
      <c r="K35" s="50"/>
      <c r="L35" s="50"/>
      <c r="M35" s="50"/>
      <c r="N35" s="50"/>
      <c r="O35" s="50"/>
      <c r="P35" s="50"/>
    </row>
    <row r="36" spans="1:16" ht="24" customHeight="1" thickBot="1" x14ac:dyDescent="0.3">
      <c r="A36" s="88"/>
      <c r="B36" s="56" t="s">
        <v>86</v>
      </c>
      <c r="C36" s="17">
        <v>1</v>
      </c>
      <c r="D36" s="63">
        <f t="shared" si="1"/>
        <v>0</v>
      </c>
      <c r="E36" s="50"/>
      <c r="F36" s="50"/>
      <c r="G36" s="50"/>
      <c r="H36" s="50"/>
      <c r="I36" s="50"/>
      <c r="J36" s="50"/>
      <c r="K36" s="50"/>
      <c r="L36" s="50"/>
      <c r="M36" s="50"/>
      <c r="N36" s="50"/>
      <c r="O36" s="50"/>
      <c r="P36" s="50"/>
    </row>
    <row r="37" spans="1:16" x14ac:dyDescent="0.25">
      <c r="C37" s="51">
        <f>SUM(C3:C36)</f>
        <v>155</v>
      </c>
      <c r="D37" s="51">
        <f>SUM(D3:D36)</f>
        <v>39</v>
      </c>
      <c r="E37" s="50"/>
      <c r="F37" s="50"/>
      <c r="G37" s="50"/>
      <c r="H37" s="50"/>
      <c r="I37" s="50"/>
      <c r="J37" s="50"/>
      <c r="K37" s="50"/>
      <c r="L37" s="50"/>
      <c r="M37" s="50"/>
      <c r="N37" s="50"/>
      <c r="O37" s="50"/>
      <c r="P37" s="50"/>
    </row>
    <row r="38" spans="1:16" x14ac:dyDescent="0.25">
      <c r="D38" s="20">
        <f>D37/C37</f>
        <v>0.25161290322580643</v>
      </c>
    </row>
  </sheetData>
  <sheetProtection algorithmName="SHA-512" hashValue="iIOlnTED/yuu6He+dt17mL8tgquP77J9W0lmhBwzjBRKwzuZDoZhPx6xWwKOffD14q9UcD+bk3LKBjN9Pcx+qw==" saltValue="h6hP4bntFRsLegvR0lD3VQ==" spinCount="100000" sheet="1" objects="1" scenarios="1" autoFilter="0"/>
  <mergeCells count="2">
    <mergeCell ref="A9:A36"/>
    <mergeCell ref="A1:A2"/>
  </mergeCells>
  <conditionalFormatting sqref="C3:D3">
    <cfRule type="dataBar" priority="6">
      <dataBar>
        <cfvo type="min"/>
        <cfvo type="max"/>
        <color rgb="FF008AEF"/>
      </dataBar>
      <extLst>
        <ext xmlns:x14="http://schemas.microsoft.com/office/spreadsheetml/2009/9/main" uri="{B025F937-C7B1-47D3-B67F-A62EFF666E3E}">
          <x14:id>{01969B6B-931F-4159-B3DA-C5FD6B3B5033}</x14:id>
        </ext>
      </extLst>
    </cfRule>
  </conditionalFormatting>
  <conditionalFormatting sqref="C4:D4">
    <cfRule type="dataBar" priority="5">
      <dataBar>
        <cfvo type="min"/>
        <cfvo type="max"/>
        <color rgb="FF008AEF"/>
      </dataBar>
      <extLst>
        <ext xmlns:x14="http://schemas.microsoft.com/office/spreadsheetml/2009/9/main" uri="{B025F937-C7B1-47D3-B67F-A62EFF666E3E}">
          <x14:id>{D2B3ECCB-AF28-4FA4-BFAC-EE359A38EA9A}</x14:id>
        </ext>
      </extLst>
    </cfRule>
  </conditionalFormatting>
  <conditionalFormatting sqref="C5:D5">
    <cfRule type="dataBar" priority="4">
      <dataBar>
        <cfvo type="min"/>
        <cfvo type="max"/>
        <color rgb="FF008AEF"/>
      </dataBar>
      <extLst>
        <ext xmlns:x14="http://schemas.microsoft.com/office/spreadsheetml/2009/9/main" uri="{B025F937-C7B1-47D3-B67F-A62EFF666E3E}">
          <x14:id>{BCBA40D7-4553-4D43-A2BD-1E303F90772F}</x14:id>
        </ext>
      </extLst>
    </cfRule>
  </conditionalFormatting>
  <conditionalFormatting sqref="C6:D6">
    <cfRule type="dataBar" priority="3">
      <dataBar>
        <cfvo type="min"/>
        <cfvo type="max"/>
        <color rgb="FF008AEF"/>
      </dataBar>
      <extLst>
        <ext xmlns:x14="http://schemas.microsoft.com/office/spreadsheetml/2009/9/main" uri="{B025F937-C7B1-47D3-B67F-A62EFF666E3E}">
          <x14:id>{0076D7D8-F977-4DB0-9ED8-E5902721EB84}</x14:id>
        </ext>
      </extLst>
    </cfRule>
  </conditionalFormatting>
  <conditionalFormatting sqref="C7:D7">
    <cfRule type="dataBar" priority="2">
      <dataBar>
        <cfvo type="min"/>
        <cfvo type="max"/>
        <color rgb="FF008AEF"/>
      </dataBar>
      <extLst>
        <ext xmlns:x14="http://schemas.microsoft.com/office/spreadsheetml/2009/9/main" uri="{B025F937-C7B1-47D3-B67F-A62EFF666E3E}">
          <x14:id>{BF94043D-CE1B-424F-A065-1DE7C78E060B}</x14:id>
        </ext>
      </extLst>
    </cfRule>
  </conditionalFormatting>
  <conditionalFormatting sqref="C8:D8">
    <cfRule type="dataBar" priority="1">
      <dataBar>
        <cfvo type="min"/>
        <cfvo type="max"/>
        <color rgb="FF008AEF"/>
      </dataBar>
      <extLst>
        <ext xmlns:x14="http://schemas.microsoft.com/office/spreadsheetml/2009/9/main" uri="{B025F937-C7B1-47D3-B67F-A62EFF666E3E}">
          <x14:id>{AD1A2F84-2C8C-4236-B267-758B34D33D24}</x14:id>
        </ext>
      </extLst>
    </cfRule>
  </conditionalFormatting>
  <conditionalFormatting sqref="C10:D10">
    <cfRule type="dataBar" priority="33">
      <dataBar>
        <cfvo type="min"/>
        <cfvo type="max"/>
        <color rgb="FF008AEF"/>
      </dataBar>
      <extLst>
        <ext xmlns:x14="http://schemas.microsoft.com/office/spreadsheetml/2009/9/main" uri="{B025F937-C7B1-47D3-B67F-A62EFF666E3E}">
          <x14:id>{8EC0B4E0-5FE5-4537-ACB1-7024CA765DFF}</x14:id>
        </ext>
      </extLst>
    </cfRule>
  </conditionalFormatting>
  <conditionalFormatting sqref="C11:D11">
    <cfRule type="dataBar" priority="32">
      <dataBar>
        <cfvo type="min"/>
        <cfvo type="max"/>
        <color rgb="FF008AEF"/>
      </dataBar>
      <extLst>
        <ext xmlns:x14="http://schemas.microsoft.com/office/spreadsheetml/2009/9/main" uri="{B025F937-C7B1-47D3-B67F-A62EFF666E3E}">
          <x14:id>{53B15F4E-92F5-41AA-BF09-EF2FE279974A}</x14:id>
        </ext>
      </extLst>
    </cfRule>
  </conditionalFormatting>
  <conditionalFormatting sqref="C12:D12">
    <cfRule type="dataBar" priority="31">
      <dataBar>
        <cfvo type="min"/>
        <cfvo type="max"/>
        <color rgb="FF008AEF"/>
      </dataBar>
      <extLst>
        <ext xmlns:x14="http://schemas.microsoft.com/office/spreadsheetml/2009/9/main" uri="{B025F937-C7B1-47D3-B67F-A62EFF666E3E}">
          <x14:id>{7EC12B53-7FD6-48B4-863C-0C9B227793F5}</x14:id>
        </ext>
      </extLst>
    </cfRule>
  </conditionalFormatting>
  <conditionalFormatting sqref="C13:D13">
    <cfRule type="dataBar" priority="30">
      <dataBar>
        <cfvo type="min"/>
        <cfvo type="max"/>
        <color rgb="FF008AEF"/>
      </dataBar>
      <extLst>
        <ext xmlns:x14="http://schemas.microsoft.com/office/spreadsheetml/2009/9/main" uri="{B025F937-C7B1-47D3-B67F-A62EFF666E3E}">
          <x14:id>{70AD668D-F4FD-4A9D-92DC-33C5C38A2312}</x14:id>
        </ext>
      </extLst>
    </cfRule>
  </conditionalFormatting>
  <conditionalFormatting sqref="C14:D14">
    <cfRule type="dataBar" priority="29">
      <dataBar>
        <cfvo type="min"/>
        <cfvo type="max"/>
        <color rgb="FF008AEF"/>
      </dataBar>
      <extLst>
        <ext xmlns:x14="http://schemas.microsoft.com/office/spreadsheetml/2009/9/main" uri="{B025F937-C7B1-47D3-B67F-A62EFF666E3E}">
          <x14:id>{C4BBE1DF-9E64-4E8E-BD9A-FB4D3D4C6F5D}</x14:id>
        </ext>
      </extLst>
    </cfRule>
  </conditionalFormatting>
  <conditionalFormatting sqref="C15:D15">
    <cfRule type="dataBar" priority="28">
      <dataBar>
        <cfvo type="min"/>
        <cfvo type="max"/>
        <color rgb="FF008AEF"/>
      </dataBar>
      <extLst>
        <ext xmlns:x14="http://schemas.microsoft.com/office/spreadsheetml/2009/9/main" uri="{B025F937-C7B1-47D3-B67F-A62EFF666E3E}">
          <x14:id>{B080A256-9FFA-47ED-940B-A6841981DB56}</x14:id>
        </ext>
      </extLst>
    </cfRule>
  </conditionalFormatting>
  <conditionalFormatting sqref="C16:D16">
    <cfRule type="dataBar" priority="27">
      <dataBar>
        <cfvo type="min"/>
        <cfvo type="max"/>
        <color rgb="FF008AEF"/>
      </dataBar>
      <extLst>
        <ext xmlns:x14="http://schemas.microsoft.com/office/spreadsheetml/2009/9/main" uri="{B025F937-C7B1-47D3-B67F-A62EFF666E3E}">
          <x14:id>{BA9709D4-CF68-4B63-838B-4A379FD81760}</x14:id>
        </ext>
      </extLst>
    </cfRule>
  </conditionalFormatting>
  <conditionalFormatting sqref="C17:D17">
    <cfRule type="dataBar" priority="26">
      <dataBar>
        <cfvo type="min"/>
        <cfvo type="max"/>
        <color rgb="FF008AEF"/>
      </dataBar>
      <extLst>
        <ext xmlns:x14="http://schemas.microsoft.com/office/spreadsheetml/2009/9/main" uri="{B025F937-C7B1-47D3-B67F-A62EFF666E3E}">
          <x14:id>{8522E41A-0B0B-47C3-BE42-128F74E33FF8}</x14:id>
        </ext>
      </extLst>
    </cfRule>
  </conditionalFormatting>
  <conditionalFormatting sqref="C18:D18">
    <cfRule type="dataBar" priority="25">
      <dataBar>
        <cfvo type="min"/>
        <cfvo type="max"/>
        <color rgb="FF008AEF"/>
      </dataBar>
      <extLst>
        <ext xmlns:x14="http://schemas.microsoft.com/office/spreadsheetml/2009/9/main" uri="{B025F937-C7B1-47D3-B67F-A62EFF666E3E}">
          <x14:id>{0DF8571E-932D-4BAA-AFE5-44524C9F6605}</x14:id>
        </ext>
      </extLst>
    </cfRule>
  </conditionalFormatting>
  <conditionalFormatting sqref="C19:D19">
    <cfRule type="dataBar" priority="24">
      <dataBar>
        <cfvo type="min"/>
        <cfvo type="max"/>
        <color rgb="FF008AEF"/>
      </dataBar>
      <extLst>
        <ext xmlns:x14="http://schemas.microsoft.com/office/spreadsheetml/2009/9/main" uri="{B025F937-C7B1-47D3-B67F-A62EFF666E3E}">
          <x14:id>{02CDC9D2-BCBF-4A22-BAF9-F7CB8C6516C8}</x14:id>
        </ext>
      </extLst>
    </cfRule>
  </conditionalFormatting>
  <conditionalFormatting sqref="C20:D20">
    <cfRule type="dataBar" priority="23">
      <dataBar>
        <cfvo type="min"/>
        <cfvo type="max"/>
        <color rgb="FF008AEF"/>
      </dataBar>
      <extLst>
        <ext xmlns:x14="http://schemas.microsoft.com/office/spreadsheetml/2009/9/main" uri="{B025F937-C7B1-47D3-B67F-A62EFF666E3E}">
          <x14:id>{2D1D066E-E185-49BB-BCA5-79CFC2C74700}</x14:id>
        </ext>
      </extLst>
    </cfRule>
  </conditionalFormatting>
  <conditionalFormatting sqref="C21:D21">
    <cfRule type="dataBar" priority="22">
      <dataBar>
        <cfvo type="min"/>
        <cfvo type="max"/>
        <color rgb="FF008AEF"/>
      </dataBar>
      <extLst>
        <ext xmlns:x14="http://schemas.microsoft.com/office/spreadsheetml/2009/9/main" uri="{B025F937-C7B1-47D3-B67F-A62EFF666E3E}">
          <x14:id>{57C0704D-3BD4-4005-8C6C-5CAE3E20048B}</x14:id>
        </ext>
      </extLst>
    </cfRule>
  </conditionalFormatting>
  <conditionalFormatting sqref="C22:D22">
    <cfRule type="dataBar" priority="21">
      <dataBar>
        <cfvo type="min"/>
        <cfvo type="max"/>
        <color rgb="FF008AEF"/>
      </dataBar>
      <extLst>
        <ext xmlns:x14="http://schemas.microsoft.com/office/spreadsheetml/2009/9/main" uri="{B025F937-C7B1-47D3-B67F-A62EFF666E3E}">
          <x14:id>{7CF32D95-DACD-4A57-94D6-77F63857BBB8}</x14:id>
        </ext>
      </extLst>
    </cfRule>
  </conditionalFormatting>
  <conditionalFormatting sqref="C23:D23">
    <cfRule type="dataBar" priority="20">
      <dataBar>
        <cfvo type="min"/>
        <cfvo type="max"/>
        <color rgb="FF008AEF"/>
      </dataBar>
      <extLst>
        <ext xmlns:x14="http://schemas.microsoft.com/office/spreadsheetml/2009/9/main" uri="{B025F937-C7B1-47D3-B67F-A62EFF666E3E}">
          <x14:id>{A1EDB380-3455-4ACE-9F44-D015CD35B69B}</x14:id>
        </ext>
      </extLst>
    </cfRule>
  </conditionalFormatting>
  <conditionalFormatting sqref="C24:D24">
    <cfRule type="dataBar" priority="19">
      <dataBar>
        <cfvo type="min"/>
        <cfvo type="max"/>
        <color rgb="FF008AEF"/>
      </dataBar>
      <extLst>
        <ext xmlns:x14="http://schemas.microsoft.com/office/spreadsheetml/2009/9/main" uri="{B025F937-C7B1-47D3-B67F-A62EFF666E3E}">
          <x14:id>{F6251D43-0621-471D-9222-B3D259D5926C}</x14:id>
        </ext>
      </extLst>
    </cfRule>
  </conditionalFormatting>
  <conditionalFormatting sqref="C25:D25">
    <cfRule type="dataBar" priority="18">
      <dataBar>
        <cfvo type="min"/>
        <cfvo type="max"/>
        <color rgb="FF008AEF"/>
      </dataBar>
      <extLst>
        <ext xmlns:x14="http://schemas.microsoft.com/office/spreadsheetml/2009/9/main" uri="{B025F937-C7B1-47D3-B67F-A62EFF666E3E}">
          <x14:id>{479D44DB-43A9-46E3-BC5A-167898491294}</x14:id>
        </ext>
      </extLst>
    </cfRule>
  </conditionalFormatting>
  <conditionalFormatting sqref="C26:D26">
    <cfRule type="dataBar" priority="17">
      <dataBar>
        <cfvo type="min"/>
        <cfvo type="max"/>
        <color rgb="FF008AEF"/>
      </dataBar>
      <extLst>
        <ext xmlns:x14="http://schemas.microsoft.com/office/spreadsheetml/2009/9/main" uri="{B025F937-C7B1-47D3-B67F-A62EFF666E3E}">
          <x14:id>{4FC0BDFD-0823-4D0A-A8EC-6531D476594C}</x14:id>
        </ext>
      </extLst>
    </cfRule>
  </conditionalFormatting>
  <conditionalFormatting sqref="C27:D27">
    <cfRule type="dataBar" priority="16">
      <dataBar>
        <cfvo type="min"/>
        <cfvo type="max"/>
        <color rgb="FF008AEF"/>
      </dataBar>
      <extLst>
        <ext xmlns:x14="http://schemas.microsoft.com/office/spreadsheetml/2009/9/main" uri="{B025F937-C7B1-47D3-B67F-A62EFF666E3E}">
          <x14:id>{B633BB8A-E33C-4CDB-A79A-35EE32A80966}</x14:id>
        </ext>
      </extLst>
    </cfRule>
  </conditionalFormatting>
  <conditionalFormatting sqref="C28:D28">
    <cfRule type="dataBar" priority="15">
      <dataBar>
        <cfvo type="min"/>
        <cfvo type="max"/>
        <color rgb="FF008AEF"/>
      </dataBar>
      <extLst>
        <ext xmlns:x14="http://schemas.microsoft.com/office/spreadsheetml/2009/9/main" uri="{B025F937-C7B1-47D3-B67F-A62EFF666E3E}">
          <x14:id>{C2D5B684-54F9-4EF3-A380-37A16CE8C464}</x14:id>
        </ext>
      </extLst>
    </cfRule>
  </conditionalFormatting>
  <conditionalFormatting sqref="C29:D29">
    <cfRule type="dataBar" priority="14">
      <dataBar>
        <cfvo type="min"/>
        <cfvo type="max"/>
        <color rgb="FF008AEF"/>
      </dataBar>
      <extLst>
        <ext xmlns:x14="http://schemas.microsoft.com/office/spreadsheetml/2009/9/main" uri="{B025F937-C7B1-47D3-B67F-A62EFF666E3E}">
          <x14:id>{E7ECC06D-59FC-421A-8191-7FC9AB488C41}</x14:id>
        </ext>
      </extLst>
    </cfRule>
  </conditionalFormatting>
  <conditionalFormatting sqref="C30:D30">
    <cfRule type="dataBar" priority="13">
      <dataBar>
        <cfvo type="min"/>
        <cfvo type="max"/>
        <color rgb="FF008AEF"/>
      </dataBar>
      <extLst>
        <ext xmlns:x14="http://schemas.microsoft.com/office/spreadsheetml/2009/9/main" uri="{B025F937-C7B1-47D3-B67F-A62EFF666E3E}">
          <x14:id>{5DE482E2-9587-4DFD-BE2F-57C28C1A9447}</x14:id>
        </ext>
      </extLst>
    </cfRule>
  </conditionalFormatting>
  <conditionalFormatting sqref="C31:D31">
    <cfRule type="dataBar" priority="12">
      <dataBar>
        <cfvo type="min"/>
        <cfvo type="max"/>
        <color rgb="FF008AEF"/>
      </dataBar>
      <extLst>
        <ext xmlns:x14="http://schemas.microsoft.com/office/spreadsheetml/2009/9/main" uri="{B025F937-C7B1-47D3-B67F-A62EFF666E3E}">
          <x14:id>{25381D13-EEF3-4E7E-8BEF-3AE1D5FA89FA}</x14:id>
        </ext>
      </extLst>
    </cfRule>
  </conditionalFormatting>
  <conditionalFormatting sqref="C32:D32">
    <cfRule type="dataBar" priority="11">
      <dataBar>
        <cfvo type="min"/>
        <cfvo type="max"/>
        <color rgb="FF008AEF"/>
      </dataBar>
      <extLst>
        <ext xmlns:x14="http://schemas.microsoft.com/office/spreadsheetml/2009/9/main" uri="{B025F937-C7B1-47D3-B67F-A62EFF666E3E}">
          <x14:id>{A8F4EB36-0175-491C-A915-4B8C57B0B2B2}</x14:id>
        </ext>
      </extLst>
    </cfRule>
  </conditionalFormatting>
  <conditionalFormatting sqref="C33:D33">
    <cfRule type="dataBar" priority="10">
      <dataBar>
        <cfvo type="min"/>
        <cfvo type="max"/>
        <color rgb="FF008AEF"/>
      </dataBar>
      <extLst>
        <ext xmlns:x14="http://schemas.microsoft.com/office/spreadsheetml/2009/9/main" uri="{B025F937-C7B1-47D3-B67F-A62EFF666E3E}">
          <x14:id>{4C6FDD1C-316F-49BF-A1A7-A9C246480B4B}</x14:id>
        </ext>
      </extLst>
    </cfRule>
  </conditionalFormatting>
  <conditionalFormatting sqref="C34:D34">
    <cfRule type="dataBar" priority="9">
      <dataBar>
        <cfvo type="min"/>
        <cfvo type="max"/>
        <color rgb="FF008AEF"/>
      </dataBar>
      <extLst>
        <ext xmlns:x14="http://schemas.microsoft.com/office/spreadsheetml/2009/9/main" uri="{B025F937-C7B1-47D3-B67F-A62EFF666E3E}">
          <x14:id>{F4900A04-603F-41C2-92B1-9D287D4F7973}</x14:id>
        </ext>
      </extLst>
    </cfRule>
  </conditionalFormatting>
  <conditionalFormatting sqref="C35:D35">
    <cfRule type="dataBar" priority="8">
      <dataBar>
        <cfvo type="min"/>
        <cfvo type="max"/>
        <color rgb="FF008AEF"/>
      </dataBar>
      <extLst>
        <ext xmlns:x14="http://schemas.microsoft.com/office/spreadsheetml/2009/9/main" uri="{B025F937-C7B1-47D3-B67F-A62EFF666E3E}">
          <x14:id>{1D595AC8-C267-49F7-B794-F180E6FC6B9E}</x14:id>
        </ext>
      </extLst>
    </cfRule>
  </conditionalFormatting>
  <conditionalFormatting sqref="C36:D36">
    <cfRule type="dataBar" priority="7">
      <dataBar>
        <cfvo type="min"/>
        <cfvo type="max"/>
        <color rgb="FF008AEF"/>
      </dataBar>
      <extLst>
        <ext xmlns:x14="http://schemas.microsoft.com/office/spreadsheetml/2009/9/main" uri="{B025F937-C7B1-47D3-B67F-A62EFF666E3E}">
          <x14:id>{5A170279-42DE-495D-B95E-2505896984CB}</x14:id>
        </ext>
      </extLst>
    </cfRule>
  </conditionalFormatting>
  <conditionalFormatting sqref="E3:P37">
    <cfRule type="cellIs" dxfId="9" priority="35"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1969B6B-931F-4159-B3DA-C5FD6B3B5033}">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D2B3ECCB-AF28-4FA4-BFAC-EE359A38EA9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CBA40D7-4553-4D43-A2BD-1E303F90772F}">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076D7D8-F977-4DB0-9ED8-E5902721EB84}">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BF94043D-CE1B-424F-A065-1DE7C78E060B}">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AD1A2F84-2C8C-4236-B267-758B34D33D24}">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8EC0B4E0-5FE5-4537-ACB1-7024CA765DFF}">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53B15F4E-92F5-41AA-BF09-EF2FE279974A}">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7EC12B53-7FD6-48B4-863C-0C9B227793F5}">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0AD668D-F4FD-4A9D-92DC-33C5C38A2312}">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4BBE1DF-9E64-4E8E-BD9A-FB4D3D4C6F5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080A256-9FFA-47ED-940B-A6841981DB56}">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A9709D4-CF68-4B63-838B-4A379FD81760}">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8522E41A-0B0B-47C3-BE42-128F74E33FF8}">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0DF8571E-932D-4BAA-AFE5-44524C9F6605}">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2CDC9D2-BCBF-4A22-BAF9-F7CB8C6516C8}">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2D1D066E-E185-49BB-BCA5-79CFC2C7470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57C0704D-3BD4-4005-8C6C-5CAE3E20048B}">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7CF32D95-DACD-4A57-94D6-77F63857BBB8}">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A1EDB380-3455-4ACE-9F44-D015CD35B69B}">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F6251D43-0621-471D-9222-B3D259D5926C}">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479D44DB-43A9-46E3-BC5A-16789849129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FC0BDFD-0823-4D0A-A8EC-6531D476594C}">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B633BB8A-E33C-4CDB-A79A-35EE32A80966}">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2D5B684-54F9-4EF3-A380-37A16CE8C464}">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7ECC06D-59FC-421A-8191-7FC9AB488C41}">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DE482E2-9587-4DFD-BE2F-57C28C1A9447}">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25381D13-EEF3-4E7E-8BEF-3AE1D5FA89FA}">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A8F4EB36-0175-491C-A915-4B8C57B0B2B2}">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4C6FDD1C-316F-49BF-A1A7-A9C246480B4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F4900A04-603F-41C2-92B1-9D287D4F7973}">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1D595AC8-C267-49F7-B794-F180E6FC6B9E}">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5A170279-42DE-495D-B95E-2505896984CB}">
            <x14:dataBar minLength="0" maxLength="100" gradient="0">
              <x14:cfvo type="autoMin"/>
              <x14:cfvo type="autoMax"/>
              <x14:negativeFillColor rgb="FFFF0000"/>
              <x14:axisColor rgb="FF000000"/>
            </x14:dataBar>
          </x14:cfRule>
          <xm:sqref>C36:D36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'C:\Users\108720436\Desktop\16. PUMI 2025\II TRIMESTRE\JUNIO\DR1 CENTRAL\[D2 Merced PUMI 2025 Junio.xlsx]DAT1'!#REF!</xm:f>
          </x14:formula1>
          <xm:sqref>E37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56"/>
  <sheetViews>
    <sheetView showGridLines="0" zoomScale="70" zoomScaleNormal="70" workbookViewId="0">
      <selection activeCell="K20" sqref="K20"/>
    </sheetView>
  </sheetViews>
  <sheetFormatPr baseColWidth="10" defaultColWidth="13" defaultRowHeight="15" x14ac:dyDescent="0.25"/>
  <cols>
    <col min="1" max="1" width="6.85546875" style="4" customWidth="1"/>
    <col min="2" max="2" width="78.28515625" style="4" customWidth="1"/>
    <col min="3" max="3" width="13" style="4"/>
    <col min="4" max="4" width="25.5703125" style="4" customWidth="1"/>
    <col min="5" max="16" width="15.5703125" style="4" customWidth="1"/>
    <col min="17" max="16384" width="13" style="4"/>
  </cols>
  <sheetData>
    <row r="1" spans="1:16" x14ac:dyDescent="0.25">
      <c r="A1" s="93" t="s">
        <v>1</v>
      </c>
      <c r="B1" s="1" t="s">
        <v>32</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s="7" customFormat="1" ht="45.75" customHeight="1" thickBot="1" x14ac:dyDescent="0.3">
      <c r="A2" s="94"/>
      <c r="B2" s="1"/>
      <c r="C2" s="28">
        <v>2025</v>
      </c>
      <c r="D2" s="28" t="s">
        <v>16</v>
      </c>
      <c r="E2" s="48"/>
      <c r="F2" s="48"/>
      <c r="G2" s="48"/>
      <c r="H2" s="48"/>
      <c r="I2" s="48"/>
      <c r="J2" s="48"/>
      <c r="K2" s="48"/>
      <c r="L2" s="48"/>
      <c r="M2" s="48"/>
      <c r="N2" s="48"/>
      <c r="O2" s="48"/>
      <c r="P2" s="48"/>
    </row>
    <row r="3" spans="1:16" ht="81" customHeight="1" thickBot="1" x14ac:dyDescent="0.3">
      <c r="A3" s="75" t="s">
        <v>18</v>
      </c>
      <c r="B3" s="21" t="s">
        <v>17</v>
      </c>
      <c r="C3" s="29">
        <v>2</v>
      </c>
      <c r="D3" s="45">
        <f>SUM(E3:P3)</f>
        <v>1</v>
      </c>
      <c r="E3" s="50"/>
      <c r="F3" s="50"/>
      <c r="G3" s="50"/>
      <c r="H3" s="50">
        <v>1</v>
      </c>
      <c r="I3" s="50"/>
      <c r="J3" s="50"/>
      <c r="K3" s="50"/>
      <c r="L3" s="50"/>
      <c r="M3" s="50"/>
      <c r="N3" s="50"/>
      <c r="O3" s="50"/>
      <c r="P3" s="50"/>
    </row>
    <row r="4" spans="1:16" ht="81" customHeight="1" thickBot="1" x14ac:dyDescent="0.3">
      <c r="A4" s="76" t="s">
        <v>20</v>
      </c>
      <c r="B4" s="22" t="s">
        <v>19</v>
      </c>
      <c r="C4" s="13">
        <v>2</v>
      </c>
      <c r="D4" s="45">
        <f t="shared" ref="D4:D34" si="0">SUM(E4:P4)</f>
        <v>0</v>
      </c>
      <c r="E4" s="50">
        <v>0</v>
      </c>
      <c r="F4" s="50">
        <v>0</v>
      </c>
      <c r="G4" s="50">
        <v>0</v>
      </c>
      <c r="H4" s="50">
        <v>0</v>
      </c>
      <c r="I4" s="50"/>
      <c r="J4" s="50"/>
      <c r="K4" s="50"/>
      <c r="L4" s="50"/>
      <c r="M4" s="50"/>
      <c r="N4" s="50"/>
      <c r="O4" s="50"/>
      <c r="P4" s="50"/>
    </row>
    <row r="5" spans="1:16" ht="81" customHeight="1" thickBot="1" x14ac:dyDescent="0.3">
      <c r="A5" s="77" t="s">
        <v>18</v>
      </c>
      <c r="B5" s="30" t="s">
        <v>29</v>
      </c>
      <c r="C5" s="18">
        <v>1</v>
      </c>
      <c r="D5" s="45">
        <f t="shared" si="0"/>
        <v>1</v>
      </c>
      <c r="E5" s="50"/>
      <c r="F5" s="50"/>
      <c r="G5" s="50">
        <v>1</v>
      </c>
      <c r="H5" s="50"/>
      <c r="I5" s="50"/>
      <c r="J5" s="50"/>
      <c r="K5" s="50"/>
      <c r="L5" s="50"/>
      <c r="M5" s="50"/>
      <c r="N5" s="50"/>
      <c r="O5" s="50"/>
      <c r="P5" s="50"/>
    </row>
    <row r="6" spans="1:16" ht="81" customHeight="1" thickBot="1" x14ac:dyDescent="0.3">
      <c r="A6" s="78" t="s">
        <v>18</v>
      </c>
      <c r="B6" s="31" t="s">
        <v>33</v>
      </c>
      <c r="C6" s="32">
        <v>2</v>
      </c>
      <c r="D6" s="45">
        <f t="shared" si="0"/>
        <v>0</v>
      </c>
      <c r="E6" s="50"/>
      <c r="F6" s="50"/>
      <c r="G6" s="50"/>
      <c r="H6" s="50"/>
      <c r="I6" s="50"/>
      <c r="J6" s="50"/>
      <c r="K6" s="50"/>
      <c r="L6" s="50"/>
      <c r="M6" s="50"/>
      <c r="N6" s="50"/>
      <c r="O6" s="50"/>
      <c r="P6" s="50"/>
    </row>
    <row r="7" spans="1:16" ht="28.5" customHeight="1" thickBot="1" x14ac:dyDescent="0.3">
      <c r="A7" s="86" t="s">
        <v>87</v>
      </c>
      <c r="B7" s="54" t="s">
        <v>59</v>
      </c>
      <c r="C7" s="18">
        <v>3</v>
      </c>
      <c r="D7" s="45">
        <f t="shared" si="0"/>
        <v>3</v>
      </c>
      <c r="E7" s="50"/>
      <c r="F7" s="50"/>
      <c r="G7" s="50"/>
      <c r="H7" s="50">
        <v>3</v>
      </c>
      <c r="I7" s="50"/>
      <c r="J7" s="50"/>
      <c r="K7" s="50"/>
      <c r="L7" s="50"/>
      <c r="M7" s="50"/>
      <c r="N7" s="50"/>
      <c r="O7" s="50"/>
      <c r="P7" s="50"/>
    </row>
    <row r="8" spans="1:16" ht="28.5" customHeight="1" thickBot="1" x14ac:dyDescent="0.3">
      <c r="A8" s="87"/>
      <c r="B8" s="54" t="s">
        <v>74</v>
      </c>
      <c r="C8" s="18">
        <v>3</v>
      </c>
      <c r="D8" s="45">
        <f t="shared" si="0"/>
        <v>0</v>
      </c>
      <c r="E8" s="50"/>
      <c r="F8" s="50"/>
      <c r="G8" s="50"/>
      <c r="H8" s="50"/>
      <c r="I8" s="50"/>
      <c r="J8" s="50"/>
      <c r="K8" s="50"/>
      <c r="L8" s="50"/>
      <c r="M8" s="50"/>
      <c r="N8" s="50"/>
      <c r="O8" s="50"/>
      <c r="P8" s="50"/>
    </row>
    <row r="9" spans="1:16" ht="28.5" customHeight="1" thickBot="1" x14ac:dyDescent="0.3">
      <c r="A9" s="87"/>
      <c r="B9" s="54" t="s">
        <v>60</v>
      </c>
      <c r="C9" s="18">
        <v>80</v>
      </c>
      <c r="D9" s="45">
        <f t="shared" si="0"/>
        <v>29</v>
      </c>
      <c r="E9" s="50"/>
      <c r="F9" s="50">
        <v>15</v>
      </c>
      <c r="G9" s="50">
        <v>2</v>
      </c>
      <c r="H9" s="50"/>
      <c r="I9" s="50">
        <v>12</v>
      </c>
      <c r="J9" s="50"/>
      <c r="K9" s="50"/>
      <c r="L9" s="50"/>
      <c r="M9" s="50"/>
      <c r="N9" s="50"/>
      <c r="O9" s="50"/>
      <c r="P9" s="50"/>
    </row>
    <row r="10" spans="1:16" ht="28.5" customHeight="1" thickBot="1" x14ac:dyDescent="0.3">
      <c r="A10" s="87"/>
      <c r="B10" s="54" t="s">
        <v>61</v>
      </c>
      <c r="C10" s="18">
        <v>165</v>
      </c>
      <c r="D10" s="45">
        <f t="shared" si="0"/>
        <v>3</v>
      </c>
      <c r="E10" s="50"/>
      <c r="F10" s="50"/>
      <c r="G10" s="50">
        <v>1</v>
      </c>
      <c r="H10" s="50">
        <v>2</v>
      </c>
      <c r="I10" s="50"/>
      <c r="J10" s="50"/>
      <c r="K10" s="50"/>
      <c r="L10" s="50"/>
      <c r="M10" s="50"/>
      <c r="N10" s="50"/>
      <c r="O10" s="50"/>
      <c r="P10" s="50"/>
    </row>
    <row r="11" spans="1:16" ht="28.5" customHeight="1" thickBot="1" x14ac:dyDescent="0.3">
      <c r="A11" s="87"/>
      <c r="B11" s="54" t="s">
        <v>62</v>
      </c>
      <c r="C11" s="18">
        <v>0</v>
      </c>
      <c r="D11" s="45">
        <f t="shared" si="0"/>
        <v>0</v>
      </c>
      <c r="E11" s="50"/>
      <c r="F11" s="50"/>
      <c r="G11" s="50"/>
      <c r="H11" s="50"/>
      <c r="I11" s="50"/>
      <c r="J11" s="50"/>
      <c r="K11" s="50"/>
      <c r="L11" s="50"/>
      <c r="M11" s="50"/>
      <c r="N11" s="50"/>
      <c r="O11" s="50"/>
      <c r="P11" s="50"/>
    </row>
    <row r="12" spans="1:16" ht="28.5" customHeight="1" thickBot="1" x14ac:dyDescent="0.3">
      <c r="A12" s="87"/>
      <c r="B12" s="54" t="s">
        <v>63</v>
      </c>
      <c r="C12" s="18">
        <v>3</v>
      </c>
      <c r="D12" s="45">
        <f t="shared" si="0"/>
        <v>0</v>
      </c>
      <c r="E12" s="50"/>
      <c r="F12" s="50"/>
      <c r="G12" s="50"/>
      <c r="H12" s="50"/>
      <c r="I12" s="50"/>
      <c r="J12" s="50"/>
      <c r="K12" s="50"/>
      <c r="L12" s="50"/>
      <c r="M12" s="50"/>
      <c r="N12" s="50"/>
      <c r="O12" s="50"/>
      <c r="P12" s="50"/>
    </row>
    <row r="13" spans="1:16" ht="28.5" customHeight="1" thickBot="1" x14ac:dyDescent="0.3">
      <c r="A13" s="87"/>
      <c r="B13" s="54" t="s">
        <v>64</v>
      </c>
      <c r="C13" s="18">
        <v>0</v>
      </c>
      <c r="D13" s="45">
        <f t="shared" si="0"/>
        <v>0</v>
      </c>
      <c r="E13" s="50"/>
      <c r="F13" s="50"/>
      <c r="G13" s="50"/>
      <c r="H13" s="50"/>
      <c r="I13" s="50"/>
      <c r="J13" s="50"/>
      <c r="K13" s="50"/>
      <c r="L13" s="50"/>
      <c r="M13" s="50"/>
      <c r="N13" s="50"/>
      <c r="O13" s="50"/>
      <c r="P13" s="50"/>
    </row>
    <row r="14" spans="1:16" ht="28.5" customHeight="1" thickBot="1" x14ac:dyDescent="0.3">
      <c r="A14" s="87"/>
      <c r="B14" s="54" t="s">
        <v>65</v>
      </c>
      <c r="C14" s="18">
        <v>0</v>
      </c>
      <c r="D14" s="45">
        <f t="shared" si="0"/>
        <v>0</v>
      </c>
      <c r="E14" s="50"/>
      <c r="F14" s="50"/>
      <c r="G14" s="50"/>
      <c r="H14" s="50"/>
      <c r="I14" s="50"/>
      <c r="J14" s="50"/>
      <c r="K14" s="50"/>
      <c r="L14" s="50"/>
      <c r="M14" s="50"/>
      <c r="N14" s="50"/>
      <c r="O14" s="50"/>
      <c r="P14" s="50"/>
    </row>
    <row r="15" spans="1:16" ht="28.5" customHeight="1" thickBot="1" x14ac:dyDescent="0.3">
      <c r="A15" s="87"/>
      <c r="B15" s="54" t="s">
        <v>66</v>
      </c>
      <c r="C15" s="18">
        <v>0</v>
      </c>
      <c r="D15" s="45">
        <f t="shared" si="0"/>
        <v>0</v>
      </c>
      <c r="E15" s="50"/>
      <c r="F15" s="50"/>
      <c r="G15" s="50"/>
      <c r="H15" s="50"/>
      <c r="I15" s="50"/>
      <c r="J15" s="50"/>
      <c r="K15" s="50"/>
      <c r="L15" s="50"/>
      <c r="M15" s="50"/>
      <c r="N15" s="50"/>
      <c r="O15" s="50"/>
      <c r="P15" s="50"/>
    </row>
    <row r="16" spans="1:16" ht="28.5" customHeight="1" thickBot="1" x14ac:dyDescent="0.3">
      <c r="A16" s="87"/>
      <c r="B16" s="54" t="s">
        <v>67</v>
      </c>
      <c r="C16" s="18">
        <v>0</v>
      </c>
      <c r="D16" s="45">
        <f t="shared" si="0"/>
        <v>0</v>
      </c>
      <c r="E16" s="50"/>
      <c r="F16" s="50"/>
      <c r="G16" s="50"/>
      <c r="H16" s="50"/>
      <c r="I16" s="50"/>
      <c r="J16" s="50"/>
      <c r="K16" s="50"/>
      <c r="L16" s="50"/>
      <c r="M16" s="50"/>
      <c r="N16" s="50"/>
      <c r="O16" s="50"/>
      <c r="P16" s="50"/>
    </row>
    <row r="17" spans="1:16" ht="28.5" customHeight="1" thickBot="1" x14ac:dyDescent="0.3">
      <c r="A17" s="87"/>
      <c r="B17" s="54" t="s">
        <v>68</v>
      </c>
      <c r="C17" s="18">
        <v>2</v>
      </c>
      <c r="D17" s="45">
        <f t="shared" si="0"/>
        <v>0</v>
      </c>
      <c r="E17" s="50"/>
      <c r="F17" s="50"/>
      <c r="G17" s="50"/>
      <c r="H17" s="50"/>
      <c r="I17" s="50"/>
      <c r="J17" s="50"/>
      <c r="K17" s="50"/>
      <c r="L17" s="50"/>
      <c r="M17" s="50"/>
      <c r="N17" s="50"/>
      <c r="O17" s="50"/>
      <c r="P17" s="50"/>
    </row>
    <row r="18" spans="1:16" ht="28.5" customHeight="1" thickBot="1" x14ac:dyDescent="0.3">
      <c r="A18" s="87"/>
      <c r="B18" s="54" t="s">
        <v>69</v>
      </c>
      <c r="C18" s="18">
        <v>1</v>
      </c>
      <c r="D18" s="45">
        <f t="shared" si="0"/>
        <v>0</v>
      </c>
      <c r="E18" s="50"/>
      <c r="F18" s="50"/>
      <c r="G18" s="50"/>
      <c r="H18" s="50"/>
      <c r="I18" s="50"/>
      <c r="J18" s="50"/>
      <c r="K18" s="50"/>
      <c r="L18" s="50"/>
      <c r="M18" s="50"/>
      <c r="N18" s="50"/>
      <c r="O18" s="50"/>
      <c r="P18" s="50"/>
    </row>
    <row r="19" spans="1:16" ht="28.5" customHeight="1" thickBot="1" x14ac:dyDescent="0.3">
      <c r="A19" s="87"/>
      <c r="B19" s="54" t="s">
        <v>70</v>
      </c>
      <c r="C19" s="18">
        <v>0</v>
      </c>
      <c r="D19" s="45">
        <f t="shared" si="0"/>
        <v>0</v>
      </c>
      <c r="E19" s="50"/>
      <c r="F19" s="50"/>
      <c r="G19" s="50"/>
      <c r="H19" s="50"/>
      <c r="I19" s="50"/>
      <c r="J19" s="50"/>
      <c r="K19" s="50"/>
      <c r="L19" s="50"/>
      <c r="M19" s="50"/>
      <c r="N19" s="50"/>
      <c r="O19" s="50"/>
      <c r="P19" s="50"/>
    </row>
    <row r="20" spans="1:16" ht="28.5" customHeight="1" thickBot="1" x14ac:dyDescent="0.3">
      <c r="A20" s="87"/>
      <c r="B20" s="54" t="s">
        <v>71</v>
      </c>
      <c r="C20" s="18">
        <v>0</v>
      </c>
      <c r="D20" s="45">
        <f t="shared" si="0"/>
        <v>0</v>
      </c>
      <c r="E20" s="50"/>
      <c r="F20" s="50"/>
      <c r="G20" s="50"/>
      <c r="H20" s="50"/>
      <c r="I20" s="50"/>
      <c r="J20" s="50"/>
      <c r="K20" s="50"/>
      <c r="L20" s="50"/>
      <c r="M20" s="50"/>
      <c r="N20" s="50"/>
      <c r="O20" s="50"/>
      <c r="P20" s="50"/>
    </row>
    <row r="21" spans="1:16" ht="28.5" customHeight="1" thickBot="1" x14ac:dyDescent="0.3">
      <c r="A21" s="87"/>
      <c r="B21" s="54" t="s">
        <v>72</v>
      </c>
      <c r="C21" s="18">
        <v>168</v>
      </c>
      <c r="D21" s="45">
        <f t="shared" si="0"/>
        <v>16</v>
      </c>
      <c r="E21" s="50"/>
      <c r="F21" s="50">
        <v>16</v>
      </c>
      <c r="G21" s="50"/>
      <c r="H21" s="50"/>
      <c r="I21" s="50"/>
      <c r="J21" s="50"/>
      <c r="K21" s="50"/>
      <c r="L21" s="50"/>
      <c r="M21" s="50"/>
      <c r="N21" s="50"/>
      <c r="O21" s="50"/>
      <c r="P21" s="50"/>
    </row>
    <row r="22" spans="1:16" ht="28.5" customHeight="1" thickBot="1" x14ac:dyDescent="0.3">
      <c r="A22" s="87"/>
      <c r="B22" s="54" t="s">
        <v>73</v>
      </c>
      <c r="C22" s="18">
        <v>2</v>
      </c>
      <c r="D22" s="45">
        <f t="shared" si="0"/>
        <v>0</v>
      </c>
      <c r="E22" s="50"/>
      <c r="F22" s="50"/>
      <c r="G22" s="50"/>
      <c r="H22" s="50"/>
      <c r="I22" s="50"/>
      <c r="J22" s="50"/>
      <c r="K22" s="50"/>
      <c r="L22" s="50"/>
      <c r="M22" s="50"/>
      <c r="N22" s="50"/>
      <c r="O22" s="50"/>
      <c r="P22" s="50"/>
    </row>
    <row r="23" spans="1:16" ht="24" customHeight="1" thickBot="1" x14ac:dyDescent="0.3">
      <c r="A23" s="87"/>
      <c r="B23" s="69" t="s">
        <v>75</v>
      </c>
      <c r="C23" s="18">
        <v>1</v>
      </c>
      <c r="D23" s="45">
        <f t="shared" si="0"/>
        <v>1</v>
      </c>
      <c r="E23" s="50"/>
      <c r="F23" s="50">
        <v>1</v>
      </c>
      <c r="G23" s="50"/>
      <c r="H23" s="50"/>
      <c r="I23" s="50"/>
      <c r="J23" s="50"/>
      <c r="K23" s="50"/>
      <c r="L23" s="50"/>
      <c r="M23" s="50"/>
      <c r="N23" s="50"/>
      <c r="O23" s="50"/>
      <c r="P23" s="50"/>
    </row>
    <row r="24" spans="1:16" ht="24" customHeight="1" thickBot="1" x14ac:dyDescent="0.3">
      <c r="A24" s="87"/>
      <c r="B24" s="69" t="s">
        <v>76</v>
      </c>
      <c r="C24" s="18">
        <v>1</v>
      </c>
      <c r="D24" s="45">
        <f t="shared" si="0"/>
        <v>1</v>
      </c>
      <c r="E24" s="50"/>
      <c r="F24" s="50">
        <v>1</v>
      </c>
      <c r="G24" s="50"/>
      <c r="H24" s="50"/>
      <c r="I24" s="50"/>
      <c r="J24" s="50"/>
      <c r="K24" s="50"/>
      <c r="L24" s="50"/>
      <c r="M24" s="50"/>
      <c r="N24" s="50"/>
      <c r="O24" s="50"/>
      <c r="P24" s="50"/>
    </row>
    <row r="25" spans="1:16" ht="24" customHeight="1" thickBot="1" x14ac:dyDescent="0.3">
      <c r="A25" s="87"/>
      <c r="B25" s="69" t="s">
        <v>77</v>
      </c>
      <c r="C25" s="18">
        <v>1</v>
      </c>
      <c r="D25" s="45">
        <f t="shared" si="0"/>
        <v>1</v>
      </c>
      <c r="E25" s="50"/>
      <c r="F25" s="50"/>
      <c r="G25" s="50">
        <v>1</v>
      </c>
      <c r="H25" s="50"/>
      <c r="I25" s="50"/>
      <c r="J25" s="50"/>
      <c r="K25" s="50"/>
      <c r="L25" s="50"/>
      <c r="M25" s="50"/>
      <c r="N25" s="50"/>
      <c r="O25" s="50"/>
      <c r="P25" s="50"/>
    </row>
    <row r="26" spans="1:16" ht="24" customHeight="1" thickBot="1" x14ac:dyDescent="0.3">
      <c r="A26" s="87"/>
      <c r="B26" s="69" t="s">
        <v>78</v>
      </c>
      <c r="C26" s="18">
        <v>1</v>
      </c>
      <c r="D26" s="45">
        <f t="shared" si="0"/>
        <v>1</v>
      </c>
      <c r="E26" s="50"/>
      <c r="F26" s="50"/>
      <c r="G26" s="50"/>
      <c r="H26" s="50"/>
      <c r="I26" s="50">
        <v>1</v>
      </c>
      <c r="J26" s="50"/>
      <c r="K26" s="50"/>
      <c r="L26" s="50"/>
      <c r="M26" s="50"/>
      <c r="N26" s="50"/>
      <c r="O26" s="50"/>
      <c r="P26" s="50"/>
    </row>
    <row r="27" spans="1:16" ht="24" customHeight="1" thickBot="1" x14ac:dyDescent="0.3">
      <c r="A27" s="87"/>
      <c r="B27" s="69" t="s">
        <v>79</v>
      </c>
      <c r="C27" s="18">
        <v>1</v>
      </c>
      <c r="D27" s="45">
        <f t="shared" si="0"/>
        <v>0</v>
      </c>
      <c r="E27" s="50"/>
      <c r="F27" s="50"/>
      <c r="G27" s="50"/>
      <c r="H27" s="50"/>
      <c r="I27" s="50"/>
      <c r="J27" s="50"/>
      <c r="K27" s="50"/>
      <c r="L27" s="50"/>
      <c r="M27" s="50"/>
      <c r="N27" s="50"/>
      <c r="O27" s="50"/>
      <c r="P27" s="50"/>
    </row>
    <row r="28" spans="1:16" ht="24" customHeight="1" thickBot="1" x14ac:dyDescent="0.3">
      <c r="A28" s="87"/>
      <c r="B28" s="69" t="s">
        <v>80</v>
      </c>
      <c r="C28" s="18">
        <v>1</v>
      </c>
      <c r="D28" s="45">
        <f t="shared" si="0"/>
        <v>0</v>
      </c>
      <c r="E28" s="50"/>
      <c r="F28" s="50"/>
      <c r="G28" s="50"/>
      <c r="H28" s="50"/>
      <c r="I28" s="50"/>
      <c r="J28" s="50"/>
      <c r="K28" s="50"/>
      <c r="L28" s="50"/>
      <c r="M28" s="50"/>
      <c r="N28" s="50"/>
      <c r="O28" s="50"/>
      <c r="P28" s="50"/>
    </row>
    <row r="29" spans="1:16" ht="24" customHeight="1" thickBot="1" x14ac:dyDescent="0.3">
      <c r="A29" s="87"/>
      <c r="B29" s="69" t="s">
        <v>81</v>
      </c>
      <c r="C29" s="18">
        <v>1</v>
      </c>
      <c r="D29" s="45">
        <f t="shared" si="0"/>
        <v>0</v>
      </c>
      <c r="E29" s="50"/>
      <c r="F29" s="50"/>
      <c r="G29" s="50"/>
      <c r="H29" s="50"/>
      <c r="I29" s="50"/>
      <c r="J29" s="50"/>
      <c r="K29" s="50"/>
      <c r="L29" s="50"/>
      <c r="M29" s="50"/>
      <c r="N29" s="50"/>
      <c r="O29" s="50"/>
      <c r="P29" s="50"/>
    </row>
    <row r="30" spans="1:16" ht="24" customHeight="1" thickBot="1" x14ac:dyDescent="0.3">
      <c r="A30" s="87"/>
      <c r="B30" s="69" t="s">
        <v>82</v>
      </c>
      <c r="C30" s="18">
        <v>1</v>
      </c>
      <c r="D30" s="45">
        <f t="shared" si="0"/>
        <v>0</v>
      </c>
      <c r="E30" s="50"/>
      <c r="F30" s="50"/>
      <c r="G30" s="50"/>
      <c r="H30" s="50"/>
      <c r="I30" s="50"/>
      <c r="J30" s="50"/>
      <c r="K30" s="50"/>
      <c r="L30" s="50"/>
      <c r="M30" s="50"/>
      <c r="N30" s="50"/>
      <c r="O30" s="50"/>
      <c r="P30" s="50"/>
    </row>
    <row r="31" spans="1:16" ht="24" customHeight="1" thickBot="1" x14ac:dyDescent="0.3">
      <c r="A31" s="87"/>
      <c r="B31" s="69" t="s">
        <v>83</v>
      </c>
      <c r="C31" s="18">
        <v>1</v>
      </c>
      <c r="D31" s="45">
        <f t="shared" si="0"/>
        <v>0</v>
      </c>
      <c r="E31" s="50"/>
      <c r="F31" s="50"/>
      <c r="G31" s="50"/>
      <c r="H31" s="50"/>
      <c r="I31" s="50"/>
      <c r="J31" s="50"/>
      <c r="K31" s="50"/>
      <c r="L31" s="50"/>
      <c r="M31" s="50"/>
      <c r="N31" s="50"/>
      <c r="O31" s="50"/>
      <c r="P31" s="50"/>
    </row>
    <row r="32" spans="1:16" ht="24" customHeight="1" thickBot="1" x14ac:dyDescent="0.3">
      <c r="A32" s="87"/>
      <c r="B32" s="69" t="s">
        <v>84</v>
      </c>
      <c r="C32" s="18">
        <v>1</v>
      </c>
      <c r="D32" s="45">
        <f t="shared" si="0"/>
        <v>0</v>
      </c>
      <c r="E32" s="50"/>
      <c r="F32" s="50"/>
      <c r="G32" s="50"/>
      <c r="H32" s="50"/>
      <c r="I32" s="50"/>
      <c r="J32" s="50"/>
      <c r="K32" s="50"/>
      <c r="L32" s="50"/>
      <c r="M32" s="50"/>
      <c r="N32" s="50"/>
      <c r="O32" s="50"/>
      <c r="P32" s="50"/>
    </row>
    <row r="33" spans="1:16" ht="24" customHeight="1" thickBot="1" x14ac:dyDescent="0.3">
      <c r="A33" s="87"/>
      <c r="B33" s="69" t="s">
        <v>85</v>
      </c>
      <c r="C33" s="18">
        <v>1</v>
      </c>
      <c r="D33" s="45">
        <f t="shared" si="0"/>
        <v>0</v>
      </c>
      <c r="E33" s="50"/>
      <c r="F33" s="50"/>
      <c r="G33" s="50"/>
      <c r="H33" s="50"/>
      <c r="I33" s="50"/>
      <c r="J33" s="50"/>
      <c r="K33" s="50"/>
      <c r="L33" s="50"/>
      <c r="M33" s="50"/>
      <c r="N33" s="50"/>
      <c r="O33" s="50"/>
      <c r="P33" s="50"/>
    </row>
    <row r="34" spans="1:16" ht="24" customHeight="1" thickBot="1" x14ac:dyDescent="0.3">
      <c r="A34" s="88"/>
      <c r="B34" s="69" t="s">
        <v>86</v>
      </c>
      <c r="C34" s="18">
        <v>1</v>
      </c>
      <c r="D34" s="45">
        <f t="shared" si="0"/>
        <v>0</v>
      </c>
      <c r="E34" s="50"/>
      <c r="F34" s="50"/>
      <c r="G34" s="50"/>
      <c r="H34" s="50"/>
      <c r="I34" s="50"/>
      <c r="J34" s="50"/>
      <c r="K34" s="50"/>
      <c r="L34" s="50"/>
      <c r="M34" s="50"/>
      <c r="N34" s="50"/>
      <c r="O34" s="50"/>
      <c r="P34" s="50"/>
    </row>
    <row r="35" spans="1:16" x14ac:dyDescent="0.25">
      <c r="C35" s="51">
        <f>SUM(C3:C34)</f>
        <v>446</v>
      </c>
      <c r="D35" s="51">
        <f>SUM(D3:D34)</f>
        <v>57</v>
      </c>
      <c r="E35" s="50"/>
      <c r="F35" s="50"/>
      <c r="G35" s="50"/>
      <c r="H35" s="50"/>
      <c r="I35" s="50"/>
      <c r="J35" s="50"/>
      <c r="K35" s="50"/>
      <c r="L35" s="50"/>
      <c r="M35" s="50"/>
      <c r="N35" s="50"/>
      <c r="O35" s="50"/>
      <c r="P35" s="50"/>
    </row>
    <row r="36" spans="1:16" x14ac:dyDescent="0.25">
      <c r="D36" s="20">
        <f>D35/C35</f>
        <v>0.12780269058295965</v>
      </c>
    </row>
    <row r="41" spans="1:16" ht="15.75" x14ac:dyDescent="0.25">
      <c r="D41" s="74"/>
    </row>
    <row r="42" spans="1:16" x14ac:dyDescent="0.25">
      <c r="D42" s="19"/>
    </row>
    <row r="43" spans="1:16" x14ac:dyDescent="0.25">
      <c r="D43" s="19"/>
    </row>
    <row r="44" spans="1:16" x14ac:dyDescent="0.25">
      <c r="D44" s="19"/>
    </row>
    <row r="45" spans="1:16" x14ac:dyDescent="0.25">
      <c r="D45" s="19"/>
    </row>
    <row r="46" spans="1:16" x14ac:dyDescent="0.25">
      <c r="D46" s="19"/>
    </row>
    <row r="47" spans="1:16" x14ac:dyDescent="0.25">
      <c r="D47" s="19"/>
    </row>
    <row r="48" spans="1:16" x14ac:dyDescent="0.25">
      <c r="D48" s="19"/>
    </row>
    <row r="49" spans="4:4" x14ac:dyDescent="0.25">
      <c r="D49" s="19"/>
    </row>
    <row r="50" spans="4:4" x14ac:dyDescent="0.25">
      <c r="D50" s="19"/>
    </row>
    <row r="51" spans="4:4" x14ac:dyDescent="0.25">
      <c r="D51" s="19"/>
    </row>
    <row r="52" spans="4:4" x14ac:dyDescent="0.25">
      <c r="D52" s="19"/>
    </row>
    <row r="53" spans="4:4" x14ac:dyDescent="0.25">
      <c r="D53" s="19"/>
    </row>
    <row r="54" spans="4:4" x14ac:dyDescent="0.25">
      <c r="D54" s="19"/>
    </row>
    <row r="55" spans="4:4" x14ac:dyDescent="0.25">
      <c r="D55" s="19"/>
    </row>
    <row r="56" spans="4:4" x14ac:dyDescent="0.25">
      <c r="D56" s="19"/>
    </row>
  </sheetData>
  <sheetProtection algorithmName="SHA-512" hashValue="VSMmWy43wLm73Qp5qBsoSivOGhWsqmOSIuEzhegkJ7OKTKYxueCNSKbua9e1k1V4vvXOzAFcbBRH4jYlLn4+XA==" saltValue="WUPpullksEkIpB/6Uj6FJg==" spinCount="100000" sheet="1" objects="1" scenarios="1" autoFilter="0"/>
  <mergeCells count="2">
    <mergeCell ref="A7:A34"/>
    <mergeCell ref="A1:A2"/>
  </mergeCells>
  <conditionalFormatting sqref="C4">
    <cfRule type="dataBar" priority="20">
      <dataBar>
        <cfvo type="min"/>
        <cfvo type="max"/>
        <color rgb="FF008AEF"/>
      </dataBar>
      <extLst>
        <ext xmlns:x14="http://schemas.microsoft.com/office/spreadsheetml/2009/9/main" uri="{B025F937-C7B1-47D3-B67F-A62EFF666E3E}">
          <x14:id>{9033808B-6C1E-4CDA-8737-2581E4B6CB11}</x14:id>
        </ext>
      </extLst>
    </cfRule>
  </conditionalFormatting>
  <conditionalFormatting sqref="C5">
    <cfRule type="dataBar" priority="19">
      <dataBar>
        <cfvo type="min"/>
        <cfvo type="max"/>
        <color rgb="FF008AEF"/>
      </dataBar>
      <extLst>
        <ext xmlns:x14="http://schemas.microsoft.com/office/spreadsheetml/2009/9/main" uri="{B025F937-C7B1-47D3-B67F-A62EFF666E3E}">
          <x14:id>{0E9494B5-DF05-481D-A8BB-E7D751E6A15C}</x14:id>
        </ext>
      </extLst>
    </cfRule>
  </conditionalFormatting>
  <conditionalFormatting sqref="C6">
    <cfRule type="dataBar" priority="18">
      <dataBar>
        <cfvo type="min"/>
        <cfvo type="max"/>
        <color rgb="FF008AEF"/>
      </dataBar>
      <extLst>
        <ext xmlns:x14="http://schemas.microsoft.com/office/spreadsheetml/2009/9/main" uri="{B025F937-C7B1-47D3-B67F-A62EFF666E3E}">
          <x14:id>{78E3624F-7657-426A-B6C4-A5CDFA539D81}</x14:id>
        </ext>
      </extLst>
    </cfRule>
  </conditionalFormatting>
  <conditionalFormatting sqref="C23">
    <cfRule type="dataBar" priority="36">
      <dataBar>
        <cfvo type="min"/>
        <cfvo type="max"/>
        <color rgb="FF008AEF"/>
      </dataBar>
      <extLst>
        <ext xmlns:x14="http://schemas.microsoft.com/office/spreadsheetml/2009/9/main" uri="{B025F937-C7B1-47D3-B67F-A62EFF666E3E}">
          <x14:id>{612063CC-D5E7-4294-941A-EDDF92B2DDDB}</x14:id>
        </ext>
      </extLst>
    </cfRule>
  </conditionalFormatting>
  <conditionalFormatting sqref="C24">
    <cfRule type="dataBar" priority="35">
      <dataBar>
        <cfvo type="min"/>
        <cfvo type="max"/>
        <color rgb="FF008AEF"/>
      </dataBar>
      <extLst>
        <ext xmlns:x14="http://schemas.microsoft.com/office/spreadsheetml/2009/9/main" uri="{B025F937-C7B1-47D3-B67F-A62EFF666E3E}">
          <x14:id>{93B01642-CB0D-4773-A806-EB1FDBB2187E}</x14:id>
        </ext>
      </extLst>
    </cfRule>
  </conditionalFormatting>
  <conditionalFormatting sqref="C25">
    <cfRule type="dataBar" priority="34">
      <dataBar>
        <cfvo type="min"/>
        <cfvo type="max"/>
        <color rgb="FF008AEF"/>
      </dataBar>
      <extLst>
        <ext xmlns:x14="http://schemas.microsoft.com/office/spreadsheetml/2009/9/main" uri="{B025F937-C7B1-47D3-B67F-A62EFF666E3E}">
          <x14:id>{781F79F1-B56F-4FF2-9775-3D0CEE584E61}</x14:id>
        </ext>
      </extLst>
    </cfRule>
  </conditionalFormatting>
  <conditionalFormatting sqref="C26">
    <cfRule type="dataBar" priority="33">
      <dataBar>
        <cfvo type="min"/>
        <cfvo type="max"/>
        <color rgb="FF008AEF"/>
      </dataBar>
      <extLst>
        <ext xmlns:x14="http://schemas.microsoft.com/office/spreadsheetml/2009/9/main" uri="{B025F937-C7B1-47D3-B67F-A62EFF666E3E}">
          <x14:id>{9841EF66-8B36-4A82-8211-8656DD5AED89}</x14:id>
        </ext>
      </extLst>
    </cfRule>
  </conditionalFormatting>
  <conditionalFormatting sqref="C27">
    <cfRule type="dataBar" priority="32">
      <dataBar>
        <cfvo type="min"/>
        <cfvo type="max"/>
        <color rgb="FF008AEF"/>
      </dataBar>
      <extLst>
        <ext xmlns:x14="http://schemas.microsoft.com/office/spreadsheetml/2009/9/main" uri="{B025F937-C7B1-47D3-B67F-A62EFF666E3E}">
          <x14:id>{C17B1090-EB6B-4E68-BC42-9D2E60109644}</x14:id>
        </ext>
      </extLst>
    </cfRule>
  </conditionalFormatting>
  <conditionalFormatting sqref="C28">
    <cfRule type="dataBar" priority="31">
      <dataBar>
        <cfvo type="min"/>
        <cfvo type="max"/>
        <color rgb="FF008AEF"/>
      </dataBar>
      <extLst>
        <ext xmlns:x14="http://schemas.microsoft.com/office/spreadsheetml/2009/9/main" uri="{B025F937-C7B1-47D3-B67F-A62EFF666E3E}">
          <x14:id>{7BBDF50D-10E1-47C0-825C-442BD28E8117}</x14:id>
        </ext>
      </extLst>
    </cfRule>
  </conditionalFormatting>
  <conditionalFormatting sqref="C29">
    <cfRule type="dataBar" priority="30">
      <dataBar>
        <cfvo type="min"/>
        <cfvo type="max"/>
        <color rgb="FF008AEF"/>
      </dataBar>
      <extLst>
        <ext xmlns:x14="http://schemas.microsoft.com/office/spreadsheetml/2009/9/main" uri="{B025F937-C7B1-47D3-B67F-A62EFF666E3E}">
          <x14:id>{1396C52A-AAC8-4FFA-B4FC-5C4488639BE7}</x14:id>
        </ext>
      </extLst>
    </cfRule>
  </conditionalFormatting>
  <conditionalFormatting sqref="C30">
    <cfRule type="dataBar" priority="29">
      <dataBar>
        <cfvo type="min"/>
        <cfvo type="max"/>
        <color rgb="FF008AEF"/>
      </dataBar>
      <extLst>
        <ext xmlns:x14="http://schemas.microsoft.com/office/spreadsheetml/2009/9/main" uri="{B025F937-C7B1-47D3-B67F-A62EFF666E3E}">
          <x14:id>{DDD357E6-285B-459C-A7CD-1C6F1FC5A0AF}</x14:id>
        </ext>
      </extLst>
    </cfRule>
  </conditionalFormatting>
  <conditionalFormatting sqref="C31">
    <cfRule type="dataBar" priority="28">
      <dataBar>
        <cfvo type="min"/>
        <cfvo type="max"/>
        <color rgb="FF008AEF"/>
      </dataBar>
      <extLst>
        <ext xmlns:x14="http://schemas.microsoft.com/office/spreadsheetml/2009/9/main" uri="{B025F937-C7B1-47D3-B67F-A62EFF666E3E}">
          <x14:id>{0CBB849A-0E19-4354-9FD5-C2158AAB1F23}</x14:id>
        </ext>
      </extLst>
    </cfRule>
  </conditionalFormatting>
  <conditionalFormatting sqref="C32">
    <cfRule type="dataBar" priority="27">
      <dataBar>
        <cfvo type="min"/>
        <cfvo type="max"/>
        <color rgb="FF008AEF"/>
      </dataBar>
      <extLst>
        <ext xmlns:x14="http://schemas.microsoft.com/office/spreadsheetml/2009/9/main" uri="{B025F937-C7B1-47D3-B67F-A62EFF666E3E}">
          <x14:id>{DDEA463D-51AE-45DD-B696-DB2479679DE5}</x14:id>
        </ext>
      </extLst>
    </cfRule>
  </conditionalFormatting>
  <conditionalFormatting sqref="C33">
    <cfRule type="dataBar" priority="26">
      <dataBar>
        <cfvo type="min"/>
        <cfvo type="max"/>
        <color rgb="FF008AEF"/>
      </dataBar>
      <extLst>
        <ext xmlns:x14="http://schemas.microsoft.com/office/spreadsheetml/2009/9/main" uri="{B025F937-C7B1-47D3-B67F-A62EFF666E3E}">
          <x14:id>{ED3959D2-309B-41B8-82D3-75E4B036072E}</x14:id>
        </ext>
      </extLst>
    </cfRule>
  </conditionalFormatting>
  <conditionalFormatting sqref="C34">
    <cfRule type="dataBar" priority="25">
      <dataBar>
        <cfvo type="min"/>
        <cfvo type="max"/>
        <color rgb="FF008AEF"/>
      </dataBar>
      <extLst>
        <ext xmlns:x14="http://schemas.microsoft.com/office/spreadsheetml/2009/9/main" uri="{B025F937-C7B1-47D3-B67F-A62EFF666E3E}">
          <x14:id>{783E3177-2D89-41F9-8347-64C7D358B485}</x14:id>
        </ext>
      </extLst>
    </cfRule>
  </conditionalFormatting>
  <conditionalFormatting sqref="C3:D3">
    <cfRule type="dataBar" priority="1">
      <dataBar>
        <cfvo type="min"/>
        <cfvo type="max"/>
        <color rgb="FF008AEF"/>
      </dataBar>
      <extLst>
        <ext xmlns:x14="http://schemas.microsoft.com/office/spreadsheetml/2009/9/main" uri="{B025F937-C7B1-47D3-B67F-A62EFF666E3E}">
          <x14:id>{1E785AF0-490B-48D8-90C0-24251F3C7C67}</x14:id>
        </ext>
      </extLst>
    </cfRule>
  </conditionalFormatting>
  <conditionalFormatting sqref="C7:D7">
    <cfRule type="dataBar" priority="17">
      <dataBar>
        <cfvo type="min"/>
        <cfvo type="max"/>
        <color rgb="FF008AEF"/>
      </dataBar>
      <extLst>
        <ext xmlns:x14="http://schemas.microsoft.com/office/spreadsheetml/2009/9/main" uri="{B025F937-C7B1-47D3-B67F-A62EFF666E3E}">
          <x14:id>{B9736ECC-931F-4888-8F25-03C7B22231C8}</x14:id>
        </ext>
      </extLst>
    </cfRule>
  </conditionalFormatting>
  <conditionalFormatting sqref="C8:D8">
    <cfRule type="dataBar" priority="16">
      <dataBar>
        <cfvo type="min"/>
        <cfvo type="max"/>
        <color rgb="FF008AEF"/>
      </dataBar>
      <extLst>
        <ext xmlns:x14="http://schemas.microsoft.com/office/spreadsheetml/2009/9/main" uri="{B025F937-C7B1-47D3-B67F-A62EFF666E3E}">
          <x14:id>{B59414DA-23AA-42C7-BFD1-A6BC07C250E7}</x14:id>
        </ext>
      </extLst>
    </cfRule>
  </conditionalFormatting>
  <conditionalFormatting sqref="C9:D9">
    <cfRule type="dataBar" priority="15">
      <dataBar>
        <cfvo type="min"/>
        <cfvo type="max"/>
        <color rgb="FF008AEF"/>
      </dataBar>
      <extLst>
        <ext xmlns:x14="http://schemas.microsoft.com/office/spreadsheetml/2009/9/main" uri="{B025F937-C7B1-47D3-B67F-A62EFF666E3E}">
          <x14:id>{B2E0BAC6-3FD1-42AF-BA28-B3C2D8074C64}</x14:id>
        </ext>
      </extLst>
    </cfRule>
  </conditionalFormatting>
  <conditionalFormatting sqref="C10:D10">
    <cfRule type="dataBar" priority="14">
      <dataBar>
        <cfvo type="min"/>
        <cfvo type="max"/>
        <color rgb="FF008AEF"/>
      </dataBar>
      <extLst>
        <ext xmlns:x14="http://schemas.microsoft.com/office/spreadsheetml/2009/9/main" uri="{B025F937-C7B1-47D3-B67F-A62EFF666E3E}">
          <x14:id>{6C5215E1-7815-41BA-8BCA-C1DD95245A09}</x14:id>
        </ext>
      </extLst>
    </cfRule>
  </conditionalFormatting>
  <conditionalFormatting sqref="C11:D11">
    <cfRule type="dataBar" priority="13">
      <dataBar>
        <cfvo type="min"/>
        <cfvo type="max"/>
        <color rgb="FF008AEF"/>
      </dataBar>
      <extLst>
        <ext xmlns:x14="http://schemas.microsoft.com/office/spreadsheetml/2009/9/main" uri="{B025F937-C7B1-47D3-B67F-A62EFF666E3E}">
          <x14:id>{7F0AC3DB-B859-4843-AEBF-F69C79E3E403}</x14:id>
        </ext>
      </extLst>
    </cfRule>
  </conditionalFormatting>
  <conditionalFormatting sqref="C12:D12">
    <cfRule type="dataBar" priority="12">
      <dataBar>
        <cfvo type="min"/>
        <cfvo type="max"/>
        <color rgb="FF008AEF"/>
      </dataBar>
      <extLst>
        <ext xmlns:x14="http://schemas.microsoft.com/office/spreadsheetml/2009/9/main" uri="{B025F937-C7B1-47D3-B67F-A62EFF666E3E}">
          <x14:id>{550904D6-CE64-40F7-AE01-6043848FD179}</x14:id>
        </ext>
      </extLst>
    </cfRule>
  </conditionalFormatting>
  <conditionalFormatting sqref="C13:D13">
    <cfRule type="dataBar" priority="11">
      <dataBar>
        <cfvo type="min"/>
        <cfvo type="max"/>
        <color rgb="FF008AEF"/>
      </dataBar>
      <extLst>
        <ext xmlns:x14="http://schemas.microsoft.com/office/spreadsheetml/2009/9/main" uri="{B025F937-C7B1-47D3-B67F-A62EFF666E3E}">
          <x14:id>{11472851-EBAA-49E8-BC97-00CAD293E4A0}</x14:id>
        </ext>
      </extLst>
    </cfRule>
  </conditionalFormatting>
  <conditionalFormatting sqref="C14:D14">
    <cfRule type="dataBar" priority="10">
      <dataBar>
        <cfvo type="min"/>
        <cfvo type="max"/>
        <color rgb="FF008AEF"/>
      </dataBar>
      <extLst>
        <ext xmlns:x14="http://schemas.microsoft.com/office/spreadsheetml/2009/9/main" uri="{B025F937-C7B1-47D3-B67F-A62EFF666E3E}">
          <x14:id>{38542E28-F3FA-4F7F-B26E-14376566B228}</x14:id>
        </ext>
      </extLst>
    </cfRule>
  </conditionalFormatting>
  <conditionalFormatting sqref="C15:D15">
    <cfRule type="dataBar" priority="9">
      <dataBar>
        <cfvo type="min"/>
        <cfvo type="max"/>
        <color rgb="FF008AEF"/>
      </dataBar>
      <extLst>
        <ext xmlns:x14="http://schemas.microsoft.com/office/spreadsheetml/2009/9/main" uri="{B025F937-C7B1-47D3-B67F-A62EFF666E3E}">
          <x14:id>{48E6AE8B-486D-4B79-9FEE-2C7169597A66}</x14:id>
        </ext>
      </extLst>
    </cfRule>
  </conditionalFormatting>
  <conditionalFormatting sqref="C16:D16">
    <cfRule type="dataBar" priority="8">
      <dataBar>
        <cfvo type="min"/>
        <cfvo type="max"/>
        <color rgb="FF008AEF"/>
      </dataBar>
      <extLst>
        <ext xmlns:x14="http://schemas.microsoft.com/office/spreadsheetml/2009/9/main" uri="{B025F937-C7B1-47D3-B67F-A62EFF666E3E}">
          <x14:id>{C50334D3-D865-4DE0-A509-097045AFD309}</x14:id>
        </ext>
      </extLst>
    </cfRule>
  </conditionalFormatting>
  <conditionalFormatting sqref="C17:D17">
    <cfRule type="dataBar" priority="7">
      <dataBar>
        <cfvo type="min"/>
        <cfvo type="max"/>
        <color rgb="FF008AEF"/>
      </dataBar>
      <extLst>
        <ext xmlns:x14="http://schemas.microsoft.com/office/spreadsheetml/2009/9/main" uri="{B025F937-C7B1-47D3-B67F-A62EFF666E3E}">
          <x14:id>{A83E7A9C-550E-49A3-96C9-F2D0533FC573}</x14:id>
        </ext>
      </extLst>
    </cfRule>
  </conditionalFormatting>
  <conditionalFormatting sqref="C18:D18">
    <cfRule type="dataBar" priority="6">
      <dataBar>
        <cfvo type="min"/>
        <cfvo type="max"/>
        <color rgb="FF008AEF"/>
      </dataBar>
      <extLst>
        <ext xmlns:x14="http://schemas.microsoft.com/office/spreadsheetml/2009/9/main" uri="{B025F937-C7B1-47D3-B67F-A62EFF666E3E}">
          <x14:id>{5A86A75A-3B49-48CB-A7BD-30BF2B503DE5}</x14:id>
        </ext>
      </extLst>
    </cfRule>
  </conditionalFormatting>
  <conditionalFormatting sqref="C19:D19">
    <cfRule type="dataBar" priority="5">
      <dataBar>
        <cfvo type="min"/>
        <cfvo type="max"/>
        <color rgb="FF008AEF"/>
      </dataBar>
      <extLst>
        <ext xmlns:x14="http://schemas.microsoft.com/office/spreadsheetml/2009/9/main" uri="{B025F937-C7B1-47D3-B67F-A62EFF666E3E}">
          <x14:id>{A13C7240-9279-41AD-9DB3-BC4BA22C04AA}</x14:id>
        </ext>
      </extLst>
    </cfRule>
  </conditionalFormatting>
  <conditionalFormatting sqref="C20:D20">
    <cfRule type="dataBar" priority="4">
      <dataBar>
        <cfvo type="min"/>
        <cfvo type="max"/>
        <color rgb="FF008AEF"/>
      </dataBar>
      <extLst>
        <ext xmlns:x14="http://schemas.microsoft.com/office/spreadsheetml/2009/9/main" uri="{B025F937-C7B1-47D3-B67F-A62EFF666E3E}">
          <x14:id>{1ADCC580-9767-48D6-92EE-2E8E8FB7AD06}</x14:id>
        </ext>
      </extLst>
    </cfRule>
  </conditionalFormatting>
  <conditionalFormatting sqref="C21:D21">
    <cfRule type="dataBar" priority="3">
      <dataBar>
        <cfvo type="min"/>
        <cfvo type="max"/>
        <color rgb="FF008AEF"/>
      </dataBar>
      <extLst>
        <ext xmlns:x14="http://schemas.microsoft.com/office/spreadsheetml/2009/9/main" uri="{B025F937-C7B1-47D3-B67F-A62EFF666E3E}">
          <x14:id>{DF727FEF-38E7-438B-AC67-A53E4B45EE14}</x14:id>
        </ext>
      </extLst>
    </cfRule>
  </conditionalFormatting>
  <conditionalFormatting sqref="C22:D22">
    <cfRule type="dataBar" priority="2">
      <dataBar>
        <cfvo type="min"/>
        <cfvo type="max"/>
        <color rgb="FF008AEF"/>
      </dataBar>
      <extLst>
        <ext xmlns:x14="http://schemas.microsoft.com/office/spreadsheetml/2009/9/main" uri="{B025F937-C7B1-47D3-B67F-A62EFF666E3E}">
          <x14:id>{3781D86C-7B2B-4D1F-994B-31DE7169116A}</x14:id>
        </ext>
      </extLst>
    </cfRule>
  </conditionalFormatting>
  <conditionalFormatting sqref="E3:P35">
    <cfRule type="cellIs" dxfId="8" priority="2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9033808B-6C1E-4CDA-8737-2581E4B6CB11}">
            <x14:dataBar minLength="0" maxLength="100" gradient="0">
              <x14:cfvo type="autoMin"/>
              <x14:cfvo type="autoMax"/>
              <x14:negativeFillColor rgb="FFFF0000"/>
              <x14:axisColor rgb="FF000000"/>
            </x14:dataBar>
          </x14:cfRule>
          <xm:sqref>C4</xm:sqref>
        </x14:conditionalFormatting>
        <x14:conditionalFormatting xmlns:xm="http://schemas.microsoft.com/office/excel/2006/main">
          <x14:cfRule type="dataBar" id="{0E9494B5-DF05-481D-A8BB-E7D751E6A15C}">
            <x14:dataBar minLength="0" maxLength="100" gradient="0">
              <x14:cfvo type="autoMin"/>
              <x14:cfvo type="autoMax"/>
              <x14:negativeFillColor rgb="FFFF0000"/>
              <x14:axisColor rgb="FF000000"/>
            </x14:dataBar>
          </x14:cfRule>
          <xm:sqref>C5</xm:sqref>
        </x14:conditionalFormatting>
        <x14:conditionalFormatting xmlns:xm="http://schemas.microsoft.com/office/excel/2006/main">
          <x14:cfRule type="dataBar" id="{78E3624F-7657-426A-B6C4-A5CDFA539D81}">
            <x14:dataBar minLength="0" maxLength="100" gradient="0">
              <x14:cfvo type="autoMin"/>
              <x14:cfvo type="autoMax"/>
              <x14:negativeFillColor rgb="FFFF0000"/>
              <x14:axisColor rgb="FF000000"/>
            </x14:dataBar>
          </x14:cfRule>
          <xm:sqref>C6</xm:sqref>
        </x14:conditionalFormatting>
        <x14:conditionalFormatting xmlns:xm="http://schemas.microsoft.com/office/excel/2006/main">
          <x14:cfRule type="dataBar" id="{612063CC-D5E7-4294-941A-EDDF92B2DDDB}">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93B01642-CB0D-4773-A806-EB1FDBB2187E}">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781F79F1-B56F-4FF2-9775-3D0CEE584E61}">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9841EF66-8B36-4A82-8211-8656DD5AED89}">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C17B1090-EB6B-4E68-BC42-9D2E60109644}">
            <x14:dataBar minLength="0" maxLength="100" gradient="0">
              <x14:cfvo type="autoMin"/>
              <x14:cfvo type="autoMax"/>
              <x14:negativeFillColor rgb="FFFF0000"/>
              <x14:axisColor rgb="FF000000"/>
            </x14:dataBar>
          </x14:cfRule>
          <xm:sqref>C27</xm:sqref>
        </x14:conditionalFormatting>
        <x14:conditionalFormatting xmlns:xm="http://schemas.microsoft.com/office/excel/2006/main">
          <x14:cfRule type="dataBar" id="{7BBDF50D-10E1-47C0-825C-442BD28E8117}">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1396C52A-AAC8-4FFA-B4FC-5C4488639BE7}">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DDD357E6-285B-459C-A7CD-1C6F1FC5A0AF}">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0CBB849A-0E19-4354-9FD5-C2158AAB1F23}">
            <x14:dataBar minLength="0" maxLength="100" gradient="0">
              <x14:cfvo type="autoMin"/>
              <x14:cfvo type="autoMax"/>
              <x14:negativeFillColor rgb="FFFF0000"/>
              <x14:axisColor rgb="FF000000"/>
            </x14:dataBar>
          </x14:cfRule>
          <xm:sqref>C31</xm:sqref>
        </x14:conditionalFormatting>
        <x14:conditionalFormatting xmlns:xm="http://schemas.microsoft.com/office/excel/2006/main">
          <x14:cfRule type="dataBar" id="{DDEA463D-51AE-45DD-B696-DB2479679DE5}">
            <x14:dataBar minLength="0" maxLength="100" gradient="0">
              <x14:cfvo type="autoMin"/>
              <x14:cfvo type="autoMax"/>
              <x14:negativeFillColor rgb="FFFF0000"/>
              <x14:axisColor rgb="FF000000"/>
            </x14:dataBar>
          </x14:cfRule>
          <xm:sqref>C32</xm:sqref>
        </x14:conditionalFormatting>
        <x14:conditionalFormatting xmlns:xm="http://schemas.microsoft.com/office/excel/2006/main">
          <x14:cfRule type="dataBar" id="{ED3959D2-309B-41B8-82D3-75E4B036072E}">
            <x14:dataBar minLength="0" maxLength="100" gradient="0">
              <x14:cfvo type="autoMin"/>
              <x14:cfvo type="autoMax"/>
              <x14:negativeFillColor rgb="FFFF0000"/>
              <x14:axisColor rgb="FF000000"/>
            </x14:dataBar>
          </x14:cfRule>
          <xm:sqref>C33</xm:sqref>
        </x14:conditionalFormatting>
        <x14:conditionalFormatting xmlns:xm="http://schemas.microsoft.com/office/excel/2006/main">
          <x14:cfRule type="dataBar" id="{783E3177-2D89-41F9-8347-64C7D358B485}">
            <x14:dataBar minLength="0" maxLength="100" gradient="0">
              <x14:cfvo type="autoMin"/>
              <x14:cfvo type="autoMax"/>
              <x14:negativeFillColor rgb="FFFF0000"/>
              <x14:axisColor rgb="FF000000"/>
            </x14:dataBar>
          </x14:cfRule>
          <xm:sqref>C34</xm:sqref>
        </x14:conditionalFormatting>
        <x14:conditionalFormatting xmlns:xm="http://schemas.microsoft.com/office/excel/2006/main">
          <x14:cfRule type="dataBar" id="{1E785AF0-490B-48D8-90C0-24251F3C7C67}">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B9736ECC-931F-4888-8F25-03C7B22231C8}">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59414DA-23AA-42C7-BFD1-A6BC07C250E7}">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B2E0BAC6-3FD1-42AF-BA28-B3C2D8074C6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6C5215E1-7815-41BA-8BCA-C1DD95245A0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F0AC3DB-B859-4843-AEBF-F69C79E3E403}">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550904D6-CE64-40F7-AE01-6043848FD17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1472851-EBAA-49E8-BC97-00CAD293E4A0}">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38542E28-F3FA-4F7F-B26E-14376566B22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48E6AE8B-486D-4B79-9FEE-2C7169597A66}">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50334D3-D865-4DE0-A509-097045AFD309}">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A83E7A9C-550E-49A3-96C9-F2D0533FC573}">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A86A75A-3B49-48CB-A7BD-30BF2B503DE5}">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A13C7240-9279-41AD-9DB3-BC4BA22C04AA}">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1ADCC580-9767-48D6-92EE-2E8E8FB7AD06}">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DF727FEF-38E7-438B-AC67-A53E4B45EE1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3781D86C-7B2B-4D1F-994B-31DE7169116A}">
            <x14:dataBar minLength="0" maxLength="100" gradient="0">
              <x14:cfvo type="autoMin"/>
              <x14:cfvo type="autoMax"/>
              <x14:negativeFillColor rgb="FFFF0000"/>
              <x14:axisColor rgb="FF000000"/>
            </x14:dataBar>
          </x14:cfRule>
          <xm:sqref>C22:D22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P36"/>
  <sheetViews>
    <sheetView zoomScale="70" zoomScaleNormal="70" workbookViewId="0">
      <selection activeCell="P5" sqref="P5"/>
    </sheetView>
  </sheetViews>
  <sheetFormatPr baseColWidth="10" defaultColWidth="13.140625" defaultRowHeight="15" x14ac:dyDescent="0.25"/>
  <cols>
    <col min="1" max="1" width="7.85546875" style="4" customWidth="1"/>
    <col min="2" max="2" width="88.140625" style="4" customWidth="1"/>
    <col min="3" max="3" width="13.140625" style="4"/>
    <col min="4" max="4" width="25.7109375" style="4" customWidth="1"/>
    <col min="5" max="16" width="15.5703125" style="4" customWidth="1"/>
    <col min="17" max="16384" width="13.140625" style="4"/>
  </cols>
  <sheetData>
    <row r="1" spans="1:16" ht="61.5" customHeight="1" x14ac:dyDescent="0.25">
      <c r="A1" s="89" t="s">
        <v>1</v>
      </c>
      <c r="B1" s="1" t="s">
        <v>34</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s="7" customFormat="1" ht="15.75" thickBot="1" x14ac:dyDescent="0.3">
      <c r="A2" s="95"/>
      <c r="B2" s="1"/>
      <c r="C2" s="6">
        <v>2026</v>
      </c>
      <c r="D2" s="6" t="s">
        <v>16</v>
      </c>
      <c r="E2" s="48"/>
      <c r="F2" s="48"/>
      <c r="G2" s="48"/>
      <c r="H2" s="48"/>
      <c r="I2" s="48"/>
      <c r="J2" s="48"/>
      <c r="K2" s="48"/>
      <c r="L2" s="48"/>
      <c r="M2" s="48"/>
      <c r="N2" s="48"/>
      <c r="O2" s="48"/>
      <c r="P2" s="48"/>
    </row>
    <row r="3" spans="1:16" ht="81" customHeight="1" x14ac:dyDescent="0.25">
      <c r="A3" s="70" t="s">
        <v>18</v>
      </c>
      <c r="B3" s="33" t="s">
        <v>17</v>
      </c>
      <c r="C3" s="10">
        <v>2</v>
      </c>
      <c r="D3" s="39">
        <f t="shared" ref="D3:D6" si="0">SUM(E3:P3)</f>
        <v>1</v>
      </c>
      <c r="E3" s="50"/>
      <c r="F3" s="50"/>
      <c r="G3" s="50"/>
      <c r="H3" s="50">
        <v>1</v>
      </c>
      <c r="I3" s="50"/>
      <c r="J3" s="50"/>
      <c r="K3" s="50"/>
      <c r="L3" s="50"/>
      <c r="M3" s="50"/>
      <c r="N3" s="50"/>
      <c r="O3" s="50"/>
      <c r="P3" s="50"/>
    </row>
    <row r="4" spans="1:16" ht="81" customHeight="1" x14ac:dyDescent="0.25">
      <c r="A4" s="71" t="s">
        <v>20</v>
      </c>
      <c r="B4" s="34" t="s">
        <v>19</v>
      </c>
      <c r="C4" s="13">
        <v>2</v>
      </c>
      <c r="D4" s="39">
        <f t="shared" si="0"/>
        <v>1</v>
      </c>
      <c r="E4" s="50">
        <v>0</v>
      </c>
      <c r="F4" s="50">
        <v>0</v>
      </c>
      <c r="G4" s="50">
        <v>0</v>
      </c>
      <c r="H4" s="50">
        <v>0</v>
      </c>
      <c r="I4" s="50">
        <v>1</v>
      </c>
      <c r="J4" s="50"/>
      <c r="K4" s="50"/>
      <c r="L4" s="50"/>
      <c r="M4" s="50"/>
      <c r="N4" s="50"/>
      <c r="O4" s="50"/>
      <c r="P4" s="50"/>
    </row>
    <row r="5" spans="1:16" ht="81" customHeight="1" x14ac:dyDescent="0.25">
      <c r="A5" s="72" t="s">
        <v>18</v>
      </c>
      <c r="B5" s="33" t="s">
        <v>29</v>
      </c>
      <c r="C5" s="18">
        <v>1</v>
      </c>
      <c r="D5" s="39">
        <f t="shared" si="0"/>
        <v>1</v>
      </c>
      <c r="E5" s="50"/>
      <c r="F5" s="50"/>
      <c r="G5" s="50"/>
      <c r="H5" s="50">
        <v>1</v>
      </c>
      <c r="I5" s="50"/>
      <c r="J5" s="50"/>
      <c r="K5" s="50"/>
      <c r="L5" s="50"/>
      <c r="M5" s="50"/>
      <c r="N5" s="50"/>
      <c r="O5" s="50"/>
      <c r="P5" s="50"/>
    </row>
    <row r="6" spans="1:16" ht="81" customHeight="1" x14ac:dyDescent="0.25">
      <c r="A6" s="72" t="s">
        <v>18</v>
      </c>
      <c r="B6" s="33" t="s">
        <v>33</v>
      </c>
      <c r="C6" s="18">
        <v>2</v>
      </c>
      <c r="D6" s="39">
        <f t="shared" si="0"/>
        <v>1</v>
      </c>
      <c r="E6" s="50"/>
      <c r="F6" s="50"/>
      <c r="G6" s="50"/>
      <c r="H6" s="50"/>
      <c r="I6" s="50"/>
      <c r="J6" s="50">
        <v>1</v>
      </c>
      <c r="K6" s="50"/>
      <c r="L6" s="50"/>
      <c r="M6" s="50"/>
      <c r="N6" s="50"/>
      <c r="O6" s="50"/>
      <c r="P6" s="50"/>
    </row>
    <row r="7" spans="1:16" ht="28.5" customHeight="1" x14ac:dyDescent="0.25">
      <c r="A7" s="86" t="s">
        <v>87</v>
      </c>
      <c r="B7" s="54" t="s">
        <v>59</v>
      </c>
      <c r="C7" s="17">
        <v>1</v>
      </c>
      <c r="D7" s="39">
        <f t="shared" ref="D7:D34" si="1">SUM(E7:P7)</f>
        <v>0</v>
      </c>
      <c r="E7" s="50"/>
      <c r="F7" s="50"/>
      <c r="G7" s="50"/>
      <c r="H7" s="50"/>
      <c r="I7" s="50"/>
      <c r="J7" s="50"/>
      <c r="K7" s="50"/>
      <c r="L7" s="50"/>
      <c r="M7" s="50"/>
      <c r="N7" s="50"/>
      <c r="O7" s="50"/>
      <c r="P7" s="50"/>
    </row>
    <row r="8" spans="1:16" ht="28.5" customHeight="1" x14ac:dyDescent="0.25">
      <c r="A8" s="87"/>
      <c r="B8" s="54" t="s">
        <v>74</v>
      </c>
      <c r="C8" s="17">
        <v>3</v>
      </c>
      <c r="D8" s="39">
        <f t="shared" si="1"/>
        <v>0</v>
      </c>
      <c r="E8" s="50"/>
      <c r="F8" s="50"/>
      <c r="G8" s="50"/>
      <c r="H8" s="50"/>
      <c r="I8" s="50"/>
      <c r="J8" s="50"/>
      <c r="K8" s="50"/>
      <c r="L8" s="50"/>
      <c r="M8" s="50"/>
      <c r="N8" s="50"/>
      <c r="O8" s="50"/>
      <c r="P8" s="50"/>
    </row>
    <row r="9" spans="1:16" ht="28.5" customHeight="1" x14ac:dyDescent="0.25">
      <c r="A9" s="87"/>
      <c r="B9" s="54" t="s">
        <v>60</v>
      </c>
      <c r="C9" s="17">
        <v>52</v>
      </c>
      <c r="D9" s="39">
        <f t="shared" si="1"/>
        <v>28</v>
      </c>
      <c r="E9" s="50"/>
      <c r="F9" s="50">
        <v>14</v>
      </c>
      <c r="G9" s="50"/>
      <c r="H9" s="50">
        <v>12</v>
      </c>
      <c r="I9" s="50">
        <v>2</v>
      </c>
      <c r="J9" s="50"/>
      <c r="K9" s="50"/>
      <c r="L9" s="50"/>
      <c r="M9" s="50"/>
      <c r="N9" s="50"/>
      <c r="O9" s="50"/>
      <c r="P9" s="50"/>
    </row>
    <row r="10" spans="1:16" ht="28.5" customHeight="1" x14ac:dyDescent="0.25">
      <c r="A10" s="87"/>
      <c r="B10" s="54" t="s">
        <v>61</v>
      </c>
      <c r="C10" s="17">
        <v>44</v>
      </c>
      <c r="D10" s="39">
        <f t="shared" si="1"/>
        <v>14</v>
      </c>
      <c r="E10" s="50"/>
      <c r="F10" s="50"/>
      <c r="G10" s="50"/>
      <c r="H10" s="50">
        <v>7</v>
      </c>
      <c r="I10" s="50"/>
      <c r="J10" s="50">
        <v>7</v>
      </c>
      <c r="K10" s="50"/>
      <c r="L10" s="50"/>
      <c r="M10" s="50"/>
      <c r="N10" s="50"/>
      <c r="O10" s="50"/>
      <c r="P10" s="50"/>
    </row>
    <row r="11" spans="1:16" ht="28.5" customHeight="1" x14ac:dyDescent="0.25">
      <c r="A11" s="87"/>
      <c r="B11" s="54" t="s">
        <v>62</v>
      </c>
      <c r="C11" s="17">
        <v>0</v>
      </c>
      <c r="D11" s="39">
        <f t="shared" si="1"/>
        <v>0</v>
      </c>
      <c r="E11" s="50"/>
      <c r="F11" s="50"/>
      <c r="G11" s="50"/>
      <c r="H11" s="50"/>
      <c r="I11" s="50"/>
      <c r="J11" s="50"/>
      <c r="K11" s="50"/>
      <c r="L11" s="50"/>
      <c r="M11" s="50"/>
      <c r="N11" s="50"/>
      <c r="O11" s="50"/>
      <c r="P11" s="50"/>
    </row>
    <row r="12" spans="1:16" ht="28.5" customHeight="1" x14ac:dyDescent="0.25">
      <c r="A12" s="87"/>
      <c r="B12" s="54" t="s">
        <v>63</v>
      </c>
      <c r="C12" s="17">
        <v>2</v>
      </c>
      <c r="D12" s="39">
        <f t="shared" si="1"/>
        <v>0</v>
      </c>
      <c r="E12" s="50"/>
      <c r="F12" s="50"/>
      <c r="G12" s="50"/>
      <c r="H12" s="50"/>
      <c r="I12" s="50"/>
      <c r="J12" s="50"/>
      <c r="K12" s="50"/>
      <c r="L12" s="50"/>
      <c r="M12" s="50"/>
      <c r="N12" s="50"/>
      <c r="O12" s="50"/>
      <c r="P12" s="50"/>
    </row>
    <row r="13" spans="1:16" ht="28.5" customHeight="1" x14ac:dyDescent="0.25">
      <c r="A13" s="87"/>
      <c r="B13" s="54" t="s">
        <v>64</v>
      </c>
      <c r="C13" s="17">
        <v>0</v>
      </c>
      <c r="D13" s="39">
        <f t="shared" si="1"/>
        <v>0</v>
      </c>
      <c r="E13" s="50"/>
      <c r="F13" s="50"/>
      <c r="G13" s="50"/>
      <c r="H13" s="50"/>
      <c r="I13" s="50"/>
      <c r="J13" s="50"/>
      <c r="K13" s="50"/>
      <c r="L13" s="50"/>
      <c r="M13" s="50"/>
      <c r="N13" s="50"/>
      <c r="O13" s="50"/>
      <c r="P13" s="50"/>
    </row>
    <row r="14" spans="1:16" ht="28.5" customHeight="1" x14ac:dyDescent="0.25">
      <c r="A14" s="87"/>
      <c r="B14" s="54" t="s">
        <v>65</v>
      </c>
      <c r="C14" s="17">
        <v>0</v>
      </c>
      <c r="D14" s="39">
        <f t="shared" si="1"/>
        <v>0</v>
      </c>
      <c r="E14" s="50"/>
      <c r="F14" s="50"/>
      <c r="G14" s="50"/>
      <c r="H14" s="50"/>
      <c r="I14" s="50"/>
      <c r="J14" s="50"/>
      <c r="K14" s="50"/>
      <c r="L14" s="50"/>
      <c r="M14" s="50"/>
      <c r="N14" s="50"/>
      <c r="O14" s="50"/>
      <c r="P14" s="50"/>
    </row>
    <row r="15" spans="1:16" ht="28.5" customHeight="1" x14ac:dyDescent="0.25">
      <c r="A15" s="87"/>
      <c r="B15" s="54" t="s">
        <v>66</v>
      </c>
      <c r="C15" s="17">
        <v>0</v>
      </c>
      <c r="D15" s="39">
        <f t="shared" si="1"/>
        <v>0</v>
      </c>
      <c r="E15" s="50"/>
      <c r="F15" s="50"/>
      <c r="G15" s="50"/>
      <c r="H15" s="50"/>
      <c r="I15" s="50"/>
      <c r="J15" s="50"/>
      <c r="K15" s="50"/>
      <c r="L15" s="50"/>
      <c r="M15" s="50"/>
      <c r="N15" s="50"/>
      <c r="O15" s="50"/>
      <c r="P15" s="50"/>
    </row>
    <row r="16" spans="1:16" ht="28.5" customHeight="1" x14ac:dyDescent="0.25">
      <c r="A16" s="87"/>
      <c r="B16" s="54" t="s">
        <v>67</v>
      </c>
      <c r="C16" s="17">
        <v>0</v>
      </c>
      <c r="D16" s="39">
        <f t="shared" si="1"/>
        <v>0</v>
      </c>
      <c r="E16" s="50"/>
      <c r="F16" s="50"/>
      <c r="G16" s="50"/>
      <c r="H16" s="50"/>
      <c r="I16" s="50"/>
      <c r="J16" s="50"/>
      <c r="K16" s="50"/>
      <c r="L16" s="50"/>
      <c r="M16" s="50"/>
      <c r="N16" s="50"/>
      <c r="O16" s="50"/>
      <c r="P16" s="50"/>
    </row>
    <row r="17" spans="1:16" ht="28.5" customHeight="1" x14ac:dyDescent="0.25">
      <c r="A17" s="87"/>
      <c r="B17" s="54" t="s">
        <v>68</v>
      </c>
      <c r="C17" s="17">
        <v>0</v>
      </c>
      <c r="D17" s="39">
        <f t="shared" si="1"/>
        <v>0</v>
      </c>
      <c r="E17" s="50"/>
      <c r="F17" s="50"/>
      <c r="G17" s="50"/>
      <c r="H17" s="50"/>
      <c r="I17" s="50"/>
      <c r="J17" s="50"/>
      <c r="K17" s="50"/>
      <c r="L17" s="50"/>
      <c r="M17" s="50"/>
      <c r="N17" s="50"/>
      <c r="O17" s="50"/>
      <c r="P17" s="50"/>
    </row>
    <row r="18" spans="1:16" ht="28.5" customHeight="1" x14ac:dyDescent="0.25">
      <c r="A18" s="87"/>
      <c r="B18" s="54" t="s">
        <v>69</v>
      </c>
      <c r="C18" s="17">
        <v>0</v>
      </c>
      <c r="D18" s="39">
        <f t="shared" si="1"/>
        <v>0</v>
      </c>
      <c r="E18" s="50"/>
      <c r="F18" s="50"/>
      <c r="G18" s="50"/>
      <c r="H18" s="50"/>
      <c r="I18" s="50"/>
      <c r="J18" s="50"/>
      <c r="K18" s="50"/>
      <c r="L18" s="50"/>
      <c r="M18" s="50"/>
      <c r="N18" s="50"/>
      <c r="O18" s="50"/>
      <c r="P18" s="50"/>
    </row>
    <row r="19" spans="1:16" ht="28.5" customHeight="1" x14ac:dyDescent="0.25">
      <c r="A19" s="87"/>
      <c r="B19" s="54" t="s">
        <v>70</v>
      </c>
      <c r="C19" s="17">
        <v>1</v>
      </c>
      <c r="D19" s="39">
        <f t="shared" si="1"/>
        <v>0</v>
      </c>
      <c r="E19" s="50"/>
      <c r="F19" s="50"/>
      <c r="G19" s="50"/>
      <c r="H19" s="50"/>
      <c r="I19" s="50"/>
      <c r="J19" s="50"/>
      <c r="K19" s="50"/>
      <c r="L19" s="50"/>
      <c r="M19" s="50"/>
      <c r="N19" s="50"/>
      <c r="O19" s="50"/>
      <c r="P19" s="50"/>
    </row>
    <row r="20" spans="1:16" ht="28.5" customHeight="1" x14ac:dyDescent="0.25">
      <c r="A20" s="87"/>
      <c r="B20" s="54" t="s">
        <v>71</v>
      </c>
      <c r="C20" s="17">
        <v>0</v>
      </c>
      <c r="D20" s="39">
        <f t="shared" si="1"/>
        <v>0</v>
      </c>
      <c r="E20" s="50"/>
      <c r="F20" s="50"/>
      <c r="G20" s="50"/>
      <c r="H20" s="50"/>
      <c r="I20" s="50"/>
      <c r="J20" s="50"/>
      <c r="K20" s="50"/>
      <c r="L20" s="50"/>
      <c r="M20" s="50"/>
      <c r="N20" s="50"/>
      <c r="O20" s="50"/>
      <c r="P20" s="50"/>
    </row>
    <row r="21" spans="1:16" ht="28.5" customHeight="1" x14ac:dyDescent="0.25">
      <c r="A21" s="87"/>
      <c r="B21" s="54" t="s">
        <v>72</v>
      </c>
      <c r="C21" s="17">
        <v>58</v>
      </c>
      <c r="D21" s="39">
        <f t="shared" si="1"/>
        <v>46</v>
      </c>
      <c r="E21" s="50"/>
      <c r="F21" s="50">
        <v>26</v>
      </c>
      <c r="G21" s="50"/>
      <c r="H21" s="50"/>
      <c r="I21" s="50">
        <v>20</v>
      </c>
      <c r="J21" s="50"/>
      <c r="K21" s="50"/>
      <c r="L21" s="50"/>
      <c r="M21" s="50"/>
      <c r="N21" s="50"/>
      <c r="O21" s="50"/>
      <c r="P21" s="50"/>
    </row>
    <row r="22" spans="1:16" ht="28.5" customHeight="1" x14ac:dyDescent="0.25">
      <c r="A22" s="87"/>
      <c r="B22" s="54" t="s">
        <v>73</v>
      </c>
      <c r="C22" s="17">
        <v>2</v>
      </c>
      <c r="D22" s="39">
        <f t="shared" si="1"/>
        <v>0</v>
      </c>
      <c r="E22" s="50"/>
      <c r="F22" s="50"/>
      <c r="G22" s="50"/>
      <c r="H22" s="50"/>
      <c r="I22" s="50"/>
      <c r="J22" s="50"/>
      <c r="K22" s="50"/>
      <c r="L22" s="50"/>
      <c r="M22" s="50"/>
      <c r="N22" s="50"/>
      <c r="O22" s="50"/>
      <c r="P22" s="50"/>
    </row>
    <row r="23" spans="1:16" ht="24" customHeight="1" x14ac:dyDescent="0.25">
      <c r="A23" s="87"/>
      <c r="B23" s="69" t="s">
        <v>75</v>
      </c>
      <c r="C23" s="17">
        <v>1</v>
      </c>
      <c r="D23" s="39">
        <f t="shared" si="1"/>
        <v>1</v>
      </c>
      <c r="E23" s="50">
        <v>1</v>
      </c>
      <c r="F23" s="50"/>
      <c r="G23" s="50"/>
      <c r="H23" s="50"/>
      <c r="I23" s="50"/>
      <c r="J23" s="50"/>
      <c r="K23" s="50"/>
      <c r="L23" s="50"/>
      <c r="M23" s="50"/>
      <c r="N23" s="50"/>
      <c r="O23" s="50"/>
      <c r="P23" s="50"/>
    </row>
    <row r="24" spans="1:16" ht="24" customHeight="1" x14ac:dyDescent="0.25">
      <c r="A24" s="87"/>
      <c r="B24" s="69" t="s">
        <v>76</v>
      </c>
      <c r="C24" s="17">
        <v>1</v>
      </c>
      <c r="D24" s="39">
        <f t="shared" si="1"/>
        <v>1</v>
      </c>
      <c r="E24" s="50">
        <v>1</v>
      </c>
      <c r="F24" s="50"/>
      <c r="G24" s="50"/>
      <c r="H24" s="50"/>
      <c r="I24" s="50"/>
      <c r="J24" s="50"/>
      <c r="K24" s="50"/>
      <c r="L24" s="50"/>
      <c r="M24" s="50"/>
      <c r="N24" s="50"/>
      <c r="O24" s="50"/>
      <c r="P24" s="50"/>
    </row>
    <row r="25" spans="1:16" ht="24" customHeight="1" x14ac:dyDescent="0.25">
      <c r="A25" s="87"/>
      <c r="B25" s="69" t="s">
        <v>77</v>
      </c>
      <c r="C25" s="17">
        <v>1</v>
      </c>
      <c r="D25" s="39">
        <f t="shared" si="1"/>
        <v>1</v>
      </c>
      <c r="E25" s="50">
        <v>1</v>
      </c>
      <c r="F25" s="50"/>
      <c r="G25" s="50"/>
      <c r="H25" s="50"/>
      <c r="I25" s="50"/>
      <c r="J25" s="50"/>
      <c r="K25" s="50"/>
      <c r="L25" s="50"/>
      <c r="M25" s="50"/>
      <c r="N25" s="50"/>
      <c r="O25" s="50"/>
      <c r="P25" s="50"/>
    </row>
    <row r="26" spans="1:16" ht="24" customHeight="1" x14ac:dyDescent="0.25">
      <c r="A26" s="87"/>
      <c r="B26" s="69" t="s">
        <v>78</v>
      </c>
      <c r="C26" s="17">
        <v>1</v>
      </c>
      <c r="D26" s="39">
        <f t="shared" si="1"/>
        <v>1</v>
      </c>
      <c r="E26" s="50">
        <v>1</v>
      </c>
      <c r="F26" s="50"/>
      <c r="G26" s="50"/>
      <c r="H26" s="50"/>
      <c r="I26" s="50"/>
      <c r="J26" s="50"/>
      <c r="K26" s="50"/>
      <c r="L26" s="50"/>
      <c r="M26" s="50"/>
      <c r="N26" s="50"/>
      <c r="O26" s="50"/>
      <c r="P26" s="50"/>
    </row>
    <row r="27" spans="1:16" ht="24" customHeight="1" x14ac:dyDescent="0.25">
      <c r="A27" s="87"/>
      <c r="B27" s="69" t="s">
        <v>79</v>
      </c>
      <c r="C27" s="17">
        <v>1</v>
      </c>
      <c r="D27" s="39">
        <f t="shared" si="1"/>
        <v>1</v>
      </c>
      <c r="E27" s="50">
        <v>1</v>
      </c>
      <c r="F27" s="50"/>
      <c r="G27" s="50"/>
      <c r="H27" s="50"/>
      <c r="I27" s="50"/>
      <c r="J27" s="50"/>
      <c r="K27" s="50"/>
      <c r="L27" s="50"/>
      <c r="M27" s="50"/>
      <c r="N27" s="50"/>
      <c r="O27" s="50"/>
      <c r="P27" s="50"/>
    </row>
    <row r="28" spans="1:16" ht="24" customHeight="1" x14ac:dyDescent="0.25">
      <c r="A28" s="87"/>
      <c r="B28" s="69" t="s">
        <v>80</v>
      </c>
      <c r="C28" s="17">
        <v>1</v>
      </c>
      <c r="D28" s="39">
        <f t="shared" si="1"/>
        <v>1</v>
      </c>
      <c r="E28" s="50">
        <v>1</v>
      </c>
      <c r="F28" s="50"/>
      <c r="G28" s="50"/>
      <c r="H28" s="50"/>
      <c r="I28" s="50"/>
      <c r="J28" s="50"/>
      <c r="K28" s="50"/>
      <c r="L28" s="50"/>
      <c r="M28" s="50"/>
      <c r="N28" s="50"/>
      <c r="O28" s="50"/>
      <c r="P28" s="50"/>
    </row>
    <row r="29" spans="1:16" ht="24" customHeight="1" x14ac:dyDescent="0.25">
      <c r="A29" s="87"/>
      <c r="B29" s="69" t="s">
        <v>81</v>
      </c>
      <c r="C29" s="17">
        <v>1</v>
      </c>
      <c r="D29" s="39">
        <f t="shared" si="1"/>
        <v>1</v>
      </c>
      <c r="E29" s="50">
        <v>1</v>
      </c>
      <c r="F29" s="50"/>
      <c r="G29" s="50"/>
      <c r="H29" s="50"/>
      <c r="I29" s="50"/>
      <c r="J29" s="50"/>
      <c r="K29" s="50"/>
      <c r="L29" s="50"/>
      <c r="M29" s="50"/>
      <c r="N29" s="50"/>
      <c r="O29" s="50"/>
      <c r="P29" s="50"/>
    </row>
    <row r="30" spans="1:16" ht="24" customHeight="1" x14ac:dyDescent="0.25">
      <c r="A30" s="87"/>
      <c r="B30" s="69" t="s">
        <v>82</v>
      </c>
      <c r="C30" s="17">
        <v>1</v>
      </c>
      <c r="D30" s="39">
        <f t="shared" si="1"/>
        <v>0</v>
      </c>
      <c r="E30" s="50"/>
      <c r="F30" s="50"/>
      <c r="G30" s="50"/>
      <c r="H30" s="50"/>
      <c r="I30" s="50"/>
      <c r="J30" s="50"/>
      <c r="K30" s="50"/>
      <c r="L30" s="50"/>
      <c r="M30" s="50"/>
      <c r="N30" s="50"/>
      <c r="O30" s="50"/>
      <c r="P30" s="50"/>
    </row>
    <row r="31" spans="1:16" ht="24" customHeight="1" x14ac:dyDescent="0.25">
      <c r="A31" s="87"/>
      <c r="B31" s="69" t="s">
        <v>83</v>
      </c>
      <c r="C31" s="17">
        <v>1</v>
      </c>
      <c r="D31" s="39">
        <f t="shared" si="1"/>
        <v>0</v>
      </c>
      <c r="E31" s="50"/>
      <c r="F31" s="50"/>
      <c r="G31" s="50"/>
      <c r="H31" s="50"/>
      <c r="I31" s="50"/>
      <c r="J31" s="50"/>
      <c r="K31" s="50"/>
      <c r="L31" s="50"/>
      <c r="M31" s="50"/>
      <c r="N31" s="50"/>
      <c r="O31" s="50"/>
      <c r="P31" s="50"/>
    </row>
    <row r="32" spans="1:16" ht="24" customHeight="1" x14ac:dyDescent="0.25">
      <c r="A32" s="87"/>
      <c r="B32" s="69" t="s">
        <v>84</v>
      </c>
      <c r="C32" s="17">
        <v>1</v>
      </c>
      <c r="D32" s="39">
        <f t="shared" si="1"/>
        <v>0</v>
      </c>
      <c r="E32" s="50"/>
      <c r="F32" s="50"/>
      <c r="G32" s="50"/>
      <c r="H32" s="50"/>
      <c r="I32" s="50"/>
      <c r="J32" s="50"/>
      <c r="K32" s="50"/>
      <c r="L32" s="50"/>
      <c r="M32" s="50"/>
      <c r="N32" s="50"/>
      <c r="O32" s="50"/>
      <c r="P32" s="50"/>
    </row>
    <row r="33" spans="1:16" ht="24" customHeight="1" x14ac:dyDescent="0.25">
      <c r="A33" s="87"/>
      <c r="B33" s="69" t="s">
        <v>85</v>
      </c>
      <c r="C33" s="17">
        <v>1</v>
      </c>
      <c r="D33" s="39">
        <f t="shared" si="1"/>
        <v>0</v>
      </c>
      <c r="E33" s="50"/>
      <c r="F33" s="50"/>
      <c r="G33" s="50"/>
      <c r="H33" s="50"/>
      <c r="I33" s="50"/>
      <c r="J33" s="50"/>
      <c r="K33" s="50"/>
      <c r="L33" s="50"/>
      <c r="M33" s="50"/>
      <c r="N33" s="50"/>
      <c r="O33" s="50"/>
      <c r="P33" s="50"/>
    </row>
    <row r="34" spans="1:16" ht="24" customHeight="1" thickBot="1" x14ac:dyDescent="0.3">
      <c r="A34" s="88"/>
      <c r="B34" s="69" t="s">
        <v>86</v>
      </c>
      <c r="C34" s="17">
        <v>1</v>
      </c>
      <c r="D34" s="63">
        <f t="shared" si="1"/>
        <v>0</v>
      </c>
      <c r="E34" s="50"/>
      <c r="F34" s="50"/>
      <c r="G34" s="50"/>
      <c r="H34" s="50"/>
      <c r="I34" s="50"/>
      <c r="J34" s="50"/>
      <c r="K34" s="50"/>
      <c r="L34" s="50"/>
      <c r="M34" s="50"/>
      <c r="N34" s="50"/>
      <c r="O34" s="50"/>
      <c r="P34" s="50"/>
    </row>
    <row r="35" spans="1:16" x14ac:dyDescent="0.25">
      <c r="C35" s="51">
        <f>SUM(C3:C34)</f>
        <v>182</v>
      </c>
      <c r="D35" s="73">
        <f>SUM(D3:D34)</f>
        <v>99</v>
      </c>
      <c r="E35" s="50"/>
      <c r="F35" s="50"/>
      <c r="G35" s="50"/>
      <c r="H35" s="50"/>
      <c r="I35" s="50"/>
      <c r="J35" s="50"/>
      <c r="K35" s="50"/>
      <c r="L35" s="50"/>
      <c r="M35" s="50"/>
      <c r="N35" s="50"/>
      <c r="O35" s="50"/>
      <c r="P35" s="50"/>
    </row>
    <row r="36" spans="1:16" x14ac:dyDescent="0.25">
      <c r="D36" s="20">
        <f>D35/C35</f>
        <v>0.54395604395604391</v>
      </c>
    </row>
  </sheetData>
  <sheetProtection algorithmName="SHA-512" hashValue="aDmYTEkb10y6te2ufsVYJFhKF8VyAjfFrEL/iKohzj1uGpybFsCKK4sRkvunxw7DX1yXZM0PQD68bwg2wK6Zhg==" saltValue="uPBFJusA50tM51luyDSwsw==" spinCount="100000" sheet="1" objects="1" scenarios="1" autoFilter="0"/>
  <mergeCells count="2">
    <mergeCell ref="A7:A34"/>
    <mergeCell ref="A1:A2"/>
  </mergeCells>
  <conditionalFormatting sqref="C3:D3">
    <cfRule type="dataBar" priority="5">
      <dataBar>
        <cfvo type="min"/>
        <cfvo type="max"/>
        <color rgb="FF008AEF"/>
      </dataBar>
      <extLst>
        <ext xmlns:x14="http://schemas.microsoft.com/office/spreadsheetml/2009/9/main" uri="{B025F937-C7B1-47D3-B67F-A62EFF666E3E}">
          <x14:id>{85E0066C-C13B-4316-8F3D-728A143E95D3}</x14:id>
        </ext>
      </extLst>
    </cfRule>
  </conditionalFormatting>
  <conditionalFormatting sqref="C4:D4">
    <cfRule type="dataBar" priority="4">
      <dataBar>
        <cfvo type="min"/>
        <cfvo type="max"/>
        <color rgb="FF008AEF"/>
      </dataBar>
      <extLst>
        <ext xmlns:x14="http://schemas.microsoft.com/office/spreadsheetml/2009/9/main" uri="{B025F937-C7B1-47D3-B67F-A62EFF666E3E}">
          <x14:id>{AB9B2E7D-5223-4241-AA98-2CAD14E713EB}</x14:id>
        </ext>
      </extLst>
    </cfRule>
  </conditionalFormatting>
  <conditionalFormatting sqref="C5:D5">
    <cfRule type="dataBar" priority="3">
      <dataBar>
        <cfvo type="min"/>
        <cfvo type="max"/>
        <color rgb="FF008AEF"/>
      </dataBar>
      <extLst>
        <ext xmlns:x14="http://schemas.microsoft.com/office/spreadsheetml/2009/9/main" uri="{B025F937-C7B1-47D3-B67F-A62EFF666E3E}">
          <x14:id>{F16D91BA-DF51-49EA-8047-DD960101EEA7}</x14:id>
        </ext>
      </extLst>
    </cfRule>
  </conditionalFormatting>
  <conditionalFormatting sqref="C6:D6">
    <cfRule type="dataBar" priority="2">
      <dataBar>
        <cfvo type="min"/>
        <cfvo type="max"/>
        <color rgb="FF008AEF"/>
      </dataBar>
      <extLst>
        <ext xmlns:x14="http://schemas.microsoft.com/office/spreadsheetml/2009/9/main" uri="{B025F937-C7B1-47D3-B67F-A62EFF666E3E}">
          <x14:id>{E33487BA-4115-4329-AE92-B7AE035899EF}</x14:id>
        </ext>
      </extLst>
    </cfRule>
  </conditionalFormatting>
  <conditionalFormatting sqref="C7:D7">
    <cfRule type="dataBar" priority="1">
      <dataBar>
        <cfvo type="min"/>
        <cfvo type="max"/>
        <color rgb="FF008AEF"/>
      </dataBar>
      <extLst>
        <ext xmlns:x14="http://schemas.microsoft.com/office/spreadsheetml/2009/9/main" uri="{B025F937-C7B1-47D3-B67F-A62EFF666E3E}">
          <x14:id>{0F4DBA29-2E86-4390-9585-3215F03BB67E}</x14:id>
        </ext>
      </extLst>
    </cfRule>
  </conditionalFormatting>
  <conditionalFormatting sqref="C8:D8">
    <cfRule type="dataBar" priority="32">
      <dataBar>
        <cfvo type="min"/>
        <cfvo type="max"/>
        <color rgb="FF008AEF"/>
      </dataBar>
      <extLst>
        <ext xmlns:x14="http://schemas.microsoft.com/office/spreadsheetml/2009/9/main" uri="{B025F937-C7B1-47D3-B67F-A62EFF666E3E}">
          <x14:id>{BF3C93D7-AEB4-4A5C-84D2-DE2A74C1C06A}</x14:id>
        </ext>
      </extLst>
    </cfRule>
  </conditionalFormatting>
  <conditionalFormatting sqref="C9:D9">
    <cfRule type="dataBar" priority="31">
      <dataBar>
        <cfvo type="min"/>
        <cfvo type="max"/>
        <color rgb="FF008AEF"/>
      </dataBar>
      <extLst>
        <ext xmlns:x14="http://schemas.microsoft.com/office/spreadsheetml/2009/9/main" uri="{B025F937-C7B1-47D3-B67F-A62EFF666E3E}">
          <x14:id>{970BAB89-DED7-442D-9091-9120BDB7DDA3}</x14:id>
        </ext>
      </extLst>
    </cfRule>
  </conditionalFormatting>
  <conditionalFormatting sqref="C10:D10">
    <cfRule type="dataBar" priority="30">
      <dataBar>
        <cfvo type="min"/>
        <cfvo type="max"/>
        <color rgb="FF008AEF"/>
      </dataBar>
      <extLst>
        <ext xmlns:x14="http://schemas.microsoft.com/office/spreadsheetml/2009/9/main" uri="{B025F937-C7B1-47D3-B67F-A62EFF666E3E}">
          <x14:id>{05C4F4B7-C178-4FD0-8831-4E5E3304E184}</x14:id>
        </ext>
      </extLst>
    </cfRule>
  </conditionalFormatting>
  <conditionalFormatting sqref="C11:D11">
    <cfRule type="dataBar" priority="29">
      <dataBar>
        <cfvo type="min"/>
        <cfvo type="max"/>
        <color rgb="FF008AEF"/>
      </dataBar>
      <extLst>
        <ext xmlns:x14="http://schemas.microsoft.com/office/spreadsheetml/2009/9/main" uri="{B025F937-C7B1-47D3-B67F-A62EFF666E3E}">
          <x14:id>{B7795072-0D3F-4BA1-9C4B-78F9E23A23C4}</x14:id>
        </ext>
      </extLst>
    </cfRule>
  </conditionalFormatting>
  <conditionalFormatting sqref="C12:D12">
    <cfRule type="dataBar" priority="28">
      <dataBar>
        <cfvo type="min"/>
        <cfvo type="max"/>
        <color rgb="FF008AEF"/>
      </dataBar>
      <extLst>
        <ext xmlns:x14="http://schemas.microsoft.com/office/spreadsheetml/2009/9/main" uri="{B025F937-C7B1-47D3-B67F-A62EFF666E3E}">
          <x14:id>{C4743CBA-8D8A-43A0-A0AE-F89EFBFB0A2B}</x14:id>
        </ext>
      </extLst>
    </cfRule>
  </conditionalFormatting>
  <conditionalFormatting sqref="C13:D13">
    <cfRule type="dataBar" priority="27">
      <dataBar>
        <cfvo type="min"/>
        <cfvo type="max"/>
        <color rgb="FF008AEF"/>
      </dataBar>
      <extLst>
        <ext xmlns:x14="http://schemas.microsoft.com/office/spreadsheetml/2009/9/main" uri="{B025F937-C7B1-47D3-B67F-A62EFF666E3E}">
          <x14:id>{935B472E-0486-4C86-A387-3B2D5EF3D857}</x14:id>
        </ext>
      </extLst>
    </cfRule>
  </conditionalFormatting>
  <conditionalFormatting sqref="C14:D14">
    <cfRule type="dataBar" priority="26">
      <dataBar>
        <cfvo type="min"/>
        <cfvo type="max"/>
        <color rgb="FF008AEF"/>
      </dataBar>
      <extLst>
        <ext xmlns:x14="http://schemas.microsoft.com/office/spreadsheetml/2009/9/main" uri="{B025F937-C7B1-47D3-B67F-A62EFF666E3E}">
          <x14:id>{E75AAED8-469C-4553-B61E-26FA84B96445}</x14:id>
        </ext>
      </extLst>
    </cfRule>
  </conditionalFormatting>
  <conditionalFormatting sqref="C15:D15">
    <cfRule type="dataBar" priority="25">
      <dataBar>
        <cfvo type="min"/>
        <cfvo type="max"/>
        <color rgb="FF008AEF"/>
      </dataBar>
      <extLst>
        <ext xmlns:x14="http://schemas.microsoft.com/office/spreadsheetml/2009/9/main" uri="{B025F937-C7B1-47D3-B67F-A62EFF666E3E}">
          <x14:id>{79AFE7ED-C51E-4C8D-AAB2-17DC0F641BEE}</x14:id>
        </ext>
      </extLst>
    </cfRule>
  </conditionalFormatting>
  <conditionalFormatting sqref="C16:D16">
    <cfRule type="dataBar" priority="24">
      <dataBar>
        <cfvo type="min"/>
        <cfvo type="max"/>
        <color rgb="FF008AEF"/>
      </dataBar>
      <extLst>
        <ext xmlns:x14="http://schemas.microsoft.com/office/spreadsheetml/2009/9/main" uri="{B025F937-C7B1-47D3-B67F-A62EFF666E3E}">
          <x14:id>{83982B0E-41BC-434A-8415-0571C2D77BBF}</x14:id>
        </ext>
      </extLst>
    </cfRule>
  </conditionalFormatting>
  <conditionalFormatting sqref="C17:D17">
    <cfRule type="dataBar" priority="23">
      <dataBar>
        <cfvo type="min"/>
        <cfvo type="max"/>
        <color rgb="FF008AEF"/>
      </dataBar>
      <extLst>
        <ext xmlns:x14="http://schemas.microsoft.com/office/spreadsheetml/2009/9/main" uri="{B025F937-C7B1-47D3-B67F-A62EFF666E3E}">
          <x14:id>{9DB98014-4AA7-4476-9DCA-F147F0E9C64F}</x14:id>
        </ext>
      </extLst>
    </cfRule>
  </conditionalFormatting>
  <conditionalFormatting sqref="C18:D18">
    <cfRule type="dataBar" priority="22">
      <dataBar>
        <cfvo type="min"/>
        <cfvo type="max"/>
        <color rgb="FF008AEF"/>
      </dataBar>
      <extLst>
        <ext xmlns:x14="http://schemas.microsoft.com/office/spreadsheetml/2009/9/main" uri="{B025F937-C7B1-47D3-B67F-A62EFF666E3E}">
          <x14:id>{F4ADF8F6-B85C-4324-97DC-C6C714B520D6}</x14:id>
        </ext>
      </extLst>
    </cfRule>
  </conditionalFormatting>
  <conditionalFormatting sqref="C19:D19">
    <cfRule type="dataBar" priority="21">
      <dataBar>
        <cfvo type="min"/>
        <cfvo type="max"/>
        <color rgb="FF008AEF"/>
      </dataBar>
      <extLst>
        <ext xmlns:x14="http://schemas.microsoft.com/office/spreadsheetml/2009/9/main" uri="{B025F937-C7B1-47D3-B67F-A62EFF666E3E}">
          <x14:id>{7A8B63BF-6524-4B9B-B622-01B8554F30B5}</x14:id>
        </ext>
      </extLst>
    </cfRule>
  </conditionalFormatting>
  <conditionalFormatting sqref="C20:D20">
    <cfRule type="dataBar" priority="20">
      <dataBar>
        <cfvo type="min"/>
        <cfvo type="max"/>
        <color rgb="FF008AEF"/>
      </dataBar>
      <extLst>
        <ext xmlns:x14="http://schemas.microsoft.com/office/spreadsheetml/2009/9/main" uri="{B025F937-C7B1-47D3-B67F-A62EFF666E3E}">
          <x14:id>{05501693-2655-4DB7-9BDF-5665F71B377A}</x14:id>
        </ext>
      </extLst>
    </cfRule>
  </conditionalFormatting>
  <conditionalFormatting sqref="C21:D21">
    <cfRule type="dataBar" priority="19">
      <dataBar>
        <cfvo type="min"/>
        <cfvo type="max"/>
        <color rgb="FF008AEF"/>
      </dataBar>
      <extLst>
        <ext xmlns:x14="http://schemas.microsoft.com/office/spreadsheetml/2009/9/main" uri="{B025F937-C7B1-47D3-B67F-A62EFF666E3E}">
          <x14:id>{186D7776-1F69-44B4-99D8-8AAEA9FF3CA4}</x14:id>
        </ext>
      </extLst>
    </cfRule>
  </conditionalFormatting>
  <conditionalFormatting sqref="C22:D22">
    <cfRule type="dataBar" priority="18">
      <dataBar>
        <cfvo type="min"/>
        <cfvo type="max"/>
        <color rgb="FF008AEF"/>
      </dataBar>
      <extLst>
        <ext xmlns:x14="http://schemas.microsoft.com/office/spreadsheetml/2009/9/main" uri="{B025F937-C7B1-47D3-B67F-A62EFF666E3E}">
          <x14:id>{B41B9D18-35D4-4423-AA59-B461C965DEB6}</x14:id>
        </ext>
      </extLst>
    </cfRule>
  </conditionalFormatting>
  <conditionalFormatting sqref="C23:D23">
    <cfRule type="dataBar" priority="17">
      <dataBar>
        <cfvo type="min"/>
        <cfvo type="max"/>
        <color rgb="FF008AEF"/>
      </dataBar>
      <extLst>
        <ext xmlns:x14="http://schemas.microsoft.com/office/spreadsheetml/2009/9/main" uri="{B025F937-C7B1-47D3-B67F-A62EFF666E3E}">
          <x14:id>{889B5066-EAA7-4DAA-883E-834E89938CE0}</x14:id>
        </ext>
      </extLst>
    </cfRule>
  </conditionalFormatting>
  <conditionalFormatting sqref="C24:D24">
    <cfRule type="dataBar" priority="16">
      <dataBar>
        <cfvo type="min"/>
        <cfvo type="max"/>
        <color rgb="FF008AEF"/>
      </dataBar>
      <extLst>
        <ext xmlns:x14="http://schemas.microsoft.com/office/spreadsheetml/2009/9/main" uri="{B025F937-C7B1-47D3-B67F-A62EFF666E3E}">
          <x14:id>{A0043ADD-4563-4A76-9E60-BF2EAFBB81C7}</x14:id>
        </ext>
      </extLst>
    </cfRule>
  </conditionalFormatting>
  <conditionalFormatting sqref="C25:D25">
    <cfRule type="dataBar" priority="15">
      <dataBar>
        <cfvo type="min"/>
        <cfvo type="max"/>
        <color rgb="FF008AEF"/>
      </dataBar>
      <extLst>
        <ext xmlns:x14="http://schemas.microsoft.com/office/spreadsheetml/2009/9/main" uri="{B025F937-C7B1-47D3-B67F-A62EFF666E3E}">
          <x14:id>{6F0165B3-336E-49E2-8EE2-6EE5CE40CCA0}</x14:id>
        </ext>
      </extLst>
    </cfRule>
  </conditionalFormatting>
  <conditionalFormatting sqref="C26:D26">
    <cfRule type="dataBar" priority="14">
      <dataBar>
        <cfvo type="min"/>
        <cfvo type="max"/>
        <color rgb="FF008AEF"/>
      </dataBar>
      <extLst>
        <ext xmlns:x14="http://schemas.microsoft.com/office/spreadsheetml/2009/9/main" uri="{B025F937-C7B1-47D3-B67F-A62EFF666E3E}">
          <x14:id>{23F304B4-24B1-4825-A658-F411AA659ED6}</x14:id>
        </ext>
      </extLst>
    </cfRule>
  </conditionalFormatting>
  <conditionalFormatting sqref="C27:D27">
    <cfRule type="dataBar" priority="13">
      <dataBar>
        <cfvo type="min"/>
        <cfvo type="max"/>
        <color rgb="FF008AEF"/>
      </dataBar>
      <extLst>
        <ext xmlns:x14="http://schemas.microsoft.com/office/spreadsheetml/2009/9/main" uri="{B025F937-C7B1-47D3-B67F-A62EFF666E3E}">
          <x14:id>{1B5186E1-79C6-418F-8414-9D3F5333C99E}</x14:id>
        </ext>
      </extLst>
    </cfRule>
  </conditionalFormatting>
  <conditionalFormatting sqref="C28:D28">
    <cfRule type="dataBar" priority="12">
      <dataBar>
        <cfvo type="min"/>
        <cfvo type="max"/>
        <color rgb="FF008AEF"/>
      </dataBar>
      <extLst>
        <ext xmlns:x14="http://schemas.microsoft.com/office/spreadsheetml/2009/9/main" uri="{B025F937-C7B1-47D3-B67F-A62EFF666E3E}">
          <x14:id>{7319F58E-3042-406A-81EE-118CD8800790}</x14:id>
        </ext>
      </extLst>
    </cfRule>
  </conditionalFormatting>
  <conditionalFormatting sqref="C29:D29">
    <cfRule type="dataBar" priority="11">
      <dataBar>
        <cfvo type="min"/>
        <cfvo type="max"/>
        <color rgb="FF008AEF"/>
      </dataBar>
      <extLst>
        <ext xmlns:x14="http://schemas.microsoft.com/office/spreadsheetml/2009/9/main" uri="{B025F937-C7B1-47D3-B67F-A62EFF666E3E}">
          <x14:id>{E99BB62F-4A63-4798-9F7A-6714BDEBFA8B}</x14:id>
        </ext>
      </extLst>
    </cfRule>
  </conditionalFormatting>
  <conditionalFormatting sqref="C30:D30">
    <cfRule type="dataBar" priority="10">
      <dataBar>
        <cfvo type="min"/>
        <cfvo type="max"/>
        <color rgb="FF008AEF"/>
      </dataBar>
      <extLst>
        <ext xmlns:x14="http://schemas.microsoft.com/office/spreadsheetml/2009/9/main" uri="{B025F937-C7B1-47D3-B67F-A62EFF666E3E}">
          <x14:id>{8BA7722F-30CA-487C-9C7D-E6723F769438}</x14:id>
        </ext>
      </extLst>
    </cfRule>
  </conditionalFormatting>
  <conditionalFormatting sqref="C31:D31">
    <cfRule type="dataBar" priority="9">
      <dataBar>
        <cfvo type="min"/>
        <cfvo type="max"/>
        <color rgb="FF008AEF"/>
      </dataBar>
      <extLst>
        <ext xmlns:x14="http://schemas.microsoft.com/office/spreadsheetml/2009/9/main" uri="{B025F937-C7B1-47D3-B67F-A62EFF666E3E}">
          <x14:id>{C0FAC22B-3819-4C0B-80B2-FEA3C4C7E1FA}</x14:id>
        </ext>
      </extLst>
    </cfRule>
  </conditionalFormatting>
  <conditionalFormatting sqref="C32:D32">
    <cfRule type="dataBar" priority="8">
      <dataBar>
        <cfvo type="min"/>
        <cfvo type="max"/>
        <color rgb="FF008AEF"/>
      </dataBar>
      <extLst>
        <ext xmlns:x14="http://schemas.microsoft.com/office/spreadsheetml/2009/9/main" uri="{B025F937-C7B1-47D3-B67F-A62EFF666E3E}">
          <x14:id>{94C939ED-CCF9-43F5-AEED-E9343B64602C}</x14:id>
        </ext>
      </extLst>
    </cfRule>
  </conditionalFormatting>
  <conditionalFormatting sqref="C33:D33">
    <cfRule type="dataBar" priority="7">
      <dataBar>
        <cfvo type="min"/>
        <cfvo type="max"/>
        <color rgb="FF008AEF"/>
      </dataBar>
      <extLst>
        <ext xmlns:x14="http://schemas.microsoft.com/office/spreadsheetml/2009/9/main" uri="{B025F937-C7B1-47D3-B67F-A62EFF666E3E}">
          <x14:id>{CED935FB-29E5-4409-9B38-D49CFCC3B1F1}</x14:id>
        </ext>
      </extLst>
    </cfRule>
  </conditionalFormatting>
  <conditionalFormatting sqref="C34:D34">
    <cfRule type="dataBar" priority="6">
      <dataBar>
        <cfvo type="min"/>
        <cfvo type="max"/>
        <color rgb="FF008AEF"/>
      </dataBar>
      <extLst>
        <ext xmlns:x14="http://schemas.microsoft.com/office/spreadsheetml/2009/9/main" uri="{B025F937-C7B1-47D3-B67F-A62EFF666E3E}">
          <x14:id>{6D8D5924-8A73-4535-BE7D-A0C6F47C6A53}</x14:id>
        </ext>
      </extLst>
    </cfRule>
  </conditionalFormatting>
  <conditionalFormatting sqref="E3:P35">
    <cfRule type="cellIs" dxfId="7" priority="33"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5E0066C-C13B-4316-8F3D-728A143E95D3}">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AB9B2E7D-5223-4241-AA98-2CAD14E713EB}">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F16D91BA-DF51-49EA-8047-DD960101EEA7}">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E33487BA-4115-4329-AE92-B7AE035899E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F4DBA29-2E86-4390-9585-3215F03BB67E}">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F3C93D7-AEB4-4A5C-84D2-DE2A74C1C06A}">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970BAB89-DED7-442D-9091-9120BDB7DDA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5C4F4B7-C178-4FD0-8831-4E5E3304E18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7795072-0D3F-4BA1-9C4B-78F9E23A23C4}">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C4743CBA-8D8A-43A0-A0AE-F89EFBFB0A2B}">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935B472E-0486-4C86-A387-3B2D5EF3D857}">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E75AAED8-469C-4553-B61E-26FA84B96445}">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79AFE7ED-C51E-4C8D-AAB2-17DC0F641BE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83982B0E-41BC-434A-8415-0571C2D77BBF}">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DB98014-4AA7-4476-9DCA-F147F0E9C64F}">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F4ADF8F6-B85C-4324-97DC-C6C714B520D6}">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7A8B63BF-6524-4B9B-B622-01B8554F30B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05501693-2655-4DB7-9BDF-5665F71B377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186D7776-1F69-44B4-99D8-8AAEA9FF3CA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B41B9D18-35D4-4423-AA59-B461C965DEB6}">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889B5066-EAA7-4DAA-883E-834E89938CE0}">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A0043ADD-4563-4A76-9E60-BF2EAFBB81C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6F0165B3-336E-49E2-8EE2-6EE5CE40CCA0}">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23F304B4-24B1-4825-A658-F411AA659ED6}">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B5186E1-79C6-418F-8414-9D3F5333C99E}">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7319F58E-3042-406A-81EE-118CD8800790}">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99BB62F-4A63-4798-9F7A-6714BDEBFA8B}">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8BA7722F-30CA-487C-9C7D-E6723F769438}">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0FAC22B-3819-4C0B-80B2-FEA3C4C7E1FA}">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4C939ED-CCF9-43F5-AEED-E9343B64602C}">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CED935FB-29E5-4409-9B38-D49CFCC3B1F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6D8D5924-8A73-4535-BE7D-A0C6F47C6A53}">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36"/>
  <sheetViews>
    <sheetView topLeftCell="B1" zoomScale="80" zoomScaleNormal="80" workbookViewId="0">
      <selection activeCell="H30" sqref="H30"/>
    </sheetView>
  </sheetViews>
  <sheetFormatPr baseColWidth="10" defaultColWidth="13.140625" defaultRowHeight="15" x14ac:dyDescent="0.25"/>
  <cols>
    <col min="1" max="1" width="6.42578125" style="4" customWidth="1"/>
    <col min="2" max="2" width="69.42578125" style="4" customWidth="1"/>
    <col min="3" max="3" width="13.140625" style="4"/>
    <col min="4" max="4" width="25.7109375" style="4" customWidth="1"/>
    <col min="5" max="16" width="15.5703125" style="4" customWidth="1"/>
    <col min="17" max="16384" width="13.140625" style="4"/>
  </cols>
  <sheetData>
    <row r="1" spans="1:16" ht="61.5" customHeight="1" x14ac:dyDescent="0.25">
      <c r="A1" s="89" t="s">
        <v>1</v>
      </c>
      <c r="B1" s="1" t="s">
        <v>35</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s="7" customFormat="1" ht="15.75" thickBot="1" x14ac:dyDescent="0.3">
      <c r="A2" s="95"/>
      <c r="B2" s="1"/>
      <c r="C2" s="6">
        <v>2026</v>
      </c>
      <c r="D2" s="6" t="s">
        <v>16</v>
      </c>
      <c r="E2" s="48"/>
      <c r="F2" s="48"/>
      <c r="G2" s="48"/>
      <c r="H2" s="48"/>
      <c r="I2" s="48"/>
      <c r="J2" s="48"/>
      <c r="K2" s="48"/>
      <c r="L2" s="48"/>
      <c r="M2" s="48"/>
      <c r="N2" s="48"/>
      <c r="O2" s="48"/>
      <c r="P2" s="48"/>
    </row>
    <row r="3" spans="1:16" ht="81" customHeight="1" x14ac:dyDescent="0.25">
      <c r="A3" s="64" t="s">
        <v>18</v>
      </c>
      <c r="B3" s="33" t="s">
        <v>17</v>
      </c>
      <c r="C3" s="10">
        <v>2</v>
      </c>
      <c r="D3" s="39">
        <f>SUM(E3:P3)</f>
        <v>0</v>
      </c>
      <c r="E3" s="50"/>
      <c r="F3" s="50"/>
      <c r="G3" s="50"/>
      <c r="H3" s="50"/>
      <c r="I3" s="50"/>
      <c r="J3" s="50"/>
      <c r="K3" s="50"/>
      <c r="L3" s="50"/>
      <c r="M3" s="50"/>
      <c r="N3" s="50"/>
      <c r="O3" s="50"/>
      <c r="P3" s="50"/>
    </row>
    <row r="4" spans="1:16" ht="81" customHeight="1" x14ac:dyDescent="0.25">
      <c r="A4" s="65" t="s">
        <v>20</v>
      </c>
      <c r="B4" s="34" t="s">
        <v>19</v>
      </c>
      <c r="C4" s="13">
        <v>2</v>
      </c>
      <c r="D4" s="39">
        <f t="shared" ref="D4:D6" si="0">SUM(E4:P4)</f>
        <v>0</v>
      </c>
      <c r="E4" s="50">
        <v>0</v>
      </c>
      <c r="F4" s="50">
        <v>0</v>
      </c>
      <c r="G4" s="50">
        <v>0</v>
      </c>
      <c r="H4" s="50">
        <v>0</v>
      </c>
      <c r="I4" s="50"/>
      <c r="J4" s="50"/>
      <c r="K4" s="50"/>
      <c r="L4" s="50"/>
      <c r="M4" s="50"/>
      <c r="N4" s="50"/>
      <c r="O4" s="50"/>
      <c r="P4" s="50"/>
    </row>
    <row r="5" spans="1:16" ht="81" customHeight="1" x14ac:dyDescent="0.25">
      <c r="A5" s="66" t="s">
        <v>18</v>
      </c>
      <c r="B5" s="33" t="s">
        <v>29</v>
      </c>
      <c r="C5" s="18">
        <v>1</v>
      </c>
      <c r="D5" s="39">
        <f t="shared" si="0"/>
        <v>1</v>
      </c>
      <c r="E5" s="50">
        <v>1</v>
      </c>
      <c r="F5" s="50"/>
      <c r="G5" s="50"/>
      <c r="H5" s="50"/>
      <c r="I5" s="50"/>
      <c r="J5" s="50"/>
      <c r="K5" s="50"/>
      <c r="L5" s="50"/>
      <c r="M5" s="50"/>
      <c r="N5" s="50"/>
      <c r="O5" s="50"/>
      <c r="P5" s="50"/>
    </row>
    <row r="6" spans="1:16" ht="81" customHeight="1" x14ac:dyDescent="0.25">
      <c r="A6" s="66" t="s">
        <v>18</v>
      </c>
      <c r="B6" s="33" t="s">
        <v>33</v>
      </c>
      <c r="C6" s="18">
        <v>2</v>
      </c>
      <c r="D6" s="39">
        <f t="shared" si="0"/>
        <v>1</v>
      </c>
      <c r="E6" s="50"/>
      <c r="F6" s="50">
        <v>1</v>
      </c>
      <c r="G6" s="50"/>
      <c r="H6" s="50"/>
      <c r="I6" s="50"/>
      <c r="J6" s="50"/>
      <c r="K6" s="50"/>
      <c r="L6" s="50"/>
      <c r="M6" s="50"/>
      <c r="N6" s="50"/>
      <c r="O6" s="50"/>
      <c r="P6" s="50"/>
    </row>
    <row r="7" spans="1:16" ht="28.5" customHeight="1" x14ac:dyDescent="0.25">
      <c r="A7" s="86" t="s">
        <v>87</v>
      </c>
      <c r="B7" s="54" t="s">
        <v>59</v>
      </c>
      <c r="C7" s="17">
        <v>1</v>
      </c>
      <c r="D7" s="39">
        <f t="shared" ref="D7:D34" si="1">SUM(E7:P7)</f>
        <v>0</v>
      </c>
      <c r="E7" s="50"/>
      <c r="F7" s="50"/>
      <c r="G7" s="50"/>
      <c r="H7" s="50"/>
      <c r="I7" s="50"/>
      <c r="J7" s="50"/>
      <c r="K7" s="50"/>
      <c r="L7" s="50"/>
      <c r="M7" s="50"/>
      <c r="N7" s="50"/>
      <c r="O7" s="50"/>
      <c r="P7" s="50"/>
    </row>
    <row r="8" spans="1:16" ht="28.5" customHeight="1" x14ac:dyDescent="0.25">
      <c r="A8" s="87"/>
      <c r="B8" s="54" t="s">
        <v>74</v>
      </c>
      <c r="C8" s="17">
        <v>3</v>
      </c>
      <c r="D8" s="39">
        <f t="shared" si="1"/>
        <v>0</v>
      </c>
      <c r="E8" s="50"/>
      <c r="F8" s="50"/>
      <c r="G8" s="50"/>
      <c r="H8" s="50"/>
      <c r="I8" s="50"/>
      <c r="J8" s="50"/>
      <c r="K8" s="50"/>
      <c r="L8" s="50"/>
      <c r="M8" s="50"/>
      <c r="N8" s="50"/>
      <c r="O8" s="50"/>
      <c r="P8" s="50"/>
    </row>
    <row r="9" spans="1:16" ht="28.5" customHeight="1" x14ac:dyDescent="0.25">
      <c r="A9" s="87"/>
      <c r="B9" s="54" t="s">
        <v>60</v>
      </c>
      <c r="C9" s="17">
        <v>52</v>
      </c>
      <c r="D9" s="39">
        <f t="shared" si="1"/>
        <v>26</v>
      </c>
      <c r="E9" s="50"/>
      <c r="F9" s="50">
        <v>6</v>
      </c>
      <c r="G9" s="50">
        <v>7</v>
      </c>
      <c r="H9" s="50">
        <v>7</v>
      </c>
      <c r="I9" s="50">
        <v>6</v>
      </c>
      <c r="J9" s="50"/>
      <c r="K9" s="50"/>
      <c r="L9" s="50"/>
      <c r="M9" s="50"/>
      <c r="N9" s="50"/>
      <c r="O9" s="50"/>
      <c r="P9" s="50"/>
    </row>
    <row r="10" spans="1:16" ht="28.5" customHeight="1" x14ac:dyDescent="0.25">
      <c r="A10" s="87"/>
      <c r="B10" s="54" t="s">
        <v>61</v>
      </c>
      <c r="C10" s="17">
        <v>44</v>
      </c>
      <c r="D10" s="39">
        <f t="shared" si="1"/>
        <v>28</v>
      </c>
      <c r="E10" s="50">
        <v>13</v>
      </c>
      <c r="F10" s="50"/>
      <c r="G10" s="50"/>
      <c r="H10" s="50">
        <v>15</v>
      </c>
      <c r="I10" s="50"/>
      <c r="J10" s="50"/>
      <c r="K10" s="50"/>
      <c r="L10" s="50"/>
      <c r="M10" s="50"/>
      <c r="N10" s="50"/>
      <c r="O10" s="50"/>
      <c r="P10" s="50"/>
    </row>
    <row r="11" spans="1:16" ht="28.5" customHeight="1" x14ac:dyDescent="0.25">
      <c r="A11" s="87"/>
      <c r="B11" s="54" t="s">
        <v>62</v>
      </c>
      <c r="C11" s="17">
        <v>0</v>
      </c>
      <c r="D11" s="39">
        <f t="shared" si="1"/>
        <v>0</v>
      </c>
      <c r="E11" s="50"/>
      <c r="F11" s="50"/>
      <c r="G11" s="50"/>
      <c r="H11" s="50"/>
      <c r="I11" s="50"/>
      <c r="J11" s="50"/>
      <c r="K11" s="50"/>
      <c r="L11" s="50"/>
      <c r="M11" s="50"/>
      <c r="N11" s="50"/>
      <c r="O11" s="50"/>
      <c r="P11" s="50"/>
    </row>
    <row r="12" spans="1:16" ht="28.5" customHeight="1" x14ac:dyDescent="0.25">
      <c r="A12" s="87"/>
      <c r="B12" s="54" t="s">
        <v>63</v>
      </c>
      <c r="C12" s="17">
        <v>2</v>
      </c>
      <c r="D12" s="39">
        <f t="shared" si="1"/>
        <v>0</v>
      </c>
      <c r="E12" s="50"/>
      <c r="F12" s="50"/>
      <c r="G12" s="50"/>
      <c r="H12" s="50"/>
      <c r="I12" s="50"/>
      <c r="J12" s="50"/>
      <c r="K12" s="50"/>
      <c r="L12" s="50"/>
      <c r="M12" s="50"/>
      <c r="N12" s="50"/>
      <c r="O12" s="50"/>
      <c r="P12" s="50"/>
    </row>
    <row r="13" spans="1:16" ht="28.5" customHeight="1" x14ac:dyDescent="0.25">
      <c r="A13" s="87"/>
      <c r="B13" s="54" t="s">
        <v>64</v>
      </c>
      <c r="C13" s="17">
        <v>0</v>
      </c>
      <c r="D13" s="39">
        <f t="shared" si="1"/>
        <v>0</v>
      </c>
      <c r="E13" s="50"/>
      <c r="F13" s="50"/>
      <c r="G13" s="50"/>
      <c r="H13" s="50"/>
      <c r="I13" s="50"/>
      <c r="J13" s="50"/>
      <c r="K13" s="50"/>
      <c r="L13" s="50"/>
      <c r="M13" s="50"/>
      <c r="N13" s="50"/>
      <c r="O13" s="50"/>
      <c r="P13" s="50"/>
    </row>
    <row r="14" spans="1:16" ht="28.5" customHeight="1" x14ac:dyDescent="0.25">
      <c r="A14" s="87"/>
      <c r="B14" s="54" t="s">
        <v>65</v>
      </c>
      <c r="C14" s="17">
        <v>0</v>
      </c>
      <c r="D14" s="39">
        <f t="shared" si="1"/>
        <v>0</v>
      </c>
      <c r="E14" s="50"/>
      <c r="F14" s="50"/>
      <c r="G14" s="50"/>
      <c r="H14" s="50"/>
      <c r="I14" s="50"/>
      <c r="J14" s="50"/>
      <c r="K14" s="50"/>
      <c r="L14" s="50"/>
      <c r="M14" s="50"/>
      <c r="N14" s="50"/>
      <c r="O14" s="50"/>
      <c r="P14" s="50"/>
    </row>
    <row r="15" spans="1:16" ht="28.5" customHeight="1" x14ac:dyDescent="0.25">
      <c r="A15" s="87"/>
      <c r="B15" s="54" t="s">
        <v>66</v>
      </c>
      <c r="C15" s="17">
        <v>0</v>
      </c>
      <c r="D15" s="39">
        <f t="shared" si="1"/>
        <v>0</v>
      </c>
      <c r="E15" s="50"/>
      <c r="F15" s="50"/>
      <c r="G15" s="50"/>
      <c r="H15" s="50"/>
      <c r="I15" s="50"/>
      <c r="J15" s="50"/>
      <c r="K15" s="50"/>
      <c r="L15" s="50"/>
      <c r="M15" s="50"/>
      <c r="N15" s="50"/>
      <c r="O15" s="50"/>
      <c r="P15" s="50"/>
    </row>
    <row r="16" spans="1:16" ht="28.5" customHeight="1" x14ac:dyDescent="0.25">
      <c r="A16" s="87"/>
      <c r="B16" s="54" t="s">
        <v>67</v>
      </c>
      <c r="C16" s="17">
        <v>0</v>
      </c>
      <c r="D16" s="39">
        <f t="shared" si="1"/>
        <v>0</v>
      </c>
      <c r="E16" s="50"/>
      <c r="F16" s="50"/>
      <c r="G16" s="50"/>
      <c r="H16" s="50"/>
      <c r="I16" s="50"/>
      <c r="J16" s="50"/>
      <c r="K16" s="50"/>
      <c r="L16" s="50"/>
      <c r="M16" s="50"/>
      <c r="N16" s="50"/>
      <c r="O16" s="50"/>
      <c r="P16" s="50"/>
    </row>
    <row r="17" spans="1:16" ht="28.5" customHeight="1" x14ac:dyDescent="0.25">
      <c r="A17" s="87"/>
      <c r="B17" s="54" t="s">
        <v>68</v>
      </c>
      <c r="C17" s="17">
        <v>0</v>
      </c>
      <c r="D17" s="39">
        <f t="shared" si="1"/>
        <v>0</v>
      </c>
      <c r="E17" s="50"/>
      <c r="F17" s="50"/>
      <c r="G17" s="50"/>
      <c r="H17" s="50"/>
      <c r="I17" s="50"/>
      <c r="J17" s="50"/>
      <c r="K17" s="50"/>
      <c r="L17" s="50"/>
      <c r="M17" s="50"/>
      <c r="N17" s="50"/>
      <c r="O17" s="50"/>
      <c r="P17" s="50"/>
    </row>
    <row r="18" spans="1:16" ht="28.5" customHeight="1" x14ac:dyDescent="0.25">
      <c r="A18" s="87"/>
      <c r="B18" s="54" t="s">
        <v>69</v>
      </c>
      <c r="C18" s="17">
        <v>0</v>
      </c>
      <c r="D18" s="39">
        <f t="shared" si="1"/>
        <v>0</v>
      </c>
      <c r="E18" s="50"/>
      <c r="F18" s="50"/>
      <c r="G18" s="50"/>
      <c r="H18" s="50"/>
      <c r="I18" s="50"/>
      <c r="J18" s="50"/>
      <c r="K18" s="50"/>
      <c r="L18" s="50"/>
      <c r="M18" s="50"/>
      <c r="N18" s="50"/>
      <c r="O18" s="50"/>
      <c r="P18" s="50"/>
    </row>
    <row r="19" spans="1:16" ht="28.5" customHeight="1" x14ac:dyDescent="0.25">
      <c r="A19" s="87"/>
      <c r="B19" s="54" t="s">
        <v>70</v>
      </c>
      <c r="C19" s="17">
        <v>1</v>
      </c>
      <c r="D19" s="39">
        <f t="shared" si="1"/>
        <v>1</v>
      </c>
      <c r="E19" s="50"/>
      <c r="F19" s="50">
        <v>1</v>
      </c>
      <c r="G19" s="50"/>
      <c r="H19" s="50"/>
      <c r="I19" s="50"/>
      <c r="J19" s="50"/>
      <c r="K19" s="50"/>
      <c r="L19" s="50"/>
      <c r="M19" s="50"/>
      <c r="N19" s="50"/>
      <c r="O19" s="50"/>
      <c r="P19" s="50"/>
    </row>
    <row r="20" spans="1:16" ht="28.5" customHeight="1" x14ac:dyDescent="0.25">
      <c r="A20" s="87"/>
      <c r="B20" s="54" t="s">
        <v>71</v>
      </c>
      <c r="C20" s="17">
        <v>0</v>
      </c>
      <c r="D20" s="39">
        <f t="shared" si="1"/>
        <v>0</v>
      </c>
      <c r="E20" s="50"/>
      <c r="F20" s="50"/>
      <c r="G20" s="50"/>
      <c r="H20" s="50"/>
      <c r="I20" s="50"/>
      <c r="J20" s="50"/>
      <c r="K20" s="50"/>
      <c r="L20" s="50"/>
      <c r="M20" s="50"/>
      <c r="N20" s="50"/>
      <c r="O20" s="50"/>
      <c r="P20" s="50"/>
    </row>
    <row r="21" spans="1:16" ht="28.5" customHeight="1" x14ac:dyDescent="0.25">
      <c r="A21" s="87"/>
      <c r="B21" s="54" t="s">
        <v>72</v>
      </c>
      <c r="C21" s="17">
        <v>58</v>
      </c>
      <c r="D21" s="39">
        <f t="shared" si="1"/>
        <v>11</v>
      </c>
      <c r="E21" s="50"/>
      <c r="F21" s="50">
        <v>11</v>
      </c>
      <c r="G21" s="50"/>
      <c r="H21" s="50"/>
      <c r="I21" s="50"/>
      <c r="J21" s="50"/>
      <c r="K21" s="50"/>
      <c r="L21" s="50"/>
      <c r="M21" s="50"/>
      <c r="N21" s="50"/>
      <c r="O21" s="50"/>
      <c r="P21" s="50"/>
    </row>
    <row r="22" spans="1:16" ht="28.5" customHeight="1" x14ac:dyDescent="0.25">
      <c r="A22" s="87"/>
      <c r="B22" s="54" t="s">
        <v>73</v>
      </c>
      <c r="C22" s="17">
        <v>2</v>
      </c>
      <c r="D22" s="39">
        <f t="shared" si="1"/>
        <v>0</v>
      </c>
      <c r="E22" s="50"/>
      <c r="F22" s="50"/>
      <c r="G22" s="50"/>
      <c r="H22" s="50"/>
      <c r="I22" s="50"/>
      <c r="J22" s="50"/>
      <c r="K22" s="50"/>
      <c r="L22" s="50"/>
      <c r="M22" s="50"/>
      <c r="N22" s="50"/>
      <c r="O22" s="50"/>
      <c r="P22" s="50"/>
    </row>
    <row r="23" spans="1:16" ht="24" customHeight="1" x14ac:dyDescent="0.25">
      <c r="A23" s="87"/>
      <c r="B23" s="69" t="s">
        <v>75</v>
      </c>
      <c r="C23" s="17">
        <v>2</v>
      </c>
      <c r="D23" s="39">
        <f t="shared" si="1"/>
        <v>1</v>
      </c>
      <c r="E23" s="50"/>
      <c r="F23" s="50"/>
      <c r="G23" s="50">
        <v>1</v>
      </c>
      <c r="H23" s="50"/>
      <c r="I23" s="50"/>
      <c r="J23" s="50"/>
      <c r="K23" s="50"/>
      <c r="L23" s="50"/>
      <c r="M23" s="50"/>
      <c r="N23" s="50"/>
      <c r="O23" s="50"/>
      <c r="P23" s="50"/>
    </row>
    <row r="24" spans="1:16" ht="24" customHeight="1" x14ac:dyDescent="0.25">
      <c r="A24" s="87"/>
      <c r="B24" s="69" t="s">
        <v>76</v>
      </c>
      <c r="C24" s="17">
        <v>2</v>
      </c>
      <c r="D24" s="39">
        <f t="shared" si="1"/>
        <v>0</v>
      </c>
      <c r="E24" s="50"/>
      <c r="F24" s="50"/>
      <c r="G24" s="50"/>
      <c r="H24" s="50"/>
      <c r="I24" s="50"/>
      <c r="J24" s="50"/>
      <c r="K24" s="50"/>
      <c r="L24" s="50"/>
      <c r="M24" s="50"/>
      <c r="N24" s="50"/>
      <c r="O24" s="50"/>
      <c r="P24" s="50"/>
    </row>
    <row r="25" spans="1:16" ht="24" customHeight="1" x14ac:dyDescent="0.25">
      <c r="A25" s="87"/>
      <c r="B25" s="69" t="s">
        <v>77</v>
      </c>
      <c r="C25" s="17">
        <v>2</v>
      </c>
      <c r="D25" s="39">
        <f t="shared" si="1"/>
        <v>2</v>
      </c>
      <c r="E25" s="50"/>
      <c r="F25" s="50"/>
      <c r="G25" s="50"/>
      <c r="H25" s="50"/>
      <c r="I25" s="50">
        <v>2</v>
      </c>
      <c r="J25" s="50"/>
      <c r="K25" s="50"/>
      <c r="L25" s="50"/>
      <c r="M25" s="50"/>
      <c r="N25" s="50"/>
      <c r="O25" s="50"/>
      <c r="P25" s="50"/>
    </row>
    <row r="26" spans="1:16" ht="24" customHeight="1" x14ac:dyDescent="0.25">
      <c r="A26" s="87"/>
      <c r="B26" s="69" t="s">
        <v>78</v>
      </c>
      <c r="C26" s="17">
        <v>2</v>
      </c>
      <c r="D26" s="39">
        <f t="shared" si="1"/>
        <v>0</v>
      </c>
      <c r="E26" s="50"/>
      <c r="F26" s="50"/>
      <c r="G26" s="50"/>
      <c r="H26" s="50"/>
      <c r="I26" s="50"/>
      <c r="J26" s="50"/>
      <c r="K26" s="50"/>
      <c r="L26" s="50"/>
      <c r="M26" s="50"/>
      <c r="N26" s="50"/>
      <c r="O26" s="50"/>
      <c r="P26" s="50"/>
    </row>
    <row r="27" spans="1:16" ht="24" customHeight="1" x14ac:dyDescent="0.25">
      <c r="A27" s="87"/>
      <c r="B27" s="69" t="s">
        <v>79</v>
      </c>
      <c r="C27" s="17">
        <v>2</v>
      </c>
      <c r="D27" s="39">
        <f t="shared" si="1"/>
        <v>0</v>
      </c>
      <c r="E27" s="50"/>
      <c r="F27" s="50"/>
      <c r="G27" s="50"/>
      <c r="H27" s="50"/>
      <c r="I27" s="50"/>
      <c r="J27" s="50"/>
      <c r="K27" s="50"/>
      <c r="L27" s="50"/>
      <c r="M27" s="50"/>
      <c r="N27" s="50"/>
      <c r="O27" s="50"/>
      <c r="P27" s="50"/>
    </row>
    <row r="28" spans="1:16" ht="24" customHeight="1" x14ac:dyDescent="0.25">
      <c r="A28" s="87"/>
      <c r="B28" s="69" t="s">
        <v>80</v>
      </c>
      <c r="C28" s="17">
        <v>1</v>
      </c>
      <c r="D28" s="39">
        <f t="shared" si="1"/>
        <v>0</v>
      </c>
      <c r="E28" s="50"/>
      <c r="F28" s="50"/>
      <c r="G28" s="50"/>
      <c r="H28" s="50"/>
      <c r="I28" s="50"/>
      <c r="J28" s="50"/>
      <c r="K28" s="50"/>
      <c r="L28" s="50"/>
      <c r="M28" s="50"/>
      <c r="N28" s="50"/>
      <c r="O28" s="50"/>
      <c r="P28" s="50"/>
    </row>
    <row r="29" spans="1:16" ht="24" customHeight="1" x14ac:dyDescent="0.25">
      <c r="A29" s="87"/>
      <c r="B29" s="69" t="s">
        <v>81</v>
      </c>
      <c r="C29" s="17">
        <v>1</v>
      </c>
      <c r="D29" s="39">
        <f t="shared" si="1"/>
        <v>0</v>
      </c>
      <c r="E29" s="50"/>
      <c r="F29" s="50"/>
      <c r="G29" s="50"/>
      <c r="H29" s="50"/>
      <c r="I29" s="50"/>
      <c r="J29" s="50"/>
      <c r="K29" s="50"/>
      <c r="L29" s="50"/>
      <c r="M29" s="50"/>
      <c r="N29" s="50"/>
      <c r="O29" s="50"/>
      <c r="P29" s="50"/>
    </row>
    <row r="30" spans="1:16" ht="24" customHeight="1" x14ac:dyDescent="0.25">
      <c r="A30" s="87"/>
      <c r="B30" s="69" t="s">
        <v>82</v>
      </c>
      <c r="C30" s="17">
        <v>1</v>
      </c>
      <c r="D30" s="39">
        <f t="shared" si="1"/>
        <v>0</v>
      </c>
      <c r="E30" s="50"/>
      <c r="F30" s="50"/>
      <c r="G30" s="50"/>
      <c r="H30" s="50"/>
      <c r="I30" s="50"/>
      <c r="J30" s="50"/>
      <c r="K30" s="50"/>
      <c r="L30" s="50"/>
      <c r="M30" s="50"/>
      <c r="N30" s="50"/>
      <c r="O30" s="50"/>
      <c r="P30" s="50"/>
    </row>
    <row r="31" spans="1:16" ht="24" customHeight="1" x14ac:dyDescent="0.25">
      <c r="A31" s="87"/>
      <c r="B31" s="69" t="s">
        <v>83</v>
      </c>
      <c r="C31" s="17">
        <v>1</v>
      </c>
      <c r="D31" s="39">
        <f t="shared" si="1"/>
        <v>0</v>
      </c>
      <c r="E31" s="50"/>
      <c r="F31" s="50"/>
      <c r="G31" s="50"/>
      <c r="H31" s="50"/>
      <c r="I31" s="50"/>
      <c r="J31" s="50"/>
      <c r="K31" s="50"/>
      <c r="L31" s="50"/>
      <c r="M31" s="50"/>
      <c r="N31" s="50"/>
      <c r="O31" s="50"/>
      <c r="P31" s="50"/>
    </row>
    <row r="32" spans="1:16" ht="24" customHeight="1" x14ac:dyDescent="0.25">
      <c r="A32" s="87"/>
      <c r="B32" s="69" t="s">
        <v>84</v>
      </c>
      <c r="C32" s="17">
        <v>1</v>
      </c>
      <c r="D32" s="39">
        <f t="shared" si="1"/>
        <v>0</v>
      </c>
      <c r="E32" s="50"/>
      <c r="F32" s="50"/>
      <c r="G32" s="50"/>
      <c r="H32" s="50"/>
      <c r="I32" s="50"/>
      <c r="J32" s="50"/>
      <c r="K32" s="50"/>
      <c r="L32" s="50"/>
      <c r="M32" s="50"/>
      <c r="N32" s="50"/>
      <c r="O32" s="50"/>
      <c r="P32" s="50"/>
    </row>
    <row r="33" spans="1:16" ht="24" customHeight="1" x14ac:dyDescent="0.25">
      <c r="A33" s="87"/>
      <c r="B33" s="69" t="s">
        <v>85</v>
      </c>
      <c r="C33" s="17">
        <v>1</v>
      </c>
      <c r="D33" s="39">
        <f t="shared" si="1"/>
        <v>0</v>
      </c>
      <c r="E33" s="50"/>
      <c r="F33" s="50"/>
      <c r="G33" s="50"/>
      <c r="H33" s="50"/>
      <c r="I33" s="50"/>
      <c r="J33" s="50"/>
      <c r="K33" s="50"/>
      <c r="L33" s="50"/>
      <c r="M33" s="50"/>
      <c r="N33" s="50"/>
      <c r="O33" s="50"/>
      <c r="P33" s="50"/>
    </row>
    <row r="34" spans="1:16" ht="24" customHeight="1" thickBot="1" x14ac:dyDescent="0.3">
      <c r="A34" s="88"/>
      <c r="B34" s="69" t="s">
        <v>86</v>
      </c>
      <c r="C34" s="17">
        <v>1</v>
      </c>
      <c r="D34" s="63">
        <f t="shared" si="1"/>
        <v>0</v>
      </c>
      <c r="E34" s="50"/>
      <c r="F34" s="50"/>
      <c r="G34" s="50"/>
      <c r="H34" s="50"/>
      <c r="I34" s="50"/>
      <c r="J34" s="50"/>
      <c r="K34" s="50"/>
      <c r="L34" s="50"/>
      <c r="M34" s="50"/>
      <c r="N34" s="50"/>
      <c r="O34" s="50"/>
      <c r="P34" s="50"/>
    </row>
    <row r="35" spans="1:16" x14ac:dyDescent="0.25">
      <c r="C35" s="51">
        <f>SUM(C3:C34)</f>
        <v>187</v>
      </c>
      <c r="D35" s="51">
        <f>SUM(D3:D34)</f>
        <v>71</v>
      </c>
      <c r="E35" s="50"/>
      <c r="F35" s="50"/>
      <c r="G35" s="50"/>
      <c r="H35" s="50"/>
      <c r="I35" s="50"/>
      <c r="J35" s="50"/>
      <c r="K35" s="50"/>
      <c r="L35" s="50"/>
      <c r="M35" s="50"/>
      <c r="N35" s="50"/>
      <c r="O35" s="50"/>
      <c r="P35" s="50"/>
    </row>
    <row r="36" spans="1:16" x14ac:dyDescent="0.25">
      <c r="C36" s="19"/>
      <c r="D36" s="20">
        <f>D35/C35</f>
        <v>0.37967914438502676</v>
      </c>
    </row>
  </sheetData>
  <sheetProtection algorithmName="SHA-512" hashValue="1lnB/9TbgpwbepgNoqaV4AveoM8QkAdp2Ct+Bl9UUvFtHPzHxj218vx2vr27E7mEOL+BPMnkaCz4atrFQgss3A==" saltValue="LpjTrm8Q51Dy3yDDWXVUQA==" spinCount="100000" sheet="1" objects="1" scenarios="1" autoFilter="0"/>
  <mergeCells count="2">
    <mergeCell ref="A7:A34"/>
    <mergeCell ref="A1:A2"/>
  </mergeCells>
  <conditionalFormatting sqref="C3:D3">
    <cfRule type="dataBar" priority="4">
      <dataBar>
        <cfvo type="min"/>
        <cfvo type="max"/>
        <color rgb="FF008AEF"/>
      </dataBar>
      <extLst>
        <ext xmlns:x14="http://schemas.microsoft.com/office/spreadsheetml/2009/9/main" uri="{B025F937-C7B1-47D3-B67F-A62EFF666E3E}">
          <x14:id>{A2D44454-01A5-4B13-965D-D37C4BC7143B}</x14:id>
        </ext>
      </extLst>
    </cfRule>
  </conditionalFormatting>
  <conditionalFormatting sqref="C4:D4">
    <cfRule type="dataBar" priority="3">
      <dataBar>
        <cfvo type="min"/>
        <cfvo type="max"/>
        <color rgb="FF008AEF"/>
      </dataBar>
      <extLst>
        <ext xmlns:x14="http://schemas.microsoft.com/office/spreadsheetml/2009/9/main" uri="{B025F937-C7B1-47D3-B67F-A62EFF666E3E}">
          <x14:id>{2C1FBD2C-7FD9-4B7C-8D72-F5377C315787}</x14:id>
        </ext>
      </extLst>
    </cfRule>
  </conditionalFormatting>
  <conditionalFormatting sqref="C5:D5">
    <cfRule type="dataBar" priority="2">
      <dataBar>
        <cfvo type="min"/>
        <cfvo type="max"/>
        <color rgb="FF008AEF"/>
      </dataBar>
      <extLst>
        <ext xmlns:x14="http://schemas.microsoft.com/office/spreadsheetml/2009/9/main" uri="{B025F937-C7B1-47D3-B67F-A62EFF666E3E}">
          <x14:id>{10B70E39-06FD-441D-9377-AE0B0BCB49FA}</x14:id>
        </ext>
      </extLst>
    </cfRule>
  </conditionalFormatting>
  <conditionalFormatting sqref="C6:D6">
    <cfRule type="dataBar" priority="1">
      <dataBar>
        <cfvo type="min"/>
        <cfvo type="max"/>
        <color rgb="FF008AEF"/>
      </dataBar>
      <extLst>
        <ext xmlns:x14="http://schemas.microsoft.com/office/spreadsheetml/2009/9/main" uri="{B025F937-C7B1-47D3-B67F-A62EFF666E3E}">
          <x14:id>{E00DAC62-71A6-422F-9DBE-C21C22CDDC00}</x14:id>
        </ext>
      </extLst>
    </cfRule>
  </conditionalFormatting>
  <conditionalFormatting sqref="C8:D8">
    <cfRule type="dataBar" priority="31">
      <dataBar>
        <cfvo type="min"/>
        <cfvo type="max"/>
        <color rgb="FF008AEF"/>
      </dataBar>
      <extLst>
        <ext xmlns:x14="http://schemas.microsoft.com/office/spreadsheetml/2009/9/main" uri="{B025F937-C7B1-47D3-B67F-A62EFF666E3E}">
          <x14:id>{658F8743-4EED-4261-AE02-74BF7089DF12}</x14:id>
        </ext>
      </extLst>
    </cfRule>
  </conditionalFormatting>
  <conditionalFormatting sqref="C9:D9">
    <cfRule type="dataBar" priority="30">
      <dataBar>
        <cfvo type="min"/>
        <cfvo type="max"/>
        <color rgb="FF008AEF"/>
      </dataBar>
      <extLst>
        <ext xmlns:x14="http://schemas.microsoft.com/office/spreadsheetml/2009/9/main" uri="{B025F937-C7B1-47D3-B67F-A62EFF666E3E}">
          <x14:id>{AEACB25C-524A-41B9-B97E-C67C1005E616}</x14:id>
        </ext>
      </extLst>
    </cfRule>
  </conditionalFormatting>
  <conditionalFormatting sqref="C10:D10">
    <cfRule type="dataBar" priority="29">
      <dataBar>
        <cfvo type="min"/>
        <cfvo type="max"/>
        <color rgb="FF008AEF"/>
      </dataBar>
      <extLst>
        <ext xmlns:x14="http://schemas.microsoft.com/office/spreadsheetml/2009/9/main" uri="{B025F937-C7B1-47D3-B67F-A62EFF666E3E}">
          <x14:id>{2931B4D1-6B87-4ED3-8AD5-2B5F50A2FC99}</x14:id>
        </ext>
      </extLst>
    </cfRule>
  </conditionalFormatting>
  <conditionalFormatting sqref="C11:D11">
    <cfRule type="dataBar" priority="28">
      <dataBar>
        <cfvo type="min"/>
        <cfvo type="max"/>
        <color rgb="FF008AEF"/>
      </dataBar>
      <extLst>
        <ext xmlns:x14="http://schemas.microsoft.com/office/spreadsheetml/2009/9/main" uri="{B025F937-C7B1-47D3-B67F-A62EFF666E3E}">
          <x14:id>{ED9A8E2D-0137-4867-9BBE-59E1A236FC27}</x14:id>
        </ext>
      </extLst>
    </cfRule>
  </conditionalFormatting>
  <conditionalFormatting sqref="C12:D12">
    <cfRule type="dataBar" priority="27">
      <dataBar>
        <cfvo type="min"/>
        <cfvo type="max"/>
        <color rgb="FF008AEF"/>
      </dataBar>
      <extLst>
        <ext xmlns:x14="http://schemas.microsoft.com/office/spreadsheetml/2009/9/main" uri="{B025F937-C7B1-47D3-B67F-A62EFF666E3E}">
          <x14:id>{FE1DDECA-0C2F-4B49-91D3-E15602A7DE9C}</x14:id>
        </ext>
      </extLst>
    </cfRule>
  </conditionalFormatting>
  <conditionalFormatting sqref="C13:D13">
    <cfRule type="dataBar" priority="26">
      <dataBar>
        <cfvo type="min"/>
        <cfvo type="max"/>
        <color rgb="FF008AEF"/>
      </dataBar>
      <extLst>
        <ext xmlns:x14="http://schemas.microsoft.com/office/spreadsheetml/2009/9/main" uri="{B025F937-C7B1-47D3-B67F-A62EFF666E3E}">
          <x14:id>{1D3A5965-57DD-4526-8E13-17F40A7C5579}</x14:id>
        </ext>
      </extLst>
    </cfRule>
  </conditionalFormatting>
  <conditionalFormatting sqref="C14:D14">
    <cfRule type="dataBar" priority="25">
      <dataBar>
        <cfvo type="min"/>
        <cfvo type="max"/>
        <color rgb="FF008AEF"/>
      </dataBar>
      <extLst>
        <ext xmlns:x14="http://schemas.microsoft.com/office/spreadsheetml/2009/9/main" uri="{B025F937-C7B1-47D3-B67F-A62EFF666E3E}">
          <x14:id>{810446CD-5FCC-460C-AD34-139E654FEB8D}</x14:id>
        </ext>
      </extLst>
    </cfRule>
  </conditionalFormatting>
  <conditionalFormatting sqref="C15:D15">
    <cfRule type="dataBar" priority="24">
      <dataBar>
        <cfvo type="min"/>
        <cfvo type="max"/>
        <color rgb="FF008AEF"/>
      </dataBar>
      <extLst>
        <ext xmlns:x14="http://schemas.microsoft.com/office/spreadsheetml/2009/9/main" uri="{B025F937-C7B1-47D3-B67F-A62EFF666E3E}">
          <x14:id>{64045075-5336-4277-8485-4AA112FAFBE2}</x14:id>
        </ext>
      </extLst>
    </cfRule>
  </conditionalFormatting>
  <conditionalFormatting sqref="C16:D16">
    <cfRule type="dataBar" priority="23">
      <dataBar>
        <cfvo type="min"/>
        <cfvo type="max"/>
        <color rgb="FF008AEF"/>
      </dataBar>
      <extLst>
        <ext xmlns:x14="http://schemas.microsoft.com/office/spreadsheetml/2009/9/main" uri="{B025F937-C7B1-47D3-B67F-A62EFF666E3E}">
          <x14:id>{7F72F195-19AD-4C4B-885E-51403957A000}</x14:id>
        </ext>
      </extLst>
    </cfRule>
  </conditionalFormatting>
  <conditionalFormatting sqref="C17:D17">
    <cfRule type="dataBar" priority="22">
      <dataBar>
        <cfvo type="min"/>
        <cfvo type="max"/>
        <color rgb="FF008AEF"/>
      </dataBar>
      <extLst>
        <ext xmlns:x14="http://schemas.microsoft.com/office/spreadsheetml/2009/9/main" uri="{B025F937-C7B1-47D3-B67F-A62EFF666E3E}">
          <x14:id>{64542974-CC5A-4E62-97E9-6C204C2CB2E9}</x14:id>
        </ext>
      </extLst>
    </cfRule>
  </conditionalFormatting>
  <conditionalFormatting sqref="C18:D18">
    <cfRule type="dataBar" priority="21">
      <dataBar>
        <cfvo type="min"/>
        <cfvo type="max"/>
        <color rgb="FF008AEF"/>
      </dataBar>
      <extLst>
        <ext xmlns:x14="http://schemas.microsoft.com/office/spreadsheetml/2009/9/main" uri="{B025F937-C7B1-47D3-B67F-A62EFF666E3E}">
          <x14:id>{896EBD4C-8C3D-48EC-887E-3FC777C74358}</x14:id>
        </ext>
      </extLst>
    </cfRule>
  </conditionalFormatting>
  <conditionalFormatting sqref="C19:D19">
    <cfRule type="dataBar" priority="20">
      <dataBar>
        <cfvo type="min"/>
        <cfvo type="max"/>
        <color rgb="FF008AEF"/>
      </dataBar>
      <extLst>
        <ext xmlns:x14="http://schemas.microsoft.com/office/spreadsheetml/2009/9/main" uri="{B025F937-C7B1-47D3-B67F-A62EFF666E3E}">
          <x14:id>{F061AFA7-CE0F-430B-9C26-96E15866B6E7}</x14:id>
        </ext>
      </extLst>
    </cfRule>
  </conditionalFormatting>
  <conditionalFormatting sqref="C20:D20">
    <cfRule type="dataBar" priority="19">
      <dataBar>
        <cfvo type="min"/>
        <cfvo type="max"/>
        <color rgb="FF008AEF"/>
      </dataBar>
      <extLst>
        <ext xmlns:x14="http://schemas.microsoft.com/office/spreadsheetml/2009/9/main" uri="{B025F937-C7B1-47D3-B67F-A62EFF666E3E}">
          <x14:id>{68C18FBB-395B-4D43-B171-8A0001A1CC9F}</x14:id>
        </ext>
      </extLst>
    </cfRule>
  </conditionalFormatting>
  <conditionalFormatting sqref="C21:D21">
    <cfRule type="dataBar" priority="18">
      <dataBar>
        <cfvo type="min"/>
        <cfvo type="max"/>
        <color rgb="FF008AEF"/>
      </dataBar>
      <extLst>
        <ext xmlns:x14="http://schemas.microsoft.com/office/spreadsheetml/2009/9/main" uri="{B025F937-C7B1-47D3-B67F-A62EFF666E3E}">
          <x14:id>{2A54A981-4651-48C3-8057-3F88AA6F5B1C}</x14:id>
        </ext>
      </extLst>
    </cfRule>
  </conditionalFormatting>
  <conditionalFormatting sqref="C22:D22">
    <cfRule type="dataBar" priority="17">
      <dataBar>
        <cfvo type="min"/>
        <cfvo type="max"/>
        <color rgb="FF008AEF"/>
      </dataBar>
      <extLst>
        <ext xmlns:x14="http://schemas.microsoft.com/office/spreadsheetml/2009/9/main" uri="{B025F937-C7B1-47D3-B67F-A62EFF666E3E}">
          <x14:id>{DB58F907-EE95-402A-9A96-C3D01A87B391}</x14:id>
        </ext>
      </extLst>
    </cfRule>
  </conditionalFormatting>
  <conditionalFormatting sqref="C23:D23">
    <cfRule type="dataBar" priority="16">
      <dataBar>
        <cfvo type="min"/>
        <cfvo type="max"/>
        <color rgb="FF008AEF"/>
      </dataBar>
      <extLst>
        <ext xmlns:x14="http://schemas.microsoft.com/office/spreadsheetml/2009/9/main" uri="{B025F937-C7B1-47D3-B67F-A62EFF666E3E}">
          <x14:id>{1D974E73-6E17-4B6F-AEE0-8A7C05D10CE0}</x14:id>
        </ext>
      </extLst>
    </cfRule>
  </conditionalFormatting>
  <conditionalFormatting sqref="C24:D24">
    <cfRule type="dataBar" priority="15">
      <dataBar>
        <cfvo type="min"/>
        <cfvo type="max"/>
        <color rgb="FF008AEF"/>
      </dataBar>
      <extLst>
        <ext xmlns:x14="http://schemas.microsoft.com/office/spreadsheetml/2009/9/main" uri="{B025F937-C7B1-47D3-B67F-A62EFF666E3E}">
          <x14:id>{CAA9D3B8-1B84-496D-B1BA-39FA377D2C26}</x14:id>
        </ext>
      </extLst>
    </cfRule>
  </conditionalFormatting>
  <conditionalFormatting sqref="C25:D25">
    <cfRule type="dataBar" priority="14">
      <dataBar>
        <cfvo type="min"/>
        <cfvo type="max"/>
        <color rgb="FF008AEF"/>
      </dataBar>
      <extLst>
        <ext xmlns:x14="http://schemas.microsoft.com/office/spreadsheetml/2009/9/main" uri="{B025F937-C7B1-47D3-B67F-A62EFF666E3E}">
          <x14:id>{3B92C5BE-18BE-42FF-82DD-1065CAB0EAC8}</x14:id>
        </ext>
      </extLst>
    </cfRule>
  </conditionalFormatting>
  <conditionalFormatting sqref="C26:D26">
    <cfRule type="dataBar" priority="13">
      <dataBar>
        <cfvo type="min"/>
        <cfvo type="max"/>
        <color rgb="FF008AEF"/>
      </dataBar>
      <extLst>
        <ext xmlns:x14="http://schemas.microsoft.com/office/spreadsheetml/2009/9/main" uri="{B025F937-C7B1-47D3-B67F-A62EFF666E3E}">
          <x14:id>{3EEF8F60-E11B-408C-80D3-12A0E9A829BD}</x14:id>
        </ext>
      </extLst>
    </cfRule>
  </conditionalFormatting>
  <conditionalFormatting sqref="C27:D27">
    <cfRule type="dataBar" priority="12">
      <dataBar>
        <cfvo type="min"/>
        <cfvo type="max"/>
        <color rgb="FF008AEF"/>
      </dataBar>
      <extLst>
        <ext xmlns:x14="http://schemas.microsoft.com/office/spreadsheetml/2009/9/main" uri="{B025F937-C7B1-47D3-B67F-A62EFF666E3E}">
          <x14:id>{C4CBACE4-7A9A-452B-80B6-ED3BC13CC9EF}</x14:id>
        </ext>
      </extLst>
    </cfRule>
  </conditionalFormatting>
  <conditionalFormatting sqref="C28:D28">
    <cfRule type="dataBar" priority="11">
      <dataBar>
        <cfvo type="min"/>
        <cfvo type="max"/>
        <color rgb="FF008AEF"/>
      </dataBar>
      <extLst>
        <ext xmlns:x14="http://schemas.microsoft.com/office/spreadsheetml/2009/9/main" uri="{B025F937-C7B1-47D3-B67F-A62EFF666E3E}">
          <x14:id>{10DCFCBE-29C6-4615-95CD-5FC89DA34FC9}</x14:id>
        </ext>
      </extLst>
    </cfRule>
  </conditionalFormatting>
  <conditionalFormatting sqref="C29:D29">
    <cfRule type="dataBar" priority="10">
      <dataBar>
        <cfvo type="min"/>
        <cfvo type="max"/>
        <color rgb="FF008AEF"/>
      </dataBar>
      <extLst>
        <ext xmlns:x14="http://schemas.microsoft.com/office/spreadsheetml/2009/9/main" uri="{B025F937-C7B1-47D3-B67F-A62EFF666E3E}">
          <x14:id>{74A6EE73-B8EF-4BF5-B9F3-707E4825BB73}</x14:id>
        </ext>
      </extLst>
    </cfRule>
  </conditionalFormatting>
  <conditionalFormatting sqref="C30:D30">
    <cfRule type="dataBar" priority="9">
      <dataBar>
        <cfvo type="min"/>
        <cfvo type="max"/>
        <color rgb="FF008AEF"/>
      </dataBar>
      <extLst>
        <ext xmlns:x14="http://schemas.microsoft.com/office/spreadsheetml/2009/9/main" uri="{B025F937-C7B1-47D3-B67F-A62EFF666E3E}">
          <x14:id>{7836B478-185B-4524-87A6-DA8CD407F0E5}</x14:id>
        </ext>
      </extLst>
    </cfRule>
  </conditionalFormatting>
  <conditionalFormatting sqref="C31:D31">
    <cfRule type="dataBar" priority="8">
      <dataBar>
        <cfvo type="min"/>
        <cfvo type="max"/>
        <color rgb="FF008AEF"/>
      </dataBar>
      <extLst>
        <ext xmlns:x14="http://schemas.microsoft.com/office/spreadsheetml/2009/9/main" uri="{B025F937-C7B1-47D3-B67F-A62EFF666E3E}">
          <x14:id>{242AE00A-DFC4-4843-94D2-BF892E8A9AE3}</x14:id>
        </ext>
      </extLst>
    </cfRule>
  </conditionalFormatting>
  <conditionalFormatting sqref="C32:D32">
    <cfRule type="dataBar" priority="7">
      <dataBar>
        <cfvo type="min"/>
        <cfvo type="max"/>
        <color rgb="FF008AEF"/>
      </dataBar>
      <extLst>
        <ext xmlns:x14="http://schemas.microsoft.com/office/spreadsheetml/2009/9/main" uri="{B025F937-C7B1-47D3-B67F-A62EFF666E3E}">
          <x14:id>{68FD5A84-CD99-4CC2-82B2-0D6D83290435}</x14:id>
        </ext>
      </extLst>
    </cfRule>
  </conditionalFormatting>
  <conditionalFormatting sqref="C33:D33">
    <cfRule type="dataBar" priority="6">
      <dataBar>
        <cfvo type="min"/>
        <cfvo type="max"/>
        <color rgb="FF008AEF"/>
      </dataBar>
      <extLst>
        <ext xmlns:x14="http://schemas.microsoft.com/office/spreadsheetml/2009/9/main" uri="{B025F937-C7B1-47D3-B67F-A62EFF666E3E}">
          <x14:id>{9A97FB71-ED6C-4FFE-B1C3-79A3FE87AD24}</x14:id>
        </ext>
      </extLst>
    </cfRule>
  </conditionalFormatting>
  <conditionalFormatting sqref="C34:D34">
    <cfRule type="dataBar" priority="5">
      <dataBar>
        <cfvo type="min"/>
        <cfvo type="max"/>
        <color rgb="FF008AEF"/>
      </dataBar>
      <extLst>
        <ext xmlns:x14="http://schemas.microsoft.com/office/spreadsheetml/2009/9/main" uri="{B025F937-C7B1-47D3-B67F-A62EFF666E3E}">
          <x14:id>{3F58162A-7182-4B8C-80DB-A68CD0F8E02A}</x14:id>
        </ext>
      </extLst>
    </cfRule>
  </conditionalFormatting>
  <conditionalFormatting sqref="E3:P35">
    <cfRule type="cellIs" dxfId="6" priority="3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2D44454-01A5-4B13-965D-D37C4BC7143B}">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2C1FBD2C-7FD9-4B7C-8D72-F5377C315787}">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10B70E39-06FD-441D-9377-AE0B0BCB49FA}">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E00DAC62-71A6-422F-9DBE-C21C22CDDC0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658F8743-4EED-4261-AE02-74BF7089DF12}">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AEACB25C-524A-41B9-B97E-C67C1005E61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2931B4D1-6B87-4ED3-8AD5-2B5F50A2FC9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ED9A8E2D-0137-4867-9BBE-59E1A236FC2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FE1DDECA-0C2F-4B49-91D3-E15602A7DE9C}">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D3A5965-57DD-4526-8E13-17F40A7C557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810446CD-5FCC-460C-AD34-139E654FEB8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64045075-5336-4277-8485-4AA112FAFBE2}">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7F72F195-19AD-4C4B-885E-51403957A000}">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64542974-CC5A-4E62-97E9-6C204C2CB2E9}">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896EBD4C-8C3D-48EC-887E-3FC777C74358}">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F061AFA7-CE0F-430B-9C26-96E15866B6E7}">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68C18FBB-395B-4D43-B171-8A0001A1CC9F}">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2A54A981-4651-48C3-8057-3F88AA6F5B1C}">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DB58F907-EE95-402A-9A96-C3D01A87B391}">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1D974E73-6E17-4B6F-AEE0-8A7C05D10CE0}">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AA9D3B8-1B84-496D-B1BA-39FA377D2C26}">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3B92C5BE-18BE-42FF-82DD-1065CAB0EAC8}">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3EEF8F60-E11B-408C-80D3-12A0E9A829BD}">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4CBACE4-7A9A-452B-80B6-ED3BC13CC9EF}">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10DCFCBE-29C6-4615-95CD-5FC89DA34FC9}">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74A6EE73-B8EF-4BF5-B9F3-707E4825BB73}">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7836B478-185B-4524-87A6-DA8CD407F0E5}">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242AE00A-DFC4-4843-94D2-BF892E8A9AE3}">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68FD5A84-CD99-4CC2-82B2-0D6D83290435}">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9A97FB71-ED6C-4FFE-B1C3-79A3FE87AD24}">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3F58162A-7182-4B8C-80DB-A68CD0F8E02A}">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P60"/>
  <sheetViews>
    <sheetView zoomScale="80" zoomScaleNormal="80" workbookViewId="0">
      <selection activeCell="G26" sqref="G26"/>
    </sheetView>
  </sheetViews>
  <sheetFormatPr baseColWidth="10" defaultColWidth="13.140625" defaultRowHeight="15" x14ac:dyDescent="0.25"/>
  <cols>
    <col min="1" max="1" width="6" style="4" customWidth="1"/>
    <col min="2" max="2" width="72.140625" style="4" customWidth="1"/>
    <col min="3" max="3" width="13.140625" style="4"/>
    <col min="4" max="4" width="17.85546875" style="4" customWidth="1"/>
    <col min="5" max="16" width="15.5703125" style="4" customWidth="1"/>
    <col min="17" max="16384" width="13.140625" style="4"/>
  </cols>
  <sheetData>
    <row r="1" spans="1:16" x14ac:dyDescent="0.25">
      <c r="A1" s="96" t="s">
        <v>1</v>
      </c>
      <c r="B1" s="1" t="s">
        <v>36</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s="7" customFormat="1" ht="34.5" customHeight="1" thickBot="1" x14ac:dyDescent="0.3">
      <c r="A2" s="97"/>
      <c r="B2" s="1"/>
      <c r="C2" s="6">
        <v>2026</v>
      </c>
      <c r="D2" s="6" t="s">
        <v>16</v>
      </c>
      <c r="E2" s="48"/>
      <c r="F2" s="48"/>
      <c r="G2" s="48"/>
      <c r="H2" s="48"/>
      <c r="I2" s="48"/>
      <c r="J2" s="48"/>
      <c r="K2" s="48"/>
      <c r="L2" s="48"/>
      <c r="M2" s="48"/>
      <c r="N2" s="48"/>
      <c r="O2" s="48"/>
      <c r="P2" s="48"/>
    </row>
    <row r="3" spans="1:16" ht="81" customHeight="1" thickBot="1" x14ac:dyDescent="0.3">
      <c r="A3" s="64" t="s">
        <v>18</v>
      </c>
      <c r="B3" s="21" t="s">
        <v>17</v>
      </c>
      <c r="C3" s="67">
        <v>2</v>
      </c>
      <c r="D3" s="39">
        <f t="shared" ref="D3:D6" si="0">SUM(E3:P3)</f>
        <v>1</v>
      </c>
      <c r="E3" s="50"/>
      <c r="F3" s="50"/>
      <c r="G3" s="50">
        <v>1</v>
      </c>
      <c r="H3" s="50"/>
      <c r="I3" s="50"/>
      <c r="J3" s="50"/>
      <c r="K3" s="50"/>
      <c r="L3" s="50"/>
      <c r="M3" s="50"/>
      <c r="N3" s="50"/>
      <c r="O3" s="50"/>
      <c r="P3" s="50"/>
    </row>
    <row r="4" spans="1:16" ht="81" customHeight="1" thickBot="1" x14ac:dyDescent="0.3">
      <c r="A4" s="65" t="s">
        <v>20</v>
      </c>
      <c r="B4" s="22" t="s">
        <v>19</v>
      </c>
      <c r="C4" s="68">
        <v>2</v>
      </c>
      <c r="D4" s="39">
        <f t="shared" si="0"/>
        <v>0</v>
      </c>
      <c r="E4" s="50">
        <v>0</v>
      </c>
      <c r="F4" s="50">
        <v>0</v>
      </c>
      <c r="G4" s="50">
        <v>0</v>
      </c>
      <c r="H4" s="50">
        <v>0</v>
      </c>
      <c r="I4" s="50"/>
      <c r="J4" s="50"/>
      <c r="K4" s="50"/>
      <c r="L4" s="50"/>
      <c r="M4" s="50"/>
      <c r="N4" s="50"/>
      <c r="O4" s="50"/>
      <c r="P4" s="50"/>
    </row>
    <row r="5" spans="1:16" ht="81" customHeight="1" x14ac:dyDescent="0.25">
      <c r="A5" s="66" t="s">
        <v>18</v>
      </c>
      <c r="B5" s="36" t="s">
        <v>29</v>
      </c>
      <c r="C5" s="68">
        <v>1</v>
      </c>
      <c r="D5" s="39">
        <f t="shared" si="0"/>
        <v>1</v>
      </c>
      <c r="E5" s="50"/>
      <c r="F5" s="50"/>
      <c r="G5" s="50">
        <v>1</v>
      </c>
      <c r="H5" s="50"/>
      <c r="I5" s="50"/>
      <c r="J5" s="50"/>
      <c r="K5" s="50"/>
      <c r="L5" s="50"/>
      <c r="M5" s="50"/>
      <c r="N5" s="50"/>
      <c r="O5" s="50"/>
      <c r="P5" s="50"/>
    </row>
    <row r="6" spans="1:16" ht="81" customHeight="1" thickBot="1" x14ac:dyDescent="0.3">
      <c r="A6" s="66" t="s">
        <v>18</v>
      </c>
      <c r="B6" s="21" t="s">
        <v>33</v>
      </c>
      <c r="C6" s="68">
        <v>2</v>
      </c>
      <c r="D6" s="39">
        <f t="shared" si="0"/>
        <v>1</v>
      </c>
      <c r="E6" s="50"/>
      <c r="F6" s="50"/>
      <c r="G6" s="50"/>
      <c r="H6" s="50">
        <v>1</v>
      </c>
      <c r="I6" s="50"/>
      <c r="J6" s="50"/>
      <c r="K6" s="50"/>
      <c r="L6" s="50"/>
      <c r="M6" s="50"/>
      <c r="N6" s="50"/>
      <c r="O6" s="50"/>
      <c r="P6" s="50"/>
    </row>
    <row r="7" spans="1:16" ht="28.5" customHeight="1" x14ac:dyDescent="0.25">
      <c r="A7" s="86" t="s">
        <v>87</v>
      </c>
      <c r="B7" s="46" t="s">
        <v>59</v>
      </c>
      <c r="C7" s="17">
        <v>0</v>
      </c>
      <c r="D7" s="39">
        <f t="shared" ref="D7:D34" si="1">SUM(E7:P7)</f>
        <v>0</v>
      </c>
      <c r="E7" s="50"/>
      <c r="F7" s="50"/>
      <c r="G7" s="50"/>
      <c r="H7" s="50"/>
      <c r="I7" s="50"/>
      <c r="J7" s="50"/>
      <c r="K7" s="50"/>
      <c r="L7" s="50"/>
      <c r="M7" s="50"/>
      <c r="N7" s="50"/>
      <c r="O7" s="50"/>
      <c r="P7" s="50"/>
    </row>
    <row r="8" spans="1:16" ht="28.5" customHeight="1" x14ac:dyDescent="0.25">
      <c r="A8" s="87"/>
      <c r="B8" s="46" t="s">
        <v>74</v>
      </c>
      <c r="C8" s="17">
        <v>0</v>
      </c>
      <c r="D8" s="39">
        <f t="shared" si="1"/>
        <v>0</v>
      </c>
      <c r="E8" s="50"/>
      <c r="F8" s="50"/>
      <c r="G8" s="50"/>
      <c r="H8" s="50"/>
      <c r="I8" s="50"/>
      <c r="J8" s="50"/>
      <c r="K8" s="50"/>
      <c r="L8" s="50"/>
      <c r="M8" s="50"/>
      <c r="N8" s="50"/>
      <c r="O8" s="50"/>
      <c r="P8" s="50"/>
    </row>
    <row r="9" spans="1:16" ht="28.5" customHeight="1" x14ac:dyDescent="0.25">
      <c r="A9" s="87"/>
      <c r="B9" s="46" t="s">
        <v>60</v>
      </c>
      <c r="C9" s="17">
        <v>88</v>
      </c>
      <c r="D9" s="39">
        <f t="shared" si="1"/>
        <v>44</v>
      </c>
      <c r="E9" s="50"/>
      <c r="F9" s="50">
        <v>2</v>
      </c>
      <c r="G9" s="50">
        <v>19</v>
      </c>
      <c r="H9" s="50">
        <v>2</v>
      </c>
      <c r="I9" s="50">
        <v>21</v>
      </c>
      <c r="J9" s="50"/>
      <c r="K9" s="50"/>
      <c r="L9" s="50"/>
      <c r="M9" s="50"/>
      <c r="N9" s="50"/>
      <c r="O9" s="50"/>
      <c r="P9" s="50"/>
    </row>
    <row r="10" spans="1:16" ht="28.5" customHeight="1" x14ac:dyDescent="0.25">
      <c r="A10" s="87"/>
      <c r="B10" s="46" t="s">
        <v>61</v>
      </c>
      <c r="C10" s="17">
        <v>59</v>
      </c>
      <c r="D10" s="39">
        <f t="shared" si="1"/>
        <v>37</v>
      </c>
      <c r="E10" s="50"/>
      <c r="F10" s="50"/>
      <c r="G10" s="50">
        <v>19</v>
      </c>
      <c r="H10" s="50">
        <v>18</v>
      </c>
      <c r="I10" s="50"/>
      <c r="J10" s="50"/>
      <c r="K10" s="50"/>
      <c r="L10" s="50"/>
      <c r="M10" s="50"/>
      <c r="N10" s="50"/>
      <c r="O10" s="50"/>
      <c r="P10" s="50"/>
    </row>
    <row r="11" spans="1:16" ht="28.5" customHeight="1" x14ac:dyDescent="0.25">
      <c r="A11" s="87"/>
      <c r="B11" s="46" t="s">
        <v>62</v>
      </c>
      <c r="C11" s="17">
        <v>0</v>
      </c>
      <c r="D11" s="39">
        <f t="shared" si="1"/>
        <v>0</v>
      </c>
      <c r="E11" s="50"/>
      <c r="F11" s="50"/>
      <c r="G11" s="50"/>
      <c r="H11" s="50"/>
      <c r="I11" s="50"/>
      <c r="J11" s="50"/>
      <c r="K11" s="50"/>
      <c r="L11" s="50"/>
      <c r="M11" s="50"/>
      <c r="N11" s="50"/>
      <c r="O11" s="50"/>
      <c r="P11" s="50"/>
    </row>
    <row r="12" spans="1:16" ht="28.5" customHeight="1" x14ac:dyDescent="0.25">
      <c r="A12" s="87"/>
      <c r="B12" s="46" t="s">
        <v>63</v>
      </c>
      <c r="C12" s="17">
        <v>2</v>
      </c>
      <c r="D12" s="39">
        <f t="shared" si="1"/>
        <v>0</v>
      </c>
      <c r="E12" s="50"/>
      <c r="F12" s="50"/>
      <c r="G12" s="50"/>
      <c r="H12" s="50"/>
      <c r="I12" s="50"/>
      <c r="J12" s="50"/>
      <c r="K12" s="50"/>
      <c r="L12" s="50"/>
      <c r="M12" s="50"/>
      <c r="N12" s="50"/>
      <c r="O12" s="50"/>
      <c r="P12" s="50"/>
    </row>
    <row r="13" spans="1:16" ht="28.5" customHeight="1" x14ac:dyDescent="0.25">
      <c r="A13" s="87"/>
      <c r="B13" s="46" t="s">
        <v>64</v>
      </c>
      <c r="C13" s="17">
        <v>0</v>
      </c>
      <c r="D13" s="39">
        <f t="shared" si="1"/>
        <v>0</v>
      </c>
      <c r="E13" s="50"/>
      <c r="F13" s="50"/>
      <c r="G13" s="50"/>
      <c r="H13" s="50"/>
      <c r="I13" s="50"/>
      <c r="J13" s="50"/>
      <c r="K13" s="50"/>
      <c r="L13" s="50"/>
      <c r="M13" s="50"/>
      <c r="N13" s="50"/>
      <c r="O13" s="50"/>
      <c r="P13" s="50"/>
    </row>
    <row r="14" spans="1:16" ht="28.5" customHeight="1" x14ac:dyDescent="0.25">
      <c r="A14" s="87"/>
      <c r="B14" s="46" t="s">
        <v>65</v>
      </c>
      <c r="C14" s="17">
        <v>0</v>
      </c>
      <c r="D14" s="39">
        <f t="shared" si="1"/>
        <v>0</v>
      </c>
      <c r="E14" s="50"/>
      <c r="F14" s="50"/>
      <c r="G14" s="50"/>
      <c r="H14" s="50"/>
      <c r="I14" s="50"/>
      <c r="J14" s="50"/>
      <c r="K14" s="50"/>
      <c r="L14" s="50"/>
      <c r="M14" s="50"/>
      <c r="N14" s="50"/>
      <c r="O14" s="50"/>
      <c r="P14" s="50"/>
    </row>
    <row r="15" spans="1:16" ht="28.5" customHeight="1" x14ac:dyDescent="0.25">
      <c r="A15" s="87"/>
      <c r="B15" s="46" t="s">
        <v>66</v>
      </c>
      <c r="C15" s="17">
        <v>0</v>
      </c>
      <c r="D15" s="39">
        <f t="shared" si="1"/>
        <v>0</v>
      </c>
      <c r="E15" s="50"/>
      <c r="F15" s="50"/>
      <c r="G15" s="50"/>
      <c r="H15" s="50"/>
      <c r="I15" s="50"/>
      <c r="J15" s="50"/>
      <c r="K15" s="50"/>
      <c r="L15" s="50"/>
      <c r="M15" s="50"/>
      <c r="N15" s="50"/>
      <c r="O15" s="50"/>
      <c r="P15" s="50"/>
    </row>
    <row r="16" spans="1:16" ht="28.5" customHeight="1" x14ac:dyDescent="0.25">
      <c r="A16" s="87"/>
      <c r="B16" s="46" t="s">
        <v>67</v>
      </c>
      <c r="C16" s="17">
        <v>1</v>
      </c>
      <c r="D16" s="39">
        <f t="shared" si="1"/>
        <v>0</v>
      </c>
      <c r="E16" s="50"/>
      <c r="F16" s="50"/>
      <c r="G16" s="50"/>
      <c r="H16" s="50"/>
      <c r="I16" s="50"/>
      <c r="J16" s="50"/>
      <c r="K16" s="50"/>
      <c r="L16" s="50"/>
      <c r="M16" s="50"/>
      <c r="N16" s="50"/>
      <c r="O16" s="50"/>
      <c r="P16" s="50"/>
    </row>
    <row r="17" spans="1:16" ht="28.5" customHeight="1" x14ac:dyDescent="0.25">
      <c r="A17" s="87"/>
      <c r="B17" s="46" t="s">
        <v>68</v>
      </c>
      <c r="C17" s="17">
        <v>0</v>
      </c>
      <c r="D17" s="39">
        <f t="shared" si="1"/>
        <v>0</v>
      </c>
      <c r="E17" s="50"/>
      <c r="F17" s="50"/>
      <c r="G17" s="50"/>
      <c r="H17" s="50"/>
      <c r="I17" s="50"/>
      <c r="J17" s="50"/>
      <c r="K17" s="50"/>
      <c r="L17" s="50"/>
      <c r="M17" s="50"/>
      <c r="N17" s="50"/>
      <c r="O17" s="50"/>
      <c r="P17" s="50"/>
    </row>
    <row r="18" spans="1:16" ht="28.5" customHeight="1" x14ac:dyDescent="0.25">
      <c r="A18" s="87"/>
      <c r="B18" s="46" t="s">
        <v>69</v>
      </c>
      <c r="C18" s="17">
        <v>0</v>
      </c>
      <c r="D18" s="39">
        <f t="shared" si="1"/>
        <v>0</v>
      </c>
      <c r="E18" s="50"/>
      <c r="F18" s="50"/>
      <c r="G18" s="50"/>
      <c r="H18" s="50"/>
      <c r="I18" s="50"/>
      <c r="J18" s="50"/>
      <c r="K18" s="50"/>
      <c r="L18" s="50"/>
      <c r="M18" s="50"/>
      <c r="N18" s="50"/>
      <c r="O18" s="50"/>
      <c r="P18" s="50"/>
    </row>
    <row r="19" spans="1:16" ht="28.5" customHeight="1" x14ac:dyDescent="0.25">
      <c r="A19" s="87"/>
      <c r="B19" s="46" t="s">
        <v>70</v>
      </c>
      <c r="C19" s="17">
        <v>0</v>
      </c>
      <c r="D19" s="39">
        <f t="shared" si="1"/>
        <v>0</v>
      </c>
      <c r="E19" s="50"/>
      <c r="F19" s="50"/>
      <c r="G19" s="50"/>
      <c r="H19" s="50"/>
      <c r="I19" s="50"/>
      <c r="J19" s="50"/>
      <c r="K19" s="50"/>
      <c r="L19" s="50"/>
      <c r="M19" s="50"/>
      <c r="N19" s="50"/>
      <c r="O19" s="50"/>
      <c r="P19" s="50"/>
    </row>
    <row r="20" spans="1:16" ht="28.5" customHeight="1" x14ac:dyDescent="0.25">
      <c r="A20" s="87"/>
      <c r="B20" s="46" t="s">
        <v>71</v>
      </c>
      <c r="C20" s="17">
        <v>0</v>
      </c>
      <c r="D20" s="39">
        <f t="shared" si="1"/>
        <v>0</v>
      </c>
      <c r="E20" s="50"/>
      <c r="F20" s="50"/>
      <c r="G20" s="50"/>
      <c r="H20" s="50"/>
      <c r="I20" s="50"/>
      <c r="J20" s="50"/>
      <c r="K20" s="50"/>
      <c r="L20" s="50"/>
      <c r="M20" s="50"/>
      <c r="N20" s="50"/>
      <c r="O20" s="50"/>
      <c r="P20" s="50"/>
    </row>
    <row r="21" spans="1:16" ht="28.5" customHeight="1" x14ac:dyDescent="0.25">
      <c r="A21" s="87"/>
      <c r="B21" s="46" t="s">
        <v>72</v>
      </c>
      <c r="C21" s="17">
        <v>82</v>
      </c>
      <c r="D21" s="39">
        <f t="shared" si="1"/>
        <v>32</v>
      </c>
      <c r="E21" s="50"/>
      <c r="F21" s="50">
        <v>13</v>
      </c>
      <c r="G21" s="50">
        <v>2</v>
      </c>
      <c r="H21" s="50"/>
      <c r="I21" s="50">
        <v>17</v>
      </c>
      <c r="J21" s="50"/>
      <c r="K21" s="50"/>
      <c r="L21" s="50"/>
      <c r="M21" s="50"/>
      <c r="N21" s="50"/>
      <c r="O21" s="50"/>
      <c r="P21" s="50"/>
    </row>
    <row r="22" spans="1:16" ht="28.5" customHeight="1" x14ac:dyDescent="0.25">
      <c r="A22" s="87"/>
      <c r="B22" s="46" t="s">
        <v>73</v>
      </c>
      <c r="C22" s="17">
        <v>2</v>
      </c>
      <c r="D22" s="39">
        <f t="shared" si="1"/>
        <v>0</v>
      </c>
      <c r="E22" s="50"/>
      <c r="F22" s="50"/>
      <c r="G22" s="50"/>
      <c r="H22" s="50"/>
      <c r="I22" s="50"/>
      <c r="J22" s="50"/>
      <c r="K22" s="50"/>
      <c r="L22" s="50"/>
      <c r="M22" s="50"/>
      <c r="N22" s="50"/>
      <c r="O22" s="50"/>
      <c r="P22" s="50"/>
    </row>
    <row r="23" spans="1:16" ht="24" customHeight="1" x14ac:dyDescent="0.25">
      <c r="A23" s="87"/>
      <c r="B23" s="58" t="s">
        <v>75</v>
      </c>
      <c r="C23" s="17">
        <v>1</v>
      </c>
      <c r="D23" s="39">
        <f t="shared" si="1"/>
        <v>0</v>
      </c>
      <c r="E23" s="50"/>
      <c r="F23" s="50"/>
      <c r="G23" s="50"/>
      <c r="H23" s="50"/>
      <c r="I23" s="50"/>
      <c r="J23" s="50"/>
      <c r="K23" s="50"/>
      <c r="L23" s="50"/>
      <c r="M23" s="50"/>
      <c r="N23" s="50"/>
      <c r="O23" s="50"/>
      <c r="P23" s="50"/>
    </row>
    <row r="24" spans="1:16" ht="24" customHeight="1" x14ac:dyDescent="0.25">
      <c r="A24" s="87"/>
      <c r="B24" s="58" t="s">
        <v>76</v>
      </c>
      <c r="C24" s="17">
        <v>1</v>
      </c>
      <c r="D24" s="39">
        <f t="shared" si="1"/>
        <v>0</v>
      </c>
      <c r="E24" s="50"/>
      <c r="F24" s="50"/>
      <c r="G24" s="50"/>
      <c r="H24" s="50"/>
      <c r="I24" s="50"/>
      <c r="J24" s="50"/>
      <c r="K24" s="50"/>
      <c r="L24" s="50"/>
      <c r="M24" s="50"/>
      <c r="N24" s="50"/>
      <c r="O24" s="50"/>
      <c r="P24" s="50"/>
    </row>
    <row r="25" spans="1:16" ht="24" customHeight="1" x14ac:dyDescent="0.25">
      <c r="A25" s="87"/>
      <c r="B25" s="58" t="s">
        <v>77</v>
      </c>
      <c r="C25" s="17">
        <v>1</v>
      </c>
      <c r="D25" s="39">
        <f t="shared" si="1"/>
        <v>0</v>
      </c>
      <c r="E25" s="50"/>
      <c r="F25" s="50"/>
      <c r="G25" s="50"/>
      <c r="H25" s="50"/>
      <c r="I25" s="50"/>
      <c r="J25" s="50"/>
      <c r="K25" s="50"/>
      <c r="L25" s="50"/>
      <c r="M25" s="50"/>
      <c r="N25" s="50"/>
      <c r="O25" s="50"/>
      <c r="P25" s="50"/>
    </row>
    <row r="26" spans="1:16" ht="24" customHeight="1" x14ac:dyDescent="0.25">
      <c r="A26" s="87"/>
      <c r="B26" s="58" t="s">
        <v>78</v>
      </c>
      <c r="C26" s="17">
        <v>1</v>
      </c>
      <c r="D26" s="39">
        <f t="shared" si="1"/>
        <v>0</v>
      </c>
      <c r="E26" s="50"/>
      <c r="F26" s="50"/>
      <c r="G26" s="50"/>
      <c r="H26" s="50"/>
      <c r="I26" s="50"/>
      <c r="J26" s="50"/>
      <c r="K26" s="50"/>
      <c r="L26" s="50"/>
      <c r="M26" s="50"/>
      <c r="N26" s="50"/>
      <c r="O26" s="50"/>
      <c r="P26" s="50"/>
    </row>
    <row r="27" spans="1:16" ht="24" customHeight="1" x14ac:dyDescent="0.25">
      <c r="A27" s="87"/>
      <c r="B27" s="58" t="s">
        <v>79</v>
      </c>
      <c r="C27" s="17">
        <v>1</v>
      </c>
      <c r="D27" s="39">
        <f t="shared" si="1"/>
        <v>0</v>
      </c>
      <c r="E27" s="50"/>
      <c r="F27" s="50"/>
      <c r="G27" s="50"/>
      <c r="H27" s="50"/>
      <c r="I27" s="50"/>
      <c r="J27" s="50"/>
      <c r="K27" s="50"/>
      <c r="L27" s="50"/>
      <c r="M27" s="50"/>
      <c r="N27" s="50"/>
      <c r="O27" s="50"/>
      <c r="P27" s="50"/>
    </row>
    <row r="28" spans="1:16" ht="24" customHeight="1" x14ac:dyDescent="0.25">
      <c r="A28" s="87"/>
      <c r="B28" s="58" t="s">
        <v>80</v>
      </c>
      <c r="C28" s="17">
        <v>1</v>
      </c>
      <c r="D28" s="39">
        <f t="shared" si="1"/>
        <v>0</v>
      </c>
      <c r="E28" s="50"/>
      <c r="F28" s="50"/>
      <c r="G28" s="50"/>
      <c r="H28" s="50"/>
      <c r="I28" s="50"/>
      <c r="J28" s="50"/>
      <c r="K28" s="50"/>
      <c r="L28" s="50"/>
      <c r="M28" s="50"/>
      <c r="N28" s="50"/>
      <c r="O28" s="50"/>
      <c r="P28" s="50"/>
    </row>
    <row r="29" spans="1:16" ht="24" customHeight="1" x14ac:dyDescent="0.25">
      <c r="A29" s="87"/>
      <c r="B29" s="58" t="s">
        <v>81</v>
      </c>
      <c r="C29" s="17">
        <v>1</v>
      </c>
      <c r="D29" s="39">
        <f t="shared" si="1"/>
        <v>0</v>
      </c>
      <c r="E29" s="50"/>
      <c r="F29" s="50"/>
      <c r="G29" s="50"/>
      <c r="H29" s="50"/>
      <c r="I29" s="50"/>
      <c r="J29" s="50"/>
      <c r="K29" s="50"/>
      <c r="L29" s="50"/>
      <c r="M29" s="50"/>
      <c r="N29" s="50"/>
      <c r="O29" s="50"/>
      <c r="P29" s="50"/>
    </row>
    <row r="30" spans="1:16" ht="24" customHeight="1" x14ac:dyDescent="0.25">
      <c r="A30" s="87"/>
      <c r="B30" s="58" t="s">
        <v>82</v>
      </c>
      <c r="C30" s="17">
        <v>1</v>
      </c>
      <c r="D30" s="39">
        <f t="shared" si="1"/>
        <v>0</v>
      </c>
      <c r="E30" s="50"/>
      <c r="F30" s="50"/>
      <c r="G30" s="50"/>
      <c r="H30" s="50"/>
      <c r="I30" s="50"/>
      <c r="J30" s="50"/>
      <c r="K30" s="50"/>
      <c r="L30" s="50"/>
      <c r="M30" s="50"/>
      <c r="N30" s="50"/>
      <c r="O30" s="50"/>
      <c r="P30" s="50"/>
    </row>
    <row r="31" spans="1:16" ht="24" customHeight="1" x14ac:dyDescent="0.25">
      <c r="A31" s="87"/>
      <c r="B31" s="58" t="s">
        <v>83</v>
      </c>
      <c r="C31" s="17">
        <v>1</v>
      </c>
      <c r="D31" s="39">
        <f t="shared" si="1"/>
        <v>0</v>
      </c>
      <c r="E31" s="50"/>
      <c r="F31" s="50"/>
      <c r="G31" s="50"/>
      <c r="H31" s="50"/>
      <c r="I31" s="50"/>
      <c r="J31" s="50"/>
      <c r="K31" s="50"/>
      <c r="L31" s="50"/>
      <c r="M31" s="50"/>
      <c r="N31" s="50"/>
      <c r="O31" s="50"/>
      <c r="P31" s="50"/>
    </row>
    <row r="32" spans="1:16" ht="24" customHeight="1" x14ac:dyDescent="0.25">
      <c r="A32" s="87"/>
      <c r="B32" s="58" t="s">
        <v>84</v>
      </c>
      <c r="C32" s="17">
        <v>1</v>
      </c>
      <c r="D32" s="39">
        <f t="shared" si="1"/>
        <v>0</v>
      </c>
      <c r="E32" s="50"/>
      <c r="F32" s="50"/>
      <c r="G32" s="50"/>
      <c r="H32" s="50"/>
      <c r="I32" s="50"/>
      <c r="J32" s="50"/>
      <c r="K32" s="50"/>
      <c r="L32" s="50"/>
      <c r="M32" s="50"/>
      <c r="N32" s="50"/>
      <c r="O32" s="50"/>
      <c r="P32" s="50"/>
    </row>
    <row r="33" spans="1:16" ht="24" customHeight="1" x14ac:dyDescent="0.25">
      <c r="A33" s="87"/>
      <c r="B33" s="58" t="s">
        <v>85</v>
      </c>
      <c r="C33" s="17">
        <v>1</v>
      </c>
      <c r="D33" s="39">
        <f t="shared" si="1"/>
        <v>0</v>
      </c>
      <c r="E33" s="50"/>
      <c r="F33" s="50"/>
      <c r="G33" s="50"/>
      <c r="H33" s="50"/>
      <c r="I33" s="50"/>
      <c r="J33" s="50"/>
      <c r="K33" s="50"/>
      <c r="L33" s="50"/>
      <c r="M33" s="50"/>
      <c r="N33" s="50"/>
      <c r="O33" s="50"/>
      <c r="P33" s="50"/>
    </row>
    <row r="34" spans="1:16" ht="24" customHeight="1" thickBot="1" x14ac:dyDescent="0.3">
      <c r="A34" s="88"/>
      <c r="B34" s="69" t="s">
        <v>86</v>
      </c>
      <c r="C34" s="17">
        <v>1</v>
      </c>
      <c r="D34" s="63">
        <f t="shared" si="1"/>
        <v>0</v>
      </c>
      <c r="E34" s="50"/>
      <c r="F34" s="50"/>
      <c r="G34" s="50"/>
      <c r="H34" s="50"/>
      <c r="I34" s="50"/>
      <c r="J34" s="50"/>
      <c r="K34" s="50"/>
      <c r="L34" s="50"/>
      <c r="M34" s="50"/>
      <c r="N34" s="50"/>
      <c r="O34" s="50"/>
      <c r="P34" s="50"/>
    </row>
    <row r="35" spans="1:16" x14ac:dyDescent="0.25">
      <c r="C35" s="51">
        <f>SUM(C3:C34)</f>
        <v>253</v>
      </c>
      <c r="D35" s="51">
        <f>SUM(D3:D34)</f>
        <v>116</v>
      </c>
      <c r="E35" s="50"/>
      <c r="F35" s="50"/>
      <c r="G35" s="50"/>
      <c r="H35" s="50"/>
      <c r="I35" s="50"/>
      <c r="J35" s="50"/>
      <c r="K35" s="50"/>
      <c r="L35" s="50"/>
      <c r="M35" s="50"/>
      <c r="N35" s="50"/>
      <c r="O35" s="50"/>
      <c r="P35" s="50"/>
    </row>
    <row r="36" spans="1:16" x14ac:dyDescent="0.25">
      <c r="C36" s="19"/>
      <c r="D36" s="20">
        <f>D35/C35</f>
        <v>0.45849802371541504</v>
      </c>
    </row>
    <row r="45" spans="1:16" x14ac:dyDescent="0.25">
      <c r="C45" s="19"/>
    </row>
    <row r="46" spans="1:16" x14ac:dyDescent="0.25">
      <c r="C46" s="19"/>
    </row>
    <row r="47" spans="1:16" x14ac:dyDescent="0.25">
      <c r="C47" s="19"/>
    </row>
    <row r="48" spans="1:16" x14ac:dyDescent="0.25">
      <c r="C48" s="19"/>
    </row>
    <row r="49" spans="3:3" x14ac:dyDescent="0.25">
      <c r="C49" s="19"/>
    </row>
    <row r="50" spans="3:3" x14ac:dyDescent="0.25">
      <c r="C50" s="19"/>
    </row>
    <row r="51" spans="3:3" x14ac:dyDescent="0.25">
      <c r="C51" s="19"/>
    </row>
    <row r="52" spans="3:3" x14ac:dyDescent="0.25">
      <c r="C52" s="19"/>
    </row>
    <row r="53" spans="3:3" x14ac:dyDescent="0.25">
      <c r="C53" s="19"/>
    </row>
    <row r="54" spans="3:3" x14ac:dyDescent="0.25">
      <c r="C54" s="19"/>
    </row>
    <row r="55" spans="3:3" x14ac:dyDescent="0.25">
      <c r="C55" s="19"/>
    </row>
    <row r="56" spans="3:3" x14ac:dyDescent="0.25">
      <c r="C56" s="19"/>
    </row>
    <row r="57" spans="3:3" x14ac:dyDescent="0.25">
      <c r="C57" s="19"/>
    </row>
    <row r="58" spans="3:3" x14ac:dyDescent="0.25">
      <c r="C58" s="19"/>
    </row>
    <row r="59" spans="3:3" x14ac:dyDescent="0.25">
      <c r="C59" s="19"/>
    </row>
    <row r="60" spans="3:3" x14ac:dyDescent="0.25">
      <c r="C60" s="19"/>
    </row>
  </sheetData>
  <sheetProtection algorithmName="SHA-512" hashValue="W8u/qOnGc76UeUYxyK0PB1S7EvHim32Dx5+T+n880ISwz72qyLYDn8tW/DC7u6wCSmtJNV0B2gfynw4z/JaAFQ==" saltValue="NpMK1Ca9K/gmtZEnSgWOYA==" spinCount="100000" sheet="1" objects="1" scenarios="1" autoFilter="0"/>
  <mergeCells count="2">
    <mergeCell ref="A7:A34"/>
    <mergeCell ref="A1:A2"/>
  </mergeCells>
  <conditionalFormatting sqref="C3:D3">
    <cfRule type="dataBar" priority="4">
      <dataBar>
        <cfvo type="min"/>
        <cfvo type="max"/>
        <color rgb="FF008AEF"/>
      </dataBar>
      <extLst>
        <ext xmlns:x14="http://schemas.microsoft.com/office/spreadsheetml/2009/9/main" uri="{B025F937-C7B1-47D3-B67F-A62EFF666E3E}">
          <x14:id>{694DCFD1-EFE4-41BF-A3B4-243878E9A005}</x14:id>
        </ext>
      </extLst>
    </cfRule>
  </conditionalFormatting>
  <conditionalFormatting sqref="C4:D4">
    <cfRule type="dataBar" priority="3">
      <dataBar>
        <cfvo type="min"/>
        <cfvo type="max"/>
        <color rgb="FF008AEF"/>
      </dataBar>
      <extLst>
        <ext xmlns:x14="http://schemas.microsoft.com/office/spreadsheetml/2009/9/main" uri="{B025F937-C7B1-47D3-B67F-A62EFF666E3E}">
          <x14:id>{57B89F2C-4C7A-4D3A-A809-5D112660CE9D}</x14:id>
        </ext>
      </extLst>
    </cfRule>
  </conditionalFormatting>
  <conditionalFormatting sqref="C5:D5">
    <cfRule type="dataBar" priority="2">
      <dataBar>
        <cfvo type="min"/>
        <cfvo type="max"/>
        <color rgb="FF008AEF"/>
      </dataBar>
      <extLst>
        <ext xmlns:x14="http://schemas.microsoft.com/office/spreadsheetml/2009/9/main" uri="{B025F937-C7B1-47D3-B67F-A62EFF666E3E}">
          <x14:id>{D050A018-2C88-489A-9E33-33C3E7728241}</x14:id>
        </ext>
      </extLst>
    </cfRule>
  </conditionalFormatting>
  <conditionalFormatting sqref="C6:D6">
    <cfRule type="dataBar" priority="1">
      <dataBar>
        <cfvo type="min"/>
        <cfvo type="max"/>
        <color rgb="FF008AEF"/>
      </dataBar>
      <extLst>
        <ext xmlns:x14="http://schemas.microsoft.com/office/spreadsheetml/2009/9/main" uri="{B025F937-C7B1-47D3-B67F-A62EFF666E3E}">
          <x14:id>{3217E5F6-5393-4F08-86DC-09840C815106}</x14:id>
        </ext>
      </extLst>
    </cfRule>
  </conditionalFormatting>
  <conditionalFormatting sqref="C8:D8">
    <cfRule type="dataBar" priority="35">
      <dataBar>
        <cfvo type="min"/>
        <cfvo type="max"/>
        <color rgb="FF008AEF"/>
      </dataBar>
      <extLst>
        <ext xmlns:x14="http://schemas.microsoft.com/office/spreadsheetml/2009/9/main" uri="{B025F937-C7B1-47D3-B67F-A62EFF666E3E}">
          <x14:id>{BA693EAD-953E-4F5D-8812-D5AC7B5727E8}</x14:id>
        </ext>
      </extLst>
    </cfRule>
  </conditionalFormatting>
  <conditionalFormatting sqref="C9:D9">
    <cfRule type="dataBar" priority="34">
      <dataBar>
        <cfvo type="min"/>
        <cfvo type="max"/>
        <color rgb="FF008AEF"/>
      </dataBar>
      <extLst>
        <ext xmlns:x14="http://schemas.microsoft.com/office/spreadsheetml/2009/9/main" uri="{B025F937-C7B1-47D3-B67F-A62EFF666E3E}">
          <x14:id>{E5135189-CDB5-4447-BFEE-7ABE95A783C3}</x14:id>
        </ext>
      </extLst>
    </cfRule>
  </conditionalFormatting>
  <conditionalFormatting sqref="C10:D10">
    <cfRule type="dataBar" priority="33">
      <dataBar>
        <cfvo type="min"/>
        <cfvo type="max"/>
        <color rgb="FF008AEF"/>
      </dataBar>
      <extLst>
        <ext xmlns:x14="http://schemas.microsoft.com/office/spreadsheetml/2009/9/main" uri="{B025F937-C7B1-47D3-B67F-A62EFF666E3E}">
          <x14:id>{B29CE34F-8BC4-4A99-9FEB-D4B27C1AFA37}</x14:id>
        </ext>
      </extLst>
    </cfRule>
  </conditionalFormatting>
  <conditionalFormatting sqref="C11:D11">
    <cfRule type="dataBar" priority="32">
      <dataBar>
        <cfvo type="min"/>
        <cfvo type="max"/>
        <color rgb="FF008AEF"/>
      </dataBar>
      <extLst>
        <ext xmlns:x14="http://schemas.microsoft.com/office/spreadsheetml/2009/9/main" uri="{B025F937-C7B1-47D3-B67F-A62EFF666E3E}">
          <x14:id>{C4D83AFF-1823-46A2-8479-8F41AB22F4ED}</x14:id>
        </ext>
      </extLst>
    </cfRule>
  </conditionalFormatting>
  <conditionalFormatting sqref="C12:D12">
    <cfRule type="dataBar" priority="31">
      <dataBar>
        <cfvo type="min"/>
        <cfvo type="max"/>
        <color rgb="FF008AEF"/>
      </dataBar>
      <extLst>
        <ext xmlns:x14="http://schemas.microsoft.com/office/spreadsheetml/2009/9/main" uri="{B025F937-C7B1-47D3-B67F-A62EFF666E3E}">
          <x14:id>{FA3DEA21-20A0-40D4-A77C-7159AD76F88E}</x14:id>
        </ext>
      </extLst>
    </cfRule>
  </conditionalFormatting>
  <conditionalFormatting sqref="C13:D13">
    <cfRule type="dataBar" priority="30">
      <dataBar>
        <cfvo type="min"/>
        <cfvo type="max"/>
        <color rgb="FF008AEF"/>
      </dataBar>
      <extLst>
        <ext xmlns:x14="http://schemas.microsoft.com/office/spreadsheetml/2009/9/main" uri="{B025F937-C7B1-47D3-B67F-A62EFF666E3E}">
          <x14:id>{71E6C800-1C79-4E27-9346-FF063597DFA9}</x14:id>
        </ext>
      </extLst>
    </cfRule>
  </conditionalFormatting>
  <conditionalFormatting sqref="C14:D14">
    <cfRule type="dataBar" priority="29">
      <dataBar>
        <cfvo type="min"/>
        <cfvo type="max"/>
        <color rgb="FF008AEF"/>
      </dataBar>
      <extLst>
        <ext xmlns:x14="http://schemas.microsoft.com/office/spreadsheetml/2009/9/main" uri="{B025F937-C7B1-47D3-B67F-A62EFF666E3E}">
          <x14:id>{82F61A4A-1217-4C89-A0F8-54DA4A5F8CDD}</x14:id>
        </ext>
      </extLst>
    </cfRule>
  </conditionalFormatting>
  <conditionalFormatting sqref="C15:D15">
    <cfRule type="dataBar" priority="28">
      <dataBar>
        <cfvo type="min"/>
        <cfvo type="max"/>
        <color rgb="FF008AEF"/>
      </dataBar>
      <extLst>
        <ext xmlns:x14="http://schemas.microsoft.com/office/spreadsheetml/2009/9/main" uri="{B025F937-C7B1-47D3-B67F-A62EFF666E3E}">
          <x14:id>{0403F50A-8C03-4A2B-98AB-A7BEA99ACD0C}</x14:id>
        </ext>
      </extLst>
    </cfRule>
  </conditionalFormatting>
  <conditionalFormatting sqref="C16:D16">
    <cfRule type="dataBar" priority="27">
      <dataBar>
        <cfvo type="min"/>
        <cfvo type="max"/>
        <color rgb="FF008AEF"/>
      </dataBar>
      <extLst>
        <ext xmlns:x14="http://schemas.microsoft.com/office/spreadsheetml/2009/9/main" uri="{B025F937-C7B1-47D3-B67F-A62EFF666E3E}">
          <x14:id>{363CCC44-5E60-497F-AD46-51EF95E808A3}</x14:id>
        </ext>
      </extLst>
    </cfRule>
  </conditionalFormatting>
  <conditionalFormatting sqref="C17:D17">
    <cfRule type="dataBar" priority="26">
      <dataBar>
        <cfvo type="min"/>
        <cfvo type="max"/>
        <color rgb="FF008AEF"/>
      </dataBar>
      <extLst>
        <ext xmlns:x14="http://schemas.microsoft.com/office/spreadsheetml/2009/9/main" uri="{B025F937-C7B1-47D3-B67F-A62EFF666E3E}">
          <x14:id>{D61D0C73-496A-41F8-9D48-D92ABEE2551D}</x14:id>
        </ext>
      </extLst>
    </cfRule>
  </conditionalFormatting>
  <conditionalFormatting sqref="C18:D18">
    <cfRule type="dataBar" priority="25">
      <dataBar>
        <cfvo type="min"/>
        <cfvo type="max"/>
        <color rgb="FF008AEF"/>
      </dataBar>
      <extLst>
        <ext xmlns:x14="http://schemas.microsoft.com/office/spreadsheetml/2009/9/main" uri="{B025F937-C7B1-47D3-B67F-A62EFF666E3E}">
          <x14:id>{1181114C-0A3D-4879-A9B4-8E384B7AF1CF}</x14:id>
        </ext>
      </extLst>
    </cfRule>
  </conditionalFormatting>
  <conditionalFormatting sqref="C19:D19">
    <cfRule type="dataBar" priority="24">
      <dataBar>
        <cfvo type="min"/>
        <cfvo type="max"/>
        <color rgb="FF008AEF"/>
      </dataBar>
      <extLst>
        <ext xmlns:x14="http://schemas.microsoft.com/office/spreadsheetml/2009/9/main" uri="{B025F937-C7B1-47D3-B67F-A62EFF666E3E}">
          <x14:id>{E380045D-E242-4343-868E-0D16A61970AF}</x14:id>
        </ext>
      </extLst>
    </cfRule>
  </conditionalFormatting>
  <conditionalFormatting sqref="C20:D20">
    <cfRule type="dataBar" priority="23">
      <dataBar>
        <cfvo type="min"/>
        <cfvo type="max"/>
        <color rgb="FF008AEF"/>
      </dataBar>
      <extLst>
        <ext xmlns:x14="http://schemas.microsoft.com/office/spreadsheetml/2009/9/main" uri="{B025F937-C7B1-47D3-B67F-A62EFF666E3E}">
          <x14:id>{D2FA609A-1B6C-49F3-BF23-814F7A56BE20}</x14:id>
        </ext>
      </extLst>
    </cfRule>
  </conditionalFormatting>
  <conditionalFormatting sqref="C21:D21">
    <cfRule type="dataBar" priority="22">
      <dataBar>
        <cfvo type="min"/>
        <cfvo type="max"/>
        <color rgb="FF008AEF"/>
      </dataBar>
      <extLst>
        <ext xmlns:x14="http://schemas.microsoft.com/office/spreadsheetml/2009/9/main" uri="{B025F937-C7B1-47D3-B67F-A62EFF666E3E}">
          <x14:id>{ACA4DE80-A036-4750-ABCB-E3D9842C1055}</x14:id>
        </ext>
      </extLst>
    </cfRule>
  </conditionalFormatting>
  <conditionalFormatting sqref="C22:D22">
    <cfRule type="dataBar" priority="21">
      <dataBar>
        <cfvo type="min"/>
        <cfvo type="max"/>
        <color rgb="FF008AEF"/>
      </dataBar>
      <extLst>
        <ext xmlns:x14="http://schemas.microsoft.com/office/spreadsheetml/2009/9/main" uri="{B025F937-C7B1-47D3-B67F-A62EFF666E3E}">
          <x14:id>{3E3D5A5A-FA52-45F1-8ADF-36CCADED6AC6}</x14:id>
        </ext>
      </extLst>
    </cfRule>
  </conditionalFormatting>
  <conditionalFormatting sqref="C23:D23">
    <cfRule type="dataBar" priority="20">
      <dataBar>
        <cfvo type="min"/>
        <cfvo type="max"/>
        <color rgb="FF008AEF"/>
      </dataBar>
      <extLst>
        <ext xmlns:x14="http://schemas.microsoft.com/office/spreadsheetml/2009/9/main" uri="{B025F937-C7B1-47D3-B67F-A62EFF666E3E}">
          <x14:id>{B1787DA3-AAC4-464F-9CD7-36F1E50EEA0B}</x14:id>
        </ext>
      </extLst>
    </cfRule>
  </conditionalFormatting>
  <conditionalFormatting sqref="C24:D24">
    <cfRule type="dataBar" priority="19">
      <dataBar>
        <cfvo type="min"/>
        <cfvo type="max"/>
        <color rgb="FF008AEF"/>
      </dataBar>
      <extLst>
        <ext xmlns:x14="http://schemas.microsoft.com/office/spreadsheetml/2009/9/main" uri="{B025F937-C7B1-47D3-B67F-A62EFF666E3E}">
          <x14:id>{6F277EEA-1706-4E14-969C-2264CB2859C0}</x14:id>
        </ext>
      </extLst>
    </cfRule>
  </conditionalFormatting>
  <conditionalFormatting sqref="C25:D25">
    <cfRule type="dataBar" priority="18">
      <dataBar>
        <cfvo type="min"/>
        <cfvo type="max"/>
        <color rgb="FF008AEF"/>
      </dataBar>
      <extLst>
        <ext xmlns:x14="http://schemas.microsoft.com/office/spreadsheetml/2009/9/main" uri="{B025F937-C7B1-47D3-B67F-A62EFF666E3E}">
          <x14:id>{CAB59093-7B3A-40E3-8FC9-E54F2DBEA3B9}</x14:id>
        </ext>
      </extLst>
    </cfRule>
  </conditionalFormatting>
  <conditionalFormatting sqref="C26:D26">
    <cfRule type="dataBar" priority="17">
      <dataBar>
        <cfvo type="min"/>
        <cfvo type="max"/>
        <color rgb="FF008AEF"/>
      </dataBar>
      <extLst>
        <ext xmlns:x14="http://schemas.microsoft.com/office/spreadsheetml/2009/9/main" uri="{B025F937-C7B1-47D3-B67F-A62EFF666E3E}">
          <x14:id>{3503586A-760E-4FBB-9FA0-E8FF1CE14589}</x14:id>
        </ext>
      </extLst>
    </cfRule>
  </conditionalFormatting>
  <conditionalFormatting sqref="C27:D27">
    <cfRule type="dataBar" priority="16">
      <dataBar>
        <cfvo type="min"/>
        <cfvo type="max"/>
        <color rgb="FF008AEF"/>
      </dataBar>
      <extLst>
        <ext xmlns:x14="http://schemas.microsoft.com/office/spreadsheetml/2009/9/main" uri="{B025F937-C7B1-47D3-B67F-A62EFF666E3E}">
          <x14:id>{F2FA5910-4356-4F8B-AFC0-3062061F3B4E}</x14:id>
        </ext>
      </extLst>
    </cfRule>
  </conditionalFormatting>
  <conditionalFormatting sqref="C28:D28">
    <cfRule type="dataBar" priority="15">
      <dataBar>
        <cfvo type="min"/>
        <cfvo type="max"/>
        <color rgb="FF008AEF"/>
      </dataBar>
      <extLst>
        <ext xmlns:x14="http://schemas.microsoft.com/office/spreadsheetml/2009/9/main" uri="{B025F937-C7B1-47D3-B67F-A62EFF666E3E}">
          <x14:id>{B5BC909E-B7A4-47A5-AFB8-D2F7A2983569}</x14:id>
        </ext>
      </extLst>
    </cfRule>
  </conditionalFormatting>
  <conditionalFormatting sqref="C29:D29">
    <cfRule type="dataBar" priority="14">
      <dataBar>
        <cfvo type="min"/>
        <cfvo type="max"/>
        <color rgb="FF008AEF"/>
      </dataBar>
      <extLst>
        <ext xmlns:x14="http://schemas.microsoft.com/office/spreadsheetml/2009/9/main" uri="{B025F937-C7B1-47D3-B67F-A62EFF666E3E}">
          <x14:id>{EDA9D10C-0A02-44CE-B69A-0E92C6270EA7}</x14:id>
        </ext>
      </extLst>
    </cfRule>
  </conditionalFormatting>
  <conditionalFormatting sqref="C30:D30">
    <cfRule type="dataBar" priority="13">
      <dataBar>
        <cfvo type="min"/>
        <cfvo type="max"/>
        <color rgb="FF008AEF"/>
      </dataBar>
      <extLst>
        <ext xmlns:x14="http://schemas.microsoft.com/office/spreadsheetml/2009/9/main" uri="{B025F937-C7B1-47D3-B67F-A62EFF666E3E}">
          <x14:id>{99345567-C722-4EDC-9A21-9A5B61DF432D}</x14:id>
        </ext>
      </extLst>
    </cfRule>
  </conditionalFormatting>
  <conditionalFormatting sqref="C31:D31">
    <cfRule type="dataBar" priority="12">
      <dataBar>
        <cfvo type="min"/>
        <cfvo type="max"/>
        <color rgb="FF008AEF"/>
      </dataBar>
      <extLst>
        <ext xmlns:x14="http://schemas.microsoft.com/office/spreadsheetml/2009/9/main" uri="{B025F937-C7B1-47D3-B67F-A62EFF666E3E}">
          <x14:id>{10355391-F201-499E-AC16-E60F781655FF}</x14:id>
        </ext>
      </extLst>
    </cfRule>
  </conditionalFormatting>
  <conditionalFormatting sqref="C32:D32">
    <cfRule type="dataBar" priority="11">
      <dataBar>
        <cfvo type="min"/>
        <cfvo type="max"/>
        <color rgb="FF008AEF"/>
      </dataBar>
      <extLst>
        <ext xmlns:x14="http://schemas.microsoft.com/office/spreadsheetml/2009/9/main" uri="{B025F937-C7B1-47D3-B67F-A62EFF666E3E}">
          <x14:id>{117CA9D6-5A83-48D9-A911-F094680661BE}</x14:id>
        </ext>
      </extLst>
    </cfRule>
  </conditionalFormatting>
  <conditionalFormatting sqref="C33:D33">
    <cfRule type="dataBar" priority="10">
      <dataBar>
        <cfvo type="min"/>
        <cfvo type="max"/>
        <color rgb="FF008AEF"/>
      </dataBar>
      <extLst>
        <ext xmlns:x14="http://schemas.microsoft.com/office/spreadsheetml/2009/9/main" uri="{B025F937-C7B1-47D3-B67F-A62EFF666E3E}">
          <x14:id>{45DF6ABA-D1C3-4B54-8F17-E65EADC5CA65}</x14:id>
        </ext>
      </extLst>
    </cfRule>
  </conditionalFormatting>
  <conditionalFormatting sqref="C34:D34">
    <cfRule type="dataBar" priority="9">
      <dataBar>
        <cfvo type="min"/>
        <cfvo type="max"/>
        <color rgb="FF008AEF"/>
      </dataBar>
      <extLst>
        <ext xmlns:x14="http://schemas.microsoft.com/office/spreadsheetml/2009/9/main" uri="{B025F937-C7B1-47D3-B67F-A62EFF666E3E}">
          <x14:id>{455C8A59-99BF-4ACD-991B-89FF6326FBB1}</x14:id>
        </ext>
      </extLst>
    </cfRule>
  </conditionalFormatting>
  <conditionalFormatting sqref="E3:P35">
    <cfRule type="cellIs" dxfId="5" priority="37"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694DCFD1-EFE4-41BF-A3B4-243878E9A005}">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57B89F2C-4C7A-4D3A-A809-5D112660CE9D}">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050A018-2C88-489A-9E33-33C3E7728241}">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3217E5F6-5393-4F08-86DC-09840C81510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BA693EAD-953E-4F5D-8812-D5AC7B5727E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5135189-CDB5-4447-BFEE-7ABE95A783C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29CE34F-8BC4-4A99-9FEB-D4B27C1AFA37}">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C4D83AFF-1823-46A2-8479-8F41AB22F4E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FA3DEA21-20A0-40D4-A77C-7159AD76F88E}">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1E6C800-1C79-4E27-9346-FF063597DFA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82F61A4A-1217-4C89-A0F8-54DA4A5F8CD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0403F50A-8C03-4A2B-98AB-A7BEA99ACD0C}">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363CCC44-5E60-497F-AD46-51EF95E808A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D61D0C73-496A-41F8-9D48-D92ABEE2551D}">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181114C-0A3D-4879-A9B4-8E384B7AF1CF}">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380045D-E242-4343-868E-0D16A61970AF}">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D2FA609A-1B6C-49F3-BF23-814F7A56BE2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ACA4DE80-A036-4750-ABCB-E3D9842C1055}">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3E3D5A5A-FA52-45F1-8ADF-36CCADED6AC6}">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B1787DA3-AAC4-464F-9CD7-36F1E50EEA0B}">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6F277EEA-1706-4E14-969C-2264CB2859C0}">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CAB59093-7B3A-40E3-8FC9-E54F2DBEA3B9}">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3503586A-760E-4FBB-9FA0-E8FF1CE1458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F2FA5910-4356-4F8B-AFC0-3062061F3B4E}">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B5BC909E-B7A4-47A5-AFB8-D2F7A2983569}">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DA9D10C-0A02-44CE-B69A-0E92C6270EA7}">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99345567-C722-4EDC-9A21-9A5B61DF432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10355391-F201-499E-AC16-E60F781655FF}">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117CA9D6-5A83-48D9-A911-F094680661BE}">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45DF6ABA-D1C3-4B54-8F17-E65EADC5CA65}">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455C8A59-99BF-4ACD-991B-89FF6326FBB1}">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P57"/>
  <sheetViews>
    <sheetView zoomScale="80" zoomScaleNormal="80" workbookViewId="0">
      <selection activeCell="G28" sqref="G28"/>
    </sheetView>
  </sheetViews>
  <sheetFormatPr baseColWidth="10" defaultColWidth="13" defaultRowHeight="15" x14ac:dyDescent="0.25"/>
  <cols>
    <col min="1" max="1" width="5.85546875" style="4" customWidth="1"/>
    <col min="2" max="2" width="63.7109375" style="4" customWidth="1"/>
    <col min="3" max="3" width="13" style="4"/>
    <col min="4" max="4" width="25.5703125" style="4" customWidth="1"/>
    <col min="5" max="16" width="15.5703125" style="4" customWidth="1"/>
    <col min="17" max="16384" width="13" style="4"/>
  </cols>
  <sheetData>
    <row r="1" spans="1:16" ht="61.5" customHeight="1" x14ac:dyDescent="0.25">
      <c r="A1" s="89" t="s">
        <v>1</v>
      </c>
      <c r="B1" s="1" t="s">
        <v>37</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s="7" customFormat="1" ht="15.75" thickBot="1" x14ac:dyDescent="0.3">
      <c r="A2" s="95"/>
      <c r="B2" s="1"/>
      <c r="C2" s="28">
        <v>2026</v>
      </c>
      <c r="D2" s="6" t="s">
        <v>16</v>
      </c>
      <c r="E2" s="48"/>
      <c r="F2" s="48"/>
      <c r="G2" s="48"/>
      <c r="H2" s="48"/>
      <c r="I2" s="48"/>
      <c r="J2" s="48"/>
      <c r="K2" s="48"/>
      <c r="L2" s="48"/>
      <c r="M2" s="48"/>
      <c r="N2" s="48"/>
      <c r="O2" s="48"/>
      <c r="P2" s="48"/>
    </row>
    <row r="3" spans="1:16" ht="81" customHeight="1" x14ac:dyDescent="0.25">
      <c r="A3" s="64" t="s">
        <v>18</v>
      </c>
      <c r="B3" s="8" t="s">
        <v>17</v>
      </c>
      <c r="C3" s="17">
        <v>2</v>
      </c>
      <c r="D3" s="39">
        <f>SUM(E3:P3)</f>
        <v>0</v>
      </c>
      <c r="E3" s="50"/>
      <c r="F3" s="50"/>
      <c r="G3" s="50"/>
      <c r="H3" s="50"/>
      <c r="I3" s="50"/>
      <c r="J3" s="50"/>
      <c r="K3" s="50"/>
      <c r="L3" s="50"/>
      <c r="M3" s="50"/>
      <c r="N3" s="50"/>
      <c r="O3" s="50"/>
      <c r="P3" s="50"/>
    </row>
    <row r="4" spans="1:16" ht="81" customHeight="1" x14ac:dyDescent="0.25">
      <c r="A4" s="65" t="s">
        <v>20</v>
      </c>
      <c r="B4" s="35" t="s">
        <v>19</v>
      </c>
      <c r="C4" s="17">
        <v>3</v>
      </c>
      <c r="D4" s="39">
        <f t="shared" ref="D4:D34" si="0">SUM(E4:P4)</f>
        <v>0</v>
      </c>
      <c r="E4" s="50">
        <v>0</v>
      </c>
      <c r="F4" s="50">
        <v>0</v>
      </c>
      <c r="G4" s="50">
        <v>0</v>
      </c>
      <c r="H4" s="50">
        <v>0</v>
      </c>
      <c r="I4" s="50"/>
      <c r="J4" s="50"/>
      <c r="K4" s="50"/>
      <c r="L4" s="50"/>
      <c r="M4" s="50"/>
      <c r="N4" s="50"/>
      <c r="O4" s="50"/>
      <c r="P4" s="50"/>
    </row>
    <row r="5" spans="1:16" ht="81" customHeight="1" x14ac:dyDescent="0.25">
      <c r="A5" s="66" t="s">
        <v>18</v>
      </c>
      <c r="B5" s="8" t="s">
        <v>29</v>
      </c>
      <c r="C5" s="17">
        <v>4</v>
      </c>
      <c r="D5" s="39">
        <f t="shared" si="0"/>
        <v>0</v>
      </c>
      <c r="E5" s="50"/>
      <c r="F5" s="50"/>
      <c r="G5" s="50"/>
      <c r="H5" s="50"/>
      <c r="I5" s="50"/>
      <c r="J5" s="50"/>
      <c r="K5" s="50"/>
      <c r="L5" s="50"/>
      <c r="M5" s="50"/>
      <c r="N5" s="50"/>
      <c r="O5" s="50"/>
      <c r="P5" s="50"/>
    </row>
    <row r="6" spans="1:16" ht="81" customHeight="1" x14ac:dyDescent="0.25">
      <c r="A6" s="66" t="s">
        <v>18</v>
      </c>
      <c r="B6" s="8" t="s">
        <v>33</v>
      </c>
      <c r="C6" s="17">
        <v>5</v>
      </c>
      <c r="D6" s="39">
        <f t="shared" si="0"/>
        <v>1</v>
      </c>
      <c r="E6" s="50"/>
      <c r="F6" s="50"/>
      <c r="G6" s="50">
        <v>1</v>
      </c>
      <c r="H6" s="50"/>
      <c r="I6" s="50"/>
      <c r="J6" s="50"/>
      <c r="K6" s="50"/>
      <c r="L6" s="50"/>
      <c r="M6" s="50"/>
      <c r="N6" s="50"/>
      <c r="O6" s="50"/>
      <c r="P6" s="50"/>
    </row>
    <row r="7" spans="1:16" ht="28.5" customHeight="1" x14ac:dyDescent="0.25">
      <c r="A7" s="86" t="s">
        <v>87</v>
      </c>
      <c r="B7" s="46" t="s">
        <v>59</v>
      </c>
      <c r="C7" s="17">
        <v>0</v>
      </c>
      <c r="D7" s="39">
        <f t="shared" si="0"/>
        <v>0</v>
      </c>
      <c r="E7" s="50"/>
      <c r="F7" s="50"/>
      <c r="G7" s="50"/>
      <c r="H7" s="50"/>
      <c r="I7" s="50"/>
      <c r="J7" s="50"/>
      <c r="K7" s="50"/>
      <c r="L7" s="50"/>
      <c r="M7" s="50"/>
      <c r="N7" s="50"/>
      <c r="O7" s="50"/>
      <c r="P7" s="50"/>
    </row>
    <row r="8" spans="1:16" ht="28.5" customHeight="1" x14ac:dyDescent="0.25">
      <c r="A8" s="87"/>
      <c r="B8" s="46" t="s">
        <v>74</v>
      </c>
      <c r="C8" s="17">
        <v>0</v>
      </c>
      <c r="D8" s="39">
        <f t="shared" si="0"/>
        <v>0</v>
      </c>
      <c r="E8" s="50"/>
      <c r="F8" s="50"/>
      <c r="G8" s="50"/>
      <c r="H8" s="50"/>
      <c r="I8" s="50"/>
      <c r="J8" s="50"/>
      <c r="K8" s="50"/>
      <c r="L8" s="50"/>
      <c r="M8" s="50"/>
      <c r="N8" s="50"/>
      <c r="O8" s="50"/>
      <c r="P8" s="50"/>
    </row>
    <row r="9" spans="1:16" ht="28.5" customHeight="1" x14ac:dyDescent="0.25">
      <c r="A9" s="87"/>
      <c r="B9" s="46" t="s">
        <v>60</v>
      </c>
      <c r="C9" s="17">
        <v>32</v>
      </c>
      <c r="D9" s="39">
        <f t="shared" si="0"/>
        <v>18</v>
      </c>
      <c r="E9" s="50"/>
      <c r="F9" s="50">
        <v>8</v>
      </c>
      <c r="G9" s="50">
        <v>3</v>
      </c>
      <c r="H9" s="50">
        <v>7</v>
      </c>
      <c r="I9" s="50"/>
      <c r="J9" s="50"/>
      <c r="K9" s="50"/>
      <c r="L9" s="50"/>
      <c r="M9" s="50"/>
      <c r="N9" s="50"/>
      <c r="O9" s="50"/>
      <c r="P9" s="50"/>
    </row>
    <row r="10" spans="1:16" ht="28.5" customHeight="1" x14ac:dyDescent="0.25">
      <c r="A10" s="87"/>
      <c r="B10" s="46" t="s">
        <v>61</v>
      </c>
      <c r="C10" s="17">
        <v>8</v>
      </c>
      <c r="D10" s="39">
        <f t="shared" si="0"/>
        <v>8</v>
      </c>
      <c r="E10" s="50">
        <v>8</v>
      </c>
      <c r="F10" s="50"/>
      <c r="G10" s="50"/>
      <c r="H10" s="50"/>
      <c r="I10" s="50"/>
      <c r="J10" s="50"/>
      <c r="K10" s="50"/>
      <c r="L10" s="50"/>
      <c r="M10" s="50"/>
      <c r="N10" s="50"/>
      <c r="O10" s="50"/>
      <c r="P10" s="50"/>
    </row>
    <row r="11" spans="1:16" ht="28.5" customHeight="1" x14ac:dyDescent="0.25">
      <c r="A11" s="87"/>
      <c r="B11" s="46" t="s">
        <v>62</v>
      </c>
      <c r="C11" s="17">
        <v>0</v>
      </c>
      <c r="D11" s="39">
        <f t="shared" si="0"/>
        <v>0</v>
      </c>
      <c r="E11" s="50"/>
      <c r="F11" s="50"/>
      <c r="G11" s="50"/>
      <c r="H11" s="50"/>
      <c r="I11" s="50"/>
      <c r="J11" s="50"/>
      <c r="K11" s="50"/>
      <c r="L11" s="50"/>
      <c r="M11" s="50"/>
      <c r="N11" s="50"/>
      <c r="O11" s="50"/>
      <c r="P11" s="50"/>
    </row>
    <row r="12" spans="1:16" ht="28.5" customHeight="1" x14ac:dyDescent="0.25">
      <c r="A12" s="87"/>
      <c r="B12" s="46" t="s">
        <v>63</v>
      </c>
      <c r="C12" s="17">
        <v>8</v>
      </c>
      <c r="D12" s="39">
        <f t="shared" si="0"/>
        <v>3</v>
      </c>
      <c r="E12" s="50"/>
      <c r="F12" s="50"/>
      <c r="G12" s="50">
        <v>1</v>
      </c>
      <c r="H12" s="50"/>
      <c r="I12" s="50">
        <v>2</v>
      </c>
      <c r="J12" s="50"/>
      <c r="K12" s="50"/>
      <c r="L12" s="50"/>
      <c r="M12" s="50"/>
      <c r="N12" s="50"/>
      <c r="O12" s="50"/>
      <c r="P12" s="50"/>
    </row>
    <row r="13" spans="1:16" ht="28.5" customHeight="1" x14ac:dyDescent="0.25">
      <c r="A13" s="87"/>
      <c r="B13" s="46" t="s">
        <v>64</v>
      </c>
      <c r="C13" s="17">
        <v>5</v>
      </c>
      <c r="D13" s="39">
        <f t="shared" si="0"/>
        <v>0</v>
      </c>
      <c r="E13" s="50"/>
      <c r="F13" s="50"/>
      <c r="G13" s="50"/>
      <c r="H13" s="50"/>
      <c r="I13" s="50"/>
      <c r="J13" s="50"/>
      <c r="K13" s="50"/>
      <c r="L13" s="50"/>
      <c r="M13" s="50"/>
      <c r="N13" s="50"/>
      <c r="O13" s="50"/>
      <c r="P13" s="50"/>
    </row>
    <row r="14" spans="1:16" ht="28.5" customHeight="1" x14ac:dyDescent="0.25">
      <c r="A14" s="87"/>
      <c r="B14" s="46" t="s">
        <v>65</v>
      </c>
      <c r="C14" s="17">
        <v>3</v>
      </c>
      <c r="D14" s="39">
        <f t="shared" si="0"/>
        <v>2</v>
      </c>
      <c r="E14" s="50"/>
      <c r="F14" s="50"/>
      <c r="G14" s="50"/>
      <c r="H14" s="50">
        <v>1</v>
      </c>
      <c r="I14" s="50">
        <v>1</v>
      </c>
      <c r="J14" s="50"/>
      <c r="K14" s="50"/>
      <c r="L14" s="50"/>
      <c r="M14" s="50"/>
      <c r="N14" s="50"/>
      <c r="O14" s="50"/>
      <c r="P14" s="50"/>
    </row>
    <row r="15" spans="1:16" ht="28.5" customHeight="1" x14ac:dyDescent="0.25">
      <c r="A15" s="87"/>
      <c r="B15" s="46" t="s">
        <v>66</v>
      </c>
      <c r="C15" s="17">
        <v>2</v>
      </c>
      <c r="D15" s="39">
        <f t="shared" si="0"/>
        <v>1</v>
      </c>
      <c r="E15" s="50"/>
      <c r="F15" s="50"/>
      <c r="G15" s="50"/>
      <c r="H15" s="50">
        <v>1</v>
      </c>
      <c r="I15" s="50"/>
      <c r="J15" s="50"/>
      <c r="K15" s="50"/>
      <c r="L15" s="50"/>
      <c r="M15" s="50"/>
      <c r="N15" s="50"/>
      <c r="O15" s="50"/>
      <c r="P15" s="50"/>
    </row>
    <row r="16" spans="1:16" ht="28.5" customHeight="1" x14ac:dyDescent="0.25">
      <c r="A16" s="87"/>
      <c r="B16" s="46" t="s">
        <v>67</v>
      </c>
      <c r="C16" s="17">
        <v>3</v>
      </c>
      <c r="D16" s="39">
        <f t="shared" si="0"/>
        <v>2</v>
      </c>
      <c r="E16" s="50">
        <v>1</v>
      </c>
      <c r="F16" s="50">
        <v>1</v>
      </c>
      <c r="G16" s="50"/>
      <c r="H16" s="50"/>
      <c r="I16" s="50"/>
      <c r="J16" s="50"/>
      <c r="K16" s="50"/>
      <c r="L16" s="50"/>
      <c r="M16" s="50"/>
      <c r="N16" s="50"/>
      <c r="O16" s="50"/>
      <c r="P16" s="50"/>
    </row>
    <row r="17" spans="1:16" ht="28.5" customHeight="1" x14ac:dyDescent="0.25">
      <c r="A17" s="87"/>
      <c r="B17" s="46" t="s">
        <v>68</v>
      </c>
      <c r="C17" s="17">
        <v>3</v>
      </c>
      <c r="D17" s="39">
        <f t="shared" si="0"/>
        <v>0</v>
      </c>
      <c r="E17" s="50"/>
      <c r="F17" s="50"/>
      <c r="G17" s="50"/>
      <c r="H17" s="50"/>
      <c r="I17" s="50"/>
      <c r="J17" s="50"/>
      <c r="K17" s="50"/>
      <c r="L17" s="50"/>
      <c r="M17" s="50"/>
      <c r="N17" s="50"/>
      <c r="O17" s="50"/>
      <c r="P17" s="50"/>
    </row>
    <row r="18" spans="1:16" ht="28.5" customHeight="1" x14ac:dyDescent="0.25">
      <c r="A18" s="87"/>
      <c r="B18" s="46" t="s">
        <v>69</v>
      </c>
      <c r="C18" s="17">
        <v>0</v>
      </c>
      <c r="D18" s="39">
        <f t="shared" si="0"/>
        <v>0</v>
      </c>
      <c r="E18" s="50"/>
      <c r="F18" s="50"/>
      <c r="G18" s="50"/>
      <c r="H18" s="50"/>
      <c r="I18" s="50"/>
      <c r="J18" s="50"/>
      <c r="K18" s="50"/>
      <c r="L18" s="50"/>
      <c r="M18" s="50"/>
      <c r="N18" s="50"/>
      <c r="O18" s="50"/>
      <c r="P18" s="50"/>
    </row>
    <row r="19" spans="1:16" ht="28.5" customHeight="1" x14ac:dyDescent="0.25">
      <c r="A19" s="87"/>
      <c r="B19" s="46" t="s">
        <v>70</v>
      </c>
      <c r="C19" s="17">
        <v>0</v>
      </c>
      <c r="D19" s="39">
        <f t="shared" si="0"/>
        <v>0</v>
      </c>
      <c r="E19" s="50"/>
      <c r="F19" s="50"/>
      <c r="G19" s="50"/>
      <c r="H19" s="50"/>
      <c r="I19" s="50"/>
      <c r="J19" s="50"/>
      <c r="K19" s="50"/>
      <c r="L19" s="50"/>
      <c r="M19" s="50"/>
      <c r="N19" s="50"/>
      <c r="O19" s="50"/>
      <c r="P19" s="50"/>
    </row>
    <row r="20" spans="1:16" ht="28.5" customHeight="1" x14ac:dyDescent="0.25">
      <c r="A20" s="87"/>
      <c r="B20" s="46" t="s">
        <v>71</v>
      </c>
      <c r="C20" s="17">
        <v>0</v>
      </c>
      <c r="D20" s="39">
        <f t="shared" si="0"/>
        <v>0</v>
      </c>
      <c r="E20" s="50"/>
      <c r="F20" s="50"/>
      <c r="G20" s="50"/>
      <c r="H20" s="50"/>
      <c r="I20" s="50"/>
      <c r="J20" s="50"/>
      <c r="K20" s="50"/>
      <c r="L20" s="50"/>
      <c r="M20" s="50"/>
      <c r="N20" s="50"/>
      <c r="O20" s="50"/>
      <c r="P20" s="50"/>
    </row>
    <row r="21" spans="1:16" ht="28.5" customHeight="1" x14ac:dyDescent="0.25">
      <c r="A21" s="87"/>
      <c r="B21" s="46" t="s">
        <v>72</v>
      </c>
      <c r="C21" s="17">
        <v>67</v>
      </c>
      <c r="D21" s="39">
        <f t="shared" si="0"/>
        <v>18</v>
      </c>
      <c r="E21" s="50">
        <v>17</v>
      </c>
      <c r="F21" s="50"/>
      <c r="G21" s="50">
        <v>1</v>
      </c>
      <c r="H21" s="50"/>
      <c r="I21" s="50"/>
      <c r="J21" s="50"/>
      <c r="K21" s="50"/>
      <c r="L21" s="50"/>
      <c r="M21" s="50"/>
      <c r="N21" s="50"/>
      <c r="O21" s="50"/>
      <c r="P21" s="50"/>
    </row>
    <row r="22" spans="1:16" ht="28.5" customHeight="1" x14ac:dyDescent="0.25">
      <c r="A22" s="87"/>
      <c r="B22" s="46" t="s">
        <v>73</v>
      </c>
      <c r="C22" s="17">
        <v>2</v>
      </c>
      <c r="D22" s="39">
        <f t="shared" si="0"/>
        <v>1</v>
      </c>
      <c r="E22" s="50"/>
      <c r="F22" s="50"/>
      <c r="G22" s="50">
        <v>1</v>
      </c>
      <c r="H22" s="50"/>
      <c r="I22" s="50"/>
      <c r="J22" s="50"/>
      <c r="K22" s="50"/>
      <c r="L22" s="50"/>
      <c r="M22" s="50"/>
      <c r="N22" s="50"/>
      <c r="O22" s="50"/>
      <c r="P22" s="50"/>
    </row>
    <row r="23" spans="1:16" ht="24" customHeight="1" x14ac:dyDescent="0.25">
      <c r="A23" s="87"/>
      <c r="B23" s="58" t="s">
        <v>75</v>
      </c>
      <c r="C23" s="17">
        <v>2</v>
      </c>
      <c r="D23" s="39">
        <f t="shared" si="0"/>
        <v>2</v>
      </c>
      <c r="E23" s="50"/>
      <c r="F23" s="50">
        <v>1</v>
      </c>
      <c r="G23" s="50">
        <v>1</v>
      </c>
      <c r="H23" s="50"/>
      <c r="I23" s="50"/>
      <c r="J23" s="50"/>
      <c r="K23" s="50"/>
      <c r="L23" s="50"/>
      <c r="M23" s="50"/>
      <c r="N23" s="50"/>
      <c r="O23" s="50"/>
      <c r="P23" s="50"/>
    </row>
    <row r="24" spans="1:16" ht="24" customHeight="1" x14ac:dyDescent="0.25">
      <c r="A24" s="87"/>
      <c r="B24" s="58" t="s">
        <v>76</v>
      </c>
      <c r="C24" s="17">
        <v>2</v>
      </c>
      <c r="D24" s="39">
        <f t="shared" si="0"/>
        <v>0</v>
      </c>
      <c r="E24" s="50"/>
      <c r="F24" s="50"/>
      <c r="G24" s="50"/>
      <c r="H24" s="50"/>
      <c r="I24" s="50"/>
      <c r="J24" s="50"/>
      <c r="K24" s="50"/>
      <c r="L24" s="50"/>
      <c r="M24" s="50"/>
      <c r="N24" s="50"/>
      <c r="O24" s="50"/>
      <c r="P24" s="50"/>
    </row>
    <row r="25" spans="1:16" ht="24" customHeight="1" x14ac:dyDescent="0.25">
      <c r="A25" s="87"/>
      <c r="B25" s="58" t="s">
        <v>77</v>
      </c>
      <c r="C25" s="17">
        <v>2</v>
      </c>
      <c r="D25" s="39">
        <f t="shared" si="0"/>
        <v>0</v>
      </c>
      <c r="E25" s="50"/>
      <c r="F25" s="50"/>
      <c r="G25" s="50"/>
      <c r="H25" s="50"/>
      <c r="I25" s="50"/>
      <c r="J25" s="50"/>
      <c r="K25" s="50"/>
      <c r="L25" s="50"/>
      <c r="M25" s="50"/>
      <c r="N25" s="50"/>
      <c r="O25" s="50"/>
      <c r="P25" s="50"/>
    </row>
    <row r="26" spans="1:16" ht="24" customHeight="1" x14ac:dyDescent="0.25">
      <c r="A26" s="87"/>
      <c r="B26" s="58" t="s">
        <v>78</v>
      </c>
      <c r="C26" s="17">
        <v>2</v>
      </c>
      <c r="D26" s="39">
        <f t="shared" si="0"/>
        <v>0</v>
      </c>
      <c r="E26" s="50"/>
      <c r="F26" s="50"/>
      <c r="G26" s="50"/>
      <c r="H26" s="50"/>
      <c r="I26" s="50"/>
      <c r="J26" s="50"/>
      <c r="K26" s="50"/>
      <c r="L26" s="50"/>
      <c r="M26" s="50"/>
      <c r="N26" s="50"/>
      <c r="O26" s="50"/>
      <c r="P26" s="50"/>
    </row>
    <row r="27" spans="1:16" ht="24" customHeight="1" x14ac:dyDescent="0.25">
      <c r="A27" s="87"/>
      <c r="B27" s="58" t="s">
        <v>79</v>
      </c>
      <c r="C27" s="17">
        <v>2</v>
      </c>
      <c r="D27" s="39">
        <f t="shared" si="0"/>
        <v>0</v>
      </c>
      <c r="E27" s="50"/>
      <c r="F27" s="50"/>
      <c r="G27" s="50"/>
      <c r="H27" s="50"/>
      <c r="I27" s="50"/>
      <c r="J27" s="50"/>
      <c r="K27" s="50"/>
      <c r="L27" s="50"/>
      <c r="M27" s="50"/>
      <c r="N27" s="50"/>
      <c r="O27" s="50"/>
      <c r="P27" s="50"/>
    </row>
    <row r="28" spans="1:16" ht="24" customHeight="1" x14ac:dyDescent="0.25">
      <c r="A28" s="87"/>
      <c r="B28" s="58" t="s">
        <v>80</v>
      </c>
      <c r="C28" s="17">
        <v>1</v>
      </c>
      <c r="D28" s="39">
        <f t="shared" si="0"/>
        <v>0</v>
      </c>
      <c r="E28" s="50"/>
      <c r="F28" s="50"/>
      <c r="G28" s="50"/>
      <c r="H28" s="50"/>
      <c r="I28" s="50"/>
      <c r="J28" s="50"/>
      <c r="K28" s="50"/>
      <c r="L28" s="50"/>
      <c r="M28" s="50"/>
      <c r="N28" s="50"/>
      <c r="O28" s="50"/>
      <c r="P28" s="50"/>
    </row>
    <row r="29" spans="1:16" ht="24" customHeight="1" x14ac:dyDescent="0.25">
      <c r="A29" s="87"/>
      <c r="B29" s="58" t="s">
        <v>81</v>
      </c>
      <c r="C29" s="17">
        <v>1</v>
      </c>
      <c r="D29" s="39">
        <f t="shared" si="0"/>
        <v>0</v>
      </c>
      <c r="E29" s="50"/>
      <c r="F29" s="50"/>
      <c r="G29" s="50"/>
      <c r="H29" s="50"/>
      <c r="I29" s="50"/>
      <c r="J29" s="50"/>
      <c r="K29" s="50"/>
      <c r="L29" s="50"/>
      <c r="M29" s="50"/>
      <c r="N29" s="50"/>
      <c r="O29" s="50"/>
      <c r="P29" s="50"/>
    </row>
    <row r="30" spans="1:16" ht="24" customHeight="1" x14ac:dyDescent="0.25">
      <c r="A30" s="87"/>
      <c r="B30" s="58" t="s">
        <v>82</v>
      </c>
      <c r="C30" s="17">
        <v>1</v>
      </c>
      <c r="D30" s="39">
        <f t="shared" si="0"/>
        <v>0</v>
      </c>
      <c r="E30" s="50"/>
      <c r="F30" s="50"/>
      <c r="G30" s="50"/>
      <c r="H30" s="50"/>
      <c r="I30" s="50"/>
      <c r="J30" s="50"/>
      <c r="K30" s="50"/>
      <c r="L30" s="50"/>
      <c r="M30" s="50"/>
      <c r="N30" s="50"/>
      <c r="O30" s="50"/>
      <c r="P30" s="50"/>
    </row>
    <row r="31" spans="1:16" ht="24" customHeight="1" x14ac:dyDescent="0.25">
      <c r="A31" s="87"/>
      <c r="B31" s="58" t="s">
        <v>83</v>
      </c>
      <c r="C31" s="17">
        <v>1</v>
      </c>
      <c r="D31" s="39">
        <f t="shared" si="0"/>
        <v>0</v>
      </c>
      <c r="E31" s="50"/>
      <c r="F31" s="50"/>
      <c r="G31" s="50"/>
      <c r="H31" s="50"/>
      <c r="I31" s="50"/>
      <c r="J31" s="50"/>
      <c r="K31" s="50"/>
      <c r="L31" s="50"/>
      <c r="M31" s="50"/>
      <c r="N31" s="50"/>
      <c r="O31" s="50"/>
      <c r="P31" s="50"/>
    </row>
    <row r="32" spans="1:16" ht="24" customHeight="1" x14ac:dyDescent="0.25">
      <c r="A32" s="87"/>
      <c r="B32" s="58" t="s">
        <v>84</v>
      </c>
      <c r="C32" s="17">
        <v>1</v>
      </c>
      <c r="D32" s="39">
        <f t="shared" si="0"/>
        <v>0</v>
      </c>
      <c r="E32" s="50"/>
      <c r="F32" s="50"/>
      <c r="G32" s="50"/>
      <c r="H32" s="50"/>
      <c r="I32" s="50"/>
      <c r="J32" s="50"/>
      <c r="K32" s="50"/>
      <c r="L32" s="50"/>
      <c r="M32" s="50"/>
      <c r="N32" s="50"/>
      <c r="O32" s="50"/>
      <c r="P32" s="50"/>
    </row>
    <row r="33" spans="1:16" ht="24" customHeight="1" x14ac:dyDescent="0.25">
      <c r="A33" s="87"/>
      <c r="B33" s="58" t="s">
        <v>85</v>
      </c>
      <c r="C33" s="17">
        <v>1</v>
      </c>
      <c r="D33" s="39">
        <f t="shared" si="0"/>
        <v>0</v>
      </c>
      <c r="E33" s="50"/>
      <c r="F33" s="50"/>
      <c r="G33" s="50"/>
      <c r="H33" s="50"/>
      <c r="I33" s="50"/>
      <c r="J33" s="50"/>
      <c r="K33" s="50"/>
      <c r="L33" s="50"/>
      <c r="M33" s="50"/>
      <c r="N33" s="50"/>
      <c r="O33" s="50"/>
      <c r="P33" s="50"/>
    </row>
    <row r="34" spans="1:16" ht="24" customHeight="1" thickBot="1" x14ac:dyDescent="0.3">
      <c r="A34" s="88"/>
      <c r="B34" s="59" t="s">
        <v>86</v>
      </c>
      <c r="C34" s="17">
        <v>1</v>
      </c>
      <c r="D34" s="63">
        <f t="shared" si="0"/>
        <v>0</v>
      </c>
      <c r="E34" s="50"/>
      <c r="F34" s="50"/>
      <c r="G34" s="50"/>
      <c r="H34" s="50"/>
      <c r="I34" s="50"/>
      <c r="J34" s="50"/>
      <c r="K34" s="50"/>
      <c r="L34" s="50"/>
      <c r="M34" s="50"/>
      <c r="N34" s="50"/>
      <c r="O34" s="50"/>
      <c r="P34" s="50"/>
    </row>
    <row r="35" spans="1:16" x14ac:dyDescent="0.25">
      <c r="C35" s="52">
        <f>SUM(C3:C34)</f>
        <v>164</v>
      </c>
      <c r="D35" s="52">
        <f>SUM(D3:D34)</f>
        <v>56</v>
      </c>
      <c r="E35" s="62"/>
      <c r="F35" s="62"/>
      <c r="G35" s="62"/>
      <c r="H35" s="62"/>
      <c r="I35" s="62"/>
      <c r="J35" s="62"/>
      <c r="K35" s="62"/>
      <c r="L35" s="62"/>
      <c r="M35" s="62"/>
      <c r="N35" s="62"/>
      <c r="O35" s="62"/>
      <c r="P35" s="62"/>
    </row>
    <row r="36" spans="1:16" x14ac:dyDescent="0.25">
      <c r="D36" s="20">
        <f>D35/C35</f>
        <v>0.34146341463414637</v>
      </c>
    </row>
    <row r="42" spans="1:16" ht="15.75" x14ac:dyDescent="0.25">
      <c r="C42" s="60"/>
    </row>
    <row r="43" spans="1:16" x14ac:dyDescent="0.25">
      <c r="C43" s="61"/>
    </row>
    <row r="44" spans="1:16" x14ac:dyDescent="0.25">
      <c r="C44" s="61"/>
    </row>
    <row r="45" spans="1:16" x14ac:dyDescent="0.25">
      <c r="C45" s="61"/>
    </row>
    <row r="46" spans="1:16" x14ac:dyDescent="0.25">
      <c r="C46" s="61"/>
    </row>
    <row r="47" spans="1:16" x14ac:dyDescent="0.25">
      <c r="C47" s="61"/>
    </row>
    <row r="48" spans="1:16" x14ac:dyDescent="0.25">
      <c r="C48" s="61"/>
    </row>
    <row r="49" spans="3:3" x14ac:dyDescent="0.25">
      <c r="C49" s="61"/>
    </row>
    <row r="50" spans="3:3" x14ac:dyDescent="0.25">
      <c r="C50" s="61"/>
    </row>
    <row r="51" spans="3:3" x14ac:dyDescent="0.25">
      <c r="C51" s="61"/>
    </row>
    <row r="52" spans="3:3" x14ac:dyDescent="0.25">
      <c r="C52" s="61"/>
    </row>
    <row r="53" spans="3:3" x14ac:dyDescent="0.25">
      <c r="C53" s="61"/>
    </row>
    <row r="54" spans="3:3" x14ac:dyDescent="0.25">
      <c r="C54" s="61"/>
    </row>
    <row r="55" spans="3:3" x14ac:dyDescent="0.25">
      <c r="C55" s="61"/>
    </row>
    <row r="56" spans="3:3" x14ac:dyDescent="0.25">
      <c r="C56" s="61"/>
    </row>
    <row r="57" spans="3:3" x14ac:dyDescent="0.25">
      <c r="C57" s="61"/>
    </row>
  </sheetData>
  <sheetProtection algorithmName="SHA-512" hashValue="xTR2gKieBJpN/Q1hwdu0Ek0/sRz79f8R1qC2EbFXSl6qq46DJFF3/xBJ+7vnS1wqrTpZrpDvdea6STdwDoxZmA==" saltValue="KDZaMxr/Bp1K8R6QLMLXdw==" spinCount="100000" sheet="1" objects="1" scenarios="1" autoFilter="0"/>
  <mergeCells count="2">
    <mergeCell ref="A7:A34"/>
    <mergeCell ref="A1:A2"/>
  </mergeCells>
  <conditionalFormatting sqref="C42">
    <cfRule type="duplicateValues" dxfId="4" priority="1"/>
  </conditionalFormatting>
  <conditionalFormatting sqref="C3:D3">
    <cfRule type="dataBar" priority="33">
      <dataBar>
        <cfvo type="min"/>
        <cfvo type="max"/>
        <color rgb="FF008AEF"/>
      </dataBar>
      <extLst>
        <ext xmlns:x14="http://schemas.microsoft.com/office/spreadsheetml/2009/9/main" uri="{B025F937-C7B1-47D3-B67F-A62EFF666E3E}">
          <x14:id>{4CFCCAAC-A117-455A-B3EF-8DBABB15D7B1}</x14:id>
        </ext>
      </extLst>
    </cfRule>
  </conditionalFormatting>
  <conditionalFormatting sqref="C4:D4">
    <cfRule type="dataBar" priority="32">
      <dataBar>
        <cfvo type="min"/>
        <cfvo type="max"/>
        <color rgb="FF008AEF"/>
      </dataBar>
      <extLst>
        <ext xmlns:x14="http://schemas.microsoft.com/office/spreadsheetml/2009/9/main" uri="{B025F937-C7B1-47D3-B67F-A62EFF666E3E}">
          <x14:id>{524422D9-F816-4FCA-A9F7-91B1AF721742}</x14:id>
        </ext>
      </extLst>
    </cfRule>
  </conditionalFormatting>
  <conditionalFormatting sqref="C5:D5">
    <cfRule type="dataBar" priority="31">
      <dataBar>
        <cfvo type="min"/>
        <cfvo type="max"/>
        <color rgb="FF008AEF"/>
      </dataBar>
      <extLst>
        <ext xmlns:x14="http://schemas.microsoft.com/office/spreadsheetml/2009/9/main" uri="{B025F937-C7B1-47D3-B67F-A62EFF666E3E}">
          <x14:id>{5F31E2E4-FFEA-4C14-A9E5-E8B509644E88}</x14:id>
        </ext>
      </extLst>
    </cfRule>
  </conditionalFormatting>
  <conditionalFormatting sqref="C6:D6">
    <cfRule type="dataBar" priority="30">
      <dataBar>
        <cfvo type="min"/>
        <cfvo type="max"/>
        <color rgb="FF008AEF"/>
      </dataBar>
      <extLst>
        <ext xmlns:x14="http://schemas.microsoft.com/office/spreadsheetml/2009/9/main" uri="{B025F937-C7B1-47D3-B67F-A62EFF666E3E}">
          <x14:id>{2CE065D7-6B1C-453B-B0E1-7EFCA247F5D5}</x14:id>
        </ext>
      </extLst>
    </cfRule>
  </conditionalFormatting>
  <conditionalFormatting sqref="C7:D7">
    <cfRule type="dataBar" priority="29">
      <dataBar>
        <cfvo type="min"/>
        <cfvo type="max"/>
        <color rgb="FF008AEF"/>
      </dataBar>
      <extLst>
        <ext xmlns:x14="http://schemas.microsoft.com/office/spreadsheetml/2009/9/main" uri="{B025F937-C7B1-47D3-B67F-A62EFF666E3E}">
          <x14:id>{B4070548-6044-429B-A528-9178E5A71BA0}</x14:id>
        </ext>
      </extLst>
    </cfRule>
  </conditionalFormatting>
  <conditionalFormatting sqref="C8:D8">
    <cfRule type="dataBar" priority="28">
      <dataBar>
        <cfvo type="min"/>
        <cfvo type="max"/>
        <color rgb="FF008AEF"/>
      </dataBar>
      <extLst>
        <ext xmlns:x14="http://schemas.microsoft.com/office/spreadsheetml/2009/9/main" uri="{B025F937-C7B1-47D3-B67F-A62EFF666E3E}">
          <x14:id>{4E95944A-D215-49AD-A67F-2AC6F83ADB4A}</x14:id>
        </ext>
      </extLst>
    </cfRule>
  </conditionalFormatting>
  <conditionalFormatting sqref="C9:D9">
    <cfRule type="dataBar" priority="27">
      <dataBar>
        <cfvo type="min"/>
        <cfvo type="max"/>
        <color rgb="FF008AEF"/>
      </dataBar>
      <extLst>
        <ext xmlns:x14="http://schemas.microsoft.com/office/spreadsheetml/2009/9/main" uri="{B025F937-C7B1-47D3-B67F-A62EFF666E3E}">
          <x14:id>{DD7687B1-F4F8-4B40-959D-3C71C1A2FBAD}</x14:id>
        </ext>
      </extLst>
    </cfRule>
  </conditionalFormatting>
  <conditionalFormatting sqref="C10:D10">
    <cfRule type="dataBar" priority="26">
      <dataBar>
        <cfvo type="min"/>
        <cfvo type="max"/>
        <color rgb="FF008AEF"/>
      </dataBar>
      <extLst>
        <ext xmlns:x14="http://schemas.microsoft.com/office/spreadsheetml/2009/9/main" uri="{B025F937-C7B1-47D3-B67F-A62EFF666E3E}">
          <x14:id>{D17D428A-19FB-466B-A11C-5CED2E9526FD}</x14:id>
        </ext>
      </extLst>
    </cfRule>
  </conditionalFormatting>
  <conditionalFormatting sqref="C11:D11">
    <cfRule type="dataBar" priority="25">
      <dataBar>
        <cfvo type="min"/>
        <cfvo type="max"/>
        <color rgb="FF008AEF"/>
      </dataBar>
      <extLst>
        <ext xmlns:x14="http://schemas.microsoft.com/office/spreadsheetml/2009/9/main" uri="{B025F937-C7B1-47D3-B67F-A62EFF666E3E}">
          <x14:id>{9F1E3298-BCDE-4A6E-B0AA-D9899A5102E4}</x14:id>
        </ext>
      </extLst>
    </cfRule>
  </conditionalFormatting>
  <conditionalFormatting sqref="C12:D12">
    <cfRule type="dataBar" priority="24">
      <dataBar>
        <cfvo type="min"/>
        <cfvo type="max"/>
        <color rgb="FF008AEF"/>
      </dataBar>
      <extLst>
        <ext xmlns:x14="http://schemas.microsoft.com/office/spreadsheetml/2009/9/main" uri="{B025F937-C7B1-47D3-B67F-A62EFF666E3E}">
          <x14:id>{01677264-4F9B-4F98-AB57-C787873F7F9D}</x14:id>
        </ext>
      </extLst>
    </cfRule>
  </conditionalFormatting>
  <conditionalFormatting sqref="C13:D13">
    <cfRule type="dataBar" priority="23">
      <dataBar>
        <cfvo type="min"/>
        <cfvo type="max"/>
        <color rgb="FF008AEF"/>
      </dataBar>
      <extLst>
        <ext xmlns:x14="http://schemas.microsoft.com/office/spreadsheetml/2009/9/main" uri="{B025F937-C7B1-47D3-B67F-A62EFF666E3E}">
          <x14:id>{F678A5A3-A981-4402-AF2D-9B98FEE6161A}</x14:id>
        </ext>
      </extLst>
    </cfRule>
  </conditionalFormatting>
  <conditionalFormatting sqref="C14:D14">
    <cfRule type="dataBar" priority="22">
      <dataBar>
        <cfvo type="min"/>
        <cfvo type="max"/>
        <color rgb="FF008AEF"/>
      </dataBar>
      <extLst>
        <ext xmlns:x14="http://schemas.microsoft.com/office/spreadsheetml/2009/9/main" uri="{B025F937-C7B1-47D3-B67F-A62EFF666E3E}">
          <x14:id>{6BED14D4-5BED-40F6-A6AD-EA6DD4B8736B}</x14:id>
        </ext>
      </extLst>
    </cfRule>
  </conditionalFormatting>
  <conditionalFormatting sqref="C15:D15">
    <cfRule type="dataBar" priority="21">
      <dataBar>
        <cfvo type="min"/>
        <cfvo type="max"/>
        <color rgb="FF008AEF"/>
      </dataBar>
      <extLst>
        <ext xmlns:x14="http://schemas.microsoft.com/office/spreadsheetml/2009/9/main" uri="{B025F937-C7B1-47D3-B67F-A62EFF666E3E}">
          <x14:id>{FF445513-BE38-42FB-BEE8-AD7838D9B5FB}</x14:id>
        </ext>
      </extLst>
    </cfRule>
  </conditionalFormatting>
  <conditionalFormatting sqref="C16:D16">
    <cfRule type="dataBar" priority="20">
      <dataBar>
        <cfvo type="min"/>
        <cfvo type="max"/>
        <color rgb="FF008AEF"/>
      </dataBar>
      <extLst>
        <ext xmlns:x14="http://schemas.microsoft.com/office/spreadsheetml/2009/9/main" uri="{B025F937-C7B1-47D3-B67F-A62EFF666E3E}">
          <x14:id>{EC673FB6-931F-45D0-BE33-D2542708EF06}</x14:id>
        </ext>
      </extLst>
    </cfRule>
  </conditionalFormatting>
  <conditionalFormatting sqref="C17:D17">
    <cfRule type="dataBar" priority="19">
      <dataBar>
        <cfvo type="min"/>
        <cfvo type="max"/>
        <color rgb="FF008AEF"/>
      </dataBar>
      <extLst>
        <ext xmlns:x14="http://schemas.microsoft.com/office/spreadsheetml/2009/9/main" uri="{B025F937-C7B1-47D3-B67F-A62EFF666E3E}">
          <x14:id>{E4BEE29C-8B6C-43DC-9670-91547395079F}</x14:id>
        </ext>
      </extLst>
    </cfRule>
  </conditionalFormatting>
  <conditionalFormatting sqref="C18:D18">
    <cfRule type="dataBar" priority="18">
      <dataBar>
        <cfvo type="min"/>
        <cfvo type="max"/>
        <color rgb="FF008AEF"/>
      </dataBar>
      <extLst>
        <ext xmlns:x14="http://schemas.microsoft.com/office/spreadsheetml/2009/9/main" uri="{B025F937-C7B1-47D3-B67F-A62EFF666E3E}">
          <x14:id>{A5882C4E-07A3-4FCF-8432-1192638B1F76}</x14:id>
        </ext>
      </extLst>
    </cfRule>
  </conditionalFormatting>
  <conditionalFormatting sqref="C19:D19">
    <cfRule type="dataBar" priority="17">
      <dataBar>
        <cfvo type="min"/>
        <cfvo type="max"/>
        <color rgb="FF008AEF"/>
      </dataBar>
      <extLst>
        <ext xmlns:x14="http://schemas.microsoft.com/office/spreadsheetml/2009/9/main" uri="{B025F937-C7B1-47D3-B67F-A62EFF666E3E}">
          <x14:id>{6E196481-EE6B-4923-A11B-F5CE9FFC3BEE}</x14:id>
        </ext>
      </extLst>
    </cfRule>
  </conditionalFormatting>
  <conditionalFormatting sqref="C20:D20">
    <cfRule type="dataBar" priority="16">
      <dataBar>
        <cfvo type="min"/>
        <cfvo type="max"/>
        <color rgb="FF008AEF"/>
      </dataBar>
      <extLst>
        <ext xmlns:x14="http://schemas.microsoft.com/office/spreadsheetml/2009/9/main" uri="{B025F937-C7B1-47D3-B67F-A62EFF666E3E}">
          <x14:id>{AECF4FD1-227D-41FF-99D5-D1A296DBE717}</x14:id>
        </ext>
      </extLst>
    </cfRule>
  </conditionalFormatting>
  <conditionalFormatting sqref="C21:D21">
    <cfRule type="dataBar" priority="15">
      <dataBar>
        <cfvo type="min"/>
        <cfvo type="max"/>
        <color rgb="FF008AEF"/>
      </dataBar>
      <extLst>
        <ext xmlns:x14="http://schemas.microsoft.com/office/spreadsheetml/2009/9/main" uri="{B025F937-C7B1-47D3-B67F-A62EFF666E3E}">
          <x14:id>{D9A0D143-F707-4AFB-BDB1-023FC4E6DA6B}</x14:id>
        </ext>
      </extLst>
    </cfRule>
  </conditionalFormatting>
  <conditionalFormatting sqref="C22:D22">
    <cfRule type="dataBar" priority="14">
      <dataBar>
        <cfvo type="min"/>
        <cfvo type="max"/>
        <color rgb="FF008AEF"/>
      </dataBar>
      <extLst>
        <ext xmlns:x14="http://schemas.microsoft.com/office/spreadsheetml/2009/9/main" uri="{B025F937-C7B1-47D3-B67F-A62EFF666E3E}">
          <x14:id>{E8D41646-26CB-4181-896A-5BA105C1DDCD}</x14:id>
        </ext>
      </extLst>
    </cfRule>
  </conditionalFormatting>
  <conditionalFormatting sqref="C23:D23">
    <cfRule type="dataBar" priority="13">
      <dataBar>
        <cfvo type="min"/>
        <cfvo type="max"/>
        <color rgb="FF008AEF"/>
      </dataBar>
      <extLst>
        <ext xmlns:x14="http://schemas.microsoft.com/office/spreadsheetml/2009/9/main" uri="{B025F937-C7B1-47D3-B67F-A62EFF666E3E}">
          <x14:id>{C22294ED-40BC-4F0C-A755-39AE8CA65D56}</x14:id>
        </ext>
      </extLst>
    </cfRule>
  </conditionalFormatting>
  <conditionalFormatting sqref="C24:D24">
    <cfRule type="dataBar" priority="12">
      <dataBar>
        <cfvo type="min"/>
        <cfvo type="max"/>
        <color rgb="FF008AEF"/>
      </dataBar>
      <extLst>
        <ext xmlns:x14="http://schemas.microsoft.com/office/spreadsheetml/2009/9/main" uri="{B025F937-C7B1-47D3-B67F-A62EFF666E3E}">
          <x14:id>{E964ABA8-0EB3-4EC1-ABAB-78575EBCD060}</x14:id>
        </ext>
      </extLst>
    </cfRule>
  </conditionalFormatting>
  <conditionalFormatting sqref="C25:D25">
    <cfRule type="dataBar" priority="11">
      <dataBar>
        <cfvo type="min"/>
        <cfvo type="max"/>
        <color rgb="FF008AEF"/>
      </dataBar>
      <extLst>
        <ext xmlns:x14="http://schemas.microsoft.com/office/spreadsheetml/2009/9/main" uri="{B025F937-C7B1-47D3-B67F-A62EFF666E3E}">
          <x14:id>{84A6CFC8-0B77-454C-835E-9EF446A6762D}</x14:id>
        </ext>
      </extLst>
    </cfRule>
  </conditionalFormatting>
  <conditionalFormatting sqref="C26:D26">
    <cfRule type="dataBar" priority="10">
      <dataBar>
        <cfvo type="min"/>
        <cfvo type="max"/>
        <color rgb="FF008AEF"/>
      </dataBar>
      <extLst>
        <ext xmlns:x14="http://schemas.microsoft.com/office/spreadsheetml/2009/9/main" uri="{B025F937-C7B1-47D3-B67F-A62EFF666E3E}">
          <x14:id>{3ED92996-131B-443D-97ED-E67BC9ABF1E9}</x14:id>
        </ext>
      </extLst>
    </cfRule>
  </conditionalFormatting>
  <conditionalFormatting sqref="C27:D27">
    <cfRule type="dataBar" priority="9">
      <dataBar>
        <cfvo type="min"/>
        <cfvo type="max"/>
        <color rgb="FF008AEF"/>
      </dataBar>
      <extLst>
        <ext xmlns:x14="http://schemas.microsoft.com/office/spreadsheetml/2009/9/main" uri="{B025F937-C7B1-47D3-B67F-A62EFF666E3E}">
          <x14:id>{5F380237-321C-48D2-80AA-7B672738CD75}</x14:id>
        </ext>
      </extLst>
    </cfRule>
  </conditionalFormatting>
  <conditionalFormatting sqref="C28:D28">
    <cfRule type="dataBar" priority="8">
      <dataBar>
        <cfvo type="min"/>
        <cfvo type="max"/>
        <color rgb="FF008AEF"/>
      </dataBar>
      <extLst>
        <ext xmlns:x14="http://schemas.microsoft.com/office/spreadsheetml/2009/9/main" uri="{B025F937-C7B1-47D3-B67F-A62EFF666E3E}">
          <x14:id>{A2448ABC-1F35-430C-9CDF-F72C42C9DBBA}</x14:id>
        </ext>
      </extLst>
    </cfRule>
  </conditionalFormatting>
  <conditionalFormatting sqref="C29:D29">
    <cfRule type="dataBar" priority="7">
      <dataBar>
        <cfvo type="min"/>
        <cfvo type="max"/>
        <color rgb="FF008AEF"/>
      </dataBar>
      <extLst>
        <ext xmlns:x14="http://schemas.microsoft.com/office/spreadsheetml/2009/9/main" uri="{B025F937-C7B1-47D3-B67F-A62EFF666E3E}">
          <x14:id>{39FC8C84-6DE4-451A-B683-35290A49CD7E}</x14:id>
        </ext>
      </extLst>
    </cfRule>
  </conditionalFormatting>
  <conditionalFormatting sqref="C30:D30">
    <cfRule type="dataBar" priority="6">
      <dataBar>
        <cfvo type="min"/>
        <cfvo type="max"/>
        <color rgb="FF008AEF"/>
      </dataBar>
      <extLst>
        <ext xmlns:x14="http://schemas.microsoft.com/office/spreadsheetml/2009/9/main" uri="{B025F937-C7B1-47D3-B67F-A62EFF666E3E}">
          <x14:id>{7BF1A1D1-82F7-4CE5-9E3C-8A53F96BC01F}</x14:id>
        </ext>
      </extLst>
    </cfRule>
  </conditionalFormatting>
  <conditionalFormatting sqref="C31:D31">
    <cfRule type="dataBar" priority="5">
      <dataBar>
        <cfvo type="min"/>
        <cfvo type="max"/>
        <color rgb="FF008AEF"/>
      </dataBar>
      <extLst>
        <ext xmlns:x14="http://schemas.microsoft.com/office/spreadsheetml/2009/9/main" uri="{B025F937-C7B1-47D3-B67F-A62EFF666E3E}">
          <x14:id>{BB2CC250-34B8-46F6-A950-4B8289D37FAD}</x14:id>
        </ext>
      </extLst>
    </cfRule>
  </conditionalFormatting>
  <conditionalFormatting sqref="C32:D32">
    <cfRule type="dataBar" priority="4">
      <dataBar>
        <cfvo type="min"/>
        <cfvo type="max"/>
        <color rgb="FF008AEF"/>
      </dataBar>
      <extLst>
        <ext xmlns:x14="http://schemas.microsoft.com/office/spreadsheetml/2009/9/main" uri="{B025F937-C7B1-47D3-B67F-A62EFF666E3E}">
          <x14:id>{FAD391A0-2125-4C84-9209-84D8914D6E9E}</x14:id>
        </ext>
      </extLst>
    </cfRule>
  </conditionalFormatting>
  <conditionalFormatting sqref="C33:D33">
    <cfRule type="dataBar" priority="3">
      <dataBar>
        <cfvo type="min"/>
        <cfvo type="max"/>
        <color rgb="FF008AEF"/>
      </dataBar>
      <extLst>
        <ext xmlns:x14="http://schemas.microsoft.com/office/spreadsheetml/2009/9/main" uri="{B025F937-C7B1-47D3-B67F-A62EFF666E3E}">
          <x14:id>{D9D0EE6C-036A-4E97-87B7-7EFCB44BD86B}</x14:id>
        </ext>
      </extLst>
    </cfRule>
  </conditionalFormatting>
  <conditionalFormatting sqref="C34:D34">
    <cfRule type="dataBar" priority="2">
      <dataBar>
        <cfvo type="min"/>
        <cfvo type="max"/>
        <color rgb="FF008AEF"/>
      </dataBar>
      <extLst>
        <ext xmlns:x14="http://schemas.microsoft.com/office/spreadsheetml/2009/9/main" uri="{B025F937-C7B1-47D3-B67F-A62EFF666E3E}">
          <x14:id>{BD59E367-16C7-487F-9CE0-CE43D86CA21C}</x14:id>
        </ext>
      </extLst>
    </cfRule>
  </conditionalFormatting>
  <conditionalFormatting sqref="E3:P35">
    <cfRule type="cellIs" dxfId="3" priority="35"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CFCCAAC-A117-455A-B3EF-8DBABB15D7B1}">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524422D9-F816-4FCA-A9F7-91B1AF721742}">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5F31E2E4-FFEA-4C14-A9E5-E8B509644E88}">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2CE065D7-6B1C-453B-B0E1-7EFCA247F5D5}">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B4070548-6044-429B-A528-9178E5A71BA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4E95944A-D215-49AD-A67F-2AC6F83ADB4A}">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D7687B1-F4F8-4B40-959D-3C71C1A2FBAD}">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17D428A-19FB-466B-A11C-5CED2E9526FD}">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F1E3298-BCDE-4A6E-B0AA-D9899A5102E4}">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01677264-4F9B-4F98-AB57-C787873F7F9D}">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F678A5A3-A981-4402-AF2D-9B98FEE6161A}">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6BED14D4-5BED-40F6-A6AD-EA6DD4B8736B}">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FF445513-BE38-42FB-BEE8-AD7838D9B5F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EC673FB6-931F-45D0-BE33-D2542708EF0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4BEE29C-8B6C-43DC-9670-91547395079F}">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A5882C4E-07A3-4FCF-8432-1192638B1F76}">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6E196481-EE6B-4923-A11B-F5CE9FFC3BE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AECF4FD1-227D-41FF-99D5-D1A296DBE717}">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D9A0D143-F707-4AFB-BDB1-023FC4E6DA6B}">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8D41646-26CB-4181-896A-5BA105C1DDCD}">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C22294ED-40BC-4F0C-A755-39AE8CA65D56}">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E964ABA8-0EB3-4EC1-ABAB-78575EBCD060}">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84A6CFC8-0B77-454C-835E-9EF446A6762D}">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3ED92996-131B-443D-97ED-E67BC9ABF1E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5F380237-321C-48D2-80AA-7B672738CD75}">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A2448ABC-1F35-430C-9CDF-F72C42C9DBBA}">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39FC8C84-6DE4-451A-B683-35290A49CD7E}">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7BF1A1D1-82F7-4CE5-9E3C-8A53F96BC01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BB2CC250-34B8-46F6-A950-4B8289D37FA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AD391A0-2125-4C84-9209-84D8914D6E9E}">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9D0EE6C-036A-4E97-87B7-7EFCB44BD86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BD59E367-16C7-487F-9CE0-CE43D86CA21C}">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E11"/>
  <sheetViews>
    <sheetView tabSelected="1" workbookViewId="0">
      <selection activeCell="F6" sqref="F6"/>
    </sheetView>
  </sheetViews>
  <sheetFormatPr baseColWidth="10" defaultRowHeight="15" x14ac:dyDescent="0.25"/>
  <cols>
    <col min="1" max="1" width="11.28515625" customWidth="1"/>
    <col min="2" max="2" width="21.140625" customWidth="1"/>
  </cols>
  <sheetData>
    <row r="1" spans="1:5" x14ac:dyDescent="0.25">
      <c r="A1" s="98" t="s">
        <v>38</v>
      </c>
      <c r="B1" s="98"/>
      <c r="C1" s="40" t="s">
        <v>2</v>
      </c>
      <c r="D1" s="40" t="s">
        <v>57</v>
      </c>
      <c r="E1" s="40" t="s">
        <v>89</v>
      </c>
    </row>
    <row r="2" spans="1:5" x14ac:dyDescent="0.25">
      <c r="A2" s="38" t="s">
        <v>39</v>
      </c>
      <c r="B2" s="43" t="s">
        <v>40</v>
      </c>
      <c r="C2" s="41">
        <f>'D01 Carmen'!C38</f>
        <v>106</v>
      </c>
      <c r="D2" s="42">
        <f>'D01 Carmen'!D38</f>
        <v>52</v>
      </c>
      <c r="E2" s="81">
        <f>'D01 Carmen'!D39</f>
        <v>0.49056603773584906</v>
      </c>
    </row>
    <row r="3" spans="1:5" x14ac:dyDescent="0.25">
      <c r="A3" s="38" t="s">
        <v>41</v>
      </c>
      <c r="B3" s="44" t="s">
        <v>42</v>
      </c>
      <c r="C3" s="42">
        <f>'D02 Merced'!C39</f>
        <v>185</v>
      </c>
      <c r="D3" s="42">
        <f>'D02 Merced'!D39</f>
        <v>70</v>
      </c>
      <c r="E3" s="81">
        <f>'D02 Merced'!D40</f>
        <v>0.3783783783783784</v>
      </c>
    </row>
    <row r="4" spans="1:5" x14ac:dyDescent="0.25">
      <c r="A4" s="38" t="s">
        <v>43</v>
      </c>
      <c r="B4" s="44" t="s">
        <v>44</v>
      </c>
      <c r="C4" s="41">
        <f>'D03 Hospital'!C37</f>
        <v>234</v>
      </c>
      <c r="D4" s="41">
        <f>'D03 Hospital'!D37</f>
        <v>112</v>
      </c>
      <c r="E4" s="81">
        <f>'D03 Hospital'!D38</f>
        <v>0.47863247863247865</v>
      </c>
    </row>
    <row r="5" spans="1:5" x14ac:dyDescent="0.25">
      <c r="A5" s="38" t="s">
        <v>45</v>
      </c>
      <c r="B5" s="44" t="s">
        <v>46</v>
      </c>
      <c r="C5" s="41">
        <f>'D04 Catedral'!C37</f>
        <v>155</v>
      </c>
      <c r="D5" s="41">
        <f>'D04 Catedral'!D37</f>
        <v>39</v>
      </c>
      <c r="E5" s="81">
        <f>'D04 Catedral'!D38</f>
        <v>0.25161290322580643</v>
      </c>
    </row>
    <row r="6" spans="1:5" x14ac:dyDescent="0.25">
      <c r="A6" s="38" t="s">
        <v>47</v>
      </c>
      <c r="B6" s="44" t="s">
        <v>55</v>
      </c>
      <c r="C6" s="42">
        <f>'D05 San Sebastián'!C35</f>
        <v>446</v>
      </c>
      <c r="D6" s="42">
        <f>'D05 San Sebastián'!D35</f>
        <v>57</v>
      </c>
      <c r="E6" s="81">
        <f>'D05 San Sebastián'!D36</f>
        <v>0.12780269058295965</v>
      </c>
    </row>
    <row r="7" spans="1:5" x14ac:dyDescent="0.25">
      <c r="A7" s="38" t="s">
        <v>48</v>
      </c>
      <c r="B7" s="43" t="s">
        <v>49</v>
      </c>
      <c r="C7" s="41">
        <f>'D06 Hatillo'!C35</f>
        <v>182</v>
      </c>
      <c r="D7" s="42">
        <f>'D06 Hatillo'!D35</f>
        <v>99</v>
      </c>
      <c r="E7" s="81">
        <f>'D06 Hatillo'!D36</f>
        <v>0.54395604395604391</v>
      </c>
    </row>
    <row r="8" spans="1:5" x14ac:dyDescent="0.25">
      <c r="A8" s="38" t="s">
        <v>50</v>
      </c>
      <c r="B8" s="43" t="s">
        <v>54</v>
      </c>
      <c r="C8" s="42">
        <f>'D07 San Fco Zapote'!C35</f>
        <v>187</v>
      </c>
      <c r="D8" s="42">
        <f>'D07 San Fco Zapote'!D35</f>
        <v>71</v>
      </c>
      <c r="E8" s="81">
        <f>'D07 San Fco Zapote'!D36</f>
        <v>0.37967914438502676</v>
      </c>
    </row>
    <row r="9" spans="1:5" x14ac:dyDescent="0.25">
      <c r="A9" s="38" t="s">
        <v>51</v>
      </c>
      <c r="B9" s="44" t="s">
        <v>52</v>
      </c>
      <c r="C9" s="42">
        <f>'D08 Pavas'!C35</f>
        <v>253</v>
      </c>
      <c r="D9" s="42">
        <f>'D08 Pavas'!D35</f>
        <v>116</v>
      </c>
      <c r="E9" s="81">
        <f>'D08 Pavas'!D36</f>
        <v>0.45849802371541504</v>
      </c>
    </row>
    <row r="10" spans="1:5" x14ac:dyDescent="0.25">
      <c r="A10" s="38" t="s">
        <v>53</v>
      </c>
      <c r="B10" s="43" t="s">
        <v>56</v>
      </c>
      <c r="C10" s="42">
        <f>'D09 Mata Red Uruca'!C35</f>
        <v>164</v>
      </c>
      <c r="D10" s="42">
        <f>'D09 Mata Red Uruca'!D35</f>
        <v>56</v>
      </c>
      <c r="E10" s="81">
        <f>'D09 Mata Red Uruca'!D36</f>
        <v>0.34146341463414637</v>
      </c>
    </row>
    <row r="11" spans="1:5" x14ac:dyDescent="0.25">
      <c r="B11" s="37" t="s">
        <v>58</v>
      </c>
      <c r="C11" s="82">
        <f>SUM(C2:C10)</f>
        <v>1912</v>
      </c>
      <c r="D11" s="82">
        <f>SUM(D2:D10)</f>
        <v>672</v>
      </c>
      <c r="E11" s="80">
        <f>D11/C11</f>
        <v>0.35146443514644349</v>
      </c>
    </row>
  </sheetData>
  <sheetProtection algorithmName="SHA-512" hashValue="2kGOU4dpt+tZmKOvFH4kcRKpafybhSBqTgkmspSpo4RpDWz0q8sz98JtE9k1v0IJCpV8nUp5ekCDlB4pKSWs1g==" saltValue="/4ON3QlcgyZzKU7k27Ls4w==" spinCount="100000" sheet="1" objects="1" scenarios="1" autoFilter="0"/>
  <mergeCells count="1">
    <mergeCell ref="A1:B1"/>
  </mergeCells>
  <conditionalFormatting sqref="C2:D2">
    <cfRule type="dataBar" priority="12">
      <dataBar>
        <cfvo type="min"/>
        <cfvo type="max"/>
        <color rgb="FF008AEF"/>
      </dataBar>
      <extLst>
        <ext xmlns:x14="http://schemas.microsoft.com/office/spreadsheetml/2009/9/main" uri="{B025F937-C7B1-47D3-B67F-A62EFF666E3E}">
          <x14:id>{6869E7F3-9316-4BE0-8ECE-D1DB2E1C67D5}</x14:id>
        </ext>
      </extLst>
    </cfRule>
  </conditionalFormatting>
  <conditionalFormatting sqref="C3:D3">
    <cfRule type="dataBar" priority="11">
      <dataBar>
        <cfvo type="min"/>
        <cfvo type="max"/>
        <color rgb="FF008AEF"/>
      </dataBar>
      <extLst>
        <ext xmlns:x14="http://schemas.microsoft.com/office/spreadsheetml/2009/9/main" uri="{B025F937-C7B1-47D3-B67F-A62EFF666E3E}">
          <x14:id>{4C301F2F-FBDE-4DAB-B3D5-93AF199CBFEB}</x14:id>
        </ext>
      </extLst>
    </cfRule>
  </conditionalFormatting>
  <conditionalFormatting sqref="C4:D4">
    <cfRule type="dataBar" priority="10">
      <dataBar>
        <cfvo type="min"/>
        <cfvo type="max"/>
        <color rgb="FF008AEF"/>
      </dataBar>
      <extLst>
        <ext xmlns:x14="http://schemas.microsoft.com/office/spreadsheetml/2009/9/main" uri="{B025F937-C7B1-47D3-B67F-A62EFF666E3E}">
          <x14:id>{3505BD56-165E-4919-954F-4BA249D8F445}</x14:id>
        </ext>
      </extLst>
    </cfRule>
  </conditionalFormatting>
  <conditionalFormatting sqref="C5:D5">
    <cfRule type="dataBar" priority="9">
      <dataBar>
        <cfvo type="min"/>
        <cfvo type="max"/>
        <color rgb="FF008AEF"/>
      </dataBar>
      <extLst>
        <ext xmlns:x14="http://schemas.microsoft.com/office/spreadsheetml/2009/9/main" uri="{B025F937-C7B1-47D3-B67F-A62EFF666E3E}">
          <x14:id>{7945F7E5-F64F-4D4F-8F42-BE57695DA447}</x14:id>
        </ext>
      </extLst>
    </cfRule>
  </conditionalFormatting>
  <conditionalFormatting sqref="C6:D6">
    <cfRule type="dataBar" priority="8">
      <dataBar>
        <cfvo type="min"/>
        <cfvo type="max"/>
        <color rgb="FF008AEF"/>
      </dataBar>
      <extLst>
        <ext xmlns:x14="http://schemas.microsoft.com/office/spreadsheetml/2009/9/main" uri="{B025F937-C7B1-47D3-B67F-A62EFF666E3E}">
          <x14:id>{FBF8408D-62C0-430F-9D53-C77D33E3BFAA}</x14:id>
        </ext>
      </extLst>
    </cfRule>
  </conditionalFormatting>
  <conditionalFormatting sqref="C7:D7">
    <cfRule type="dataBar" priority="7">
      <dataBar>
        <cfvo type="min"/>
        <cfvo type="max"/>
        <color rgb="FF008AEF"/>
      </dataBar>
      <extLst>
        <ext xmlns:x14="http://schemas.microsoft.com/office/spreadsheetml/2009/9/main" uri="{B025F937-C7B1-47D3-B67F-A62EFF666E3E}">
          <x14:id>{856765FD-1107-445C-973B-FC6DD7CAF33A}</x14:id>
        </ext>
      </extLst>
    </cfRule>
  </conditionalFormatting>
  <conditionalFormatting sqref="C8:D8">
    <cfRule type="dataBar" priority="6">
      <dataBar>
        <cfvo type="min"/>
        <cfvo type="max"/>
        <color rgb="FF008AEF"/>
      </dataBar>
      <extLst>
        <ext xmlns:x14="http://schemas.microsoft.com/office/spreadsheetml/2009/9/main" uri="{B025F937-C7B1-47D3-B67F-A62EFF666E3E}">
          <x14:id>{38956311-B317-48D6-9E59-CF7E032DB9D9}</x14:id>
        </ext>
      </extLst>
    </cfRule>
  </conditionalFormatting>
  <conditionalFormatting sqref="C9:D9">
    <cfRule type="dataBar" priority="5">
      <dataBar>
        <cfvo type="min"/>
        <cfvo type="max"/>
        <color rgb="FF008AEF"/>
      </dataBar>
      <extLst>
        <ext xmlns:x14="http://schemas.microsoft.com/office/spreadsheetml/2009/9/main" uri="{B025F937-C7B1-47D3-B67F-A62EFF666E3E}">
          <x14:id>{DD113240-C8F9-4FAE-8EFD-182ADDE22BA3}</x14:id>
        </ext>
      </extLst>
    </cfRule>
  </conditionalFormatting>
  <conditionalFormatting sqref="C10:D10">
    <cfRule type="dataBar" priority="4">
      <dataBar>
        <cfvo type="min"/>
        <cfvo type="max"/>
        <color rgb="FF008AEF"/>
      </dataBar>
      <extLst>
        <ext xmlns:x14="http://schemas.microsoft.com/office/spreadsheetml/2009/9/main" uri="{B025F937-C7B1-47D3-B67F-A62EFF666E3E}">
          <x14:id>{083F8F9D-141D-47D5-87E2-11FFECBC58A8}</x14:id>
        </ext>
      </extLst>
    </cfRule>
  </conditionalFormatting>
  <conditionalFormatting sqref="E2:E10">
    <cfRule type="cellIs" dxfId="2" priority="1" operator="greaterThan">
      <formula>0.24999</formula>
    </cfRule>
  </conditionalFormatting>
  <conditionalFormatting sqref="E11">
    <cfRule type="cellIs" dxfId="1" priority="2" operator="greaterThan">
      <formula>0.2499</formula>
    </cfRule>
    <cfRule type="cellIs" dxfId="0" priority="3"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6869E7F3-9316-4BE0-8ECE-D1DB2E1C67D5}">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4C301F2F-FBDE-4DAB-B3D5-93AF199CBFEB}">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3505BD56-165E-4919-954F-4BA249D8F44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7945F7E5-F64F-4D4F-8F42-BE57695DA447}">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FBF8408D-62C0-430F-9D53-C77D33E3BFAA}">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856765FD-1107-445C-973B-FC6DD7CAF33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38956311-B317-48D6-9E59-CF7E032DB9D9}">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D113240-C8F9-4FAE-8EFD-182ADDE22BA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83F8F9D-141D-47D5-87E2-11FFECBC58A8}">
            <x14:dataBar minLength="0" maxLength="100" gradient="0">
              <x14:cfvo type="autoMin"/>
              <x14:cfvo type="autoMax"/>
              <x14:negativeFillColor rgb="FFFF0000"/>
              <x14:axisColor rgb="FF000000"/>
            </x14:dataBar>
          </x14:cfRule>
          <xm:sqref>C10:D10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D01 Carmen</vt:lpstr>
      <vt:lpstr>D02 Merced</vt:lpstr>
      <vt:lpstr>D03 Hospital</vt:lpstr>
      <vt:lpstr>D04 Catedral</vt:lpstr>
      <vt:lpstr>D05 San Sebastián</vt:lpstr>
      <vt:lpstr>D06 Hatillo</vt:lpstr>
      <vt:lpstr>D07 San Fco Zapote</vt:lpstr>
      <vt:lpstr>D08 Pavas</vt:lpstr>
      <vt:lpstr>D09 Mata Red Uruca</vt:lpstr>
      <vt:lpstr>Total 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Alberto Cartin Sequeira</dc:creator>
  <cp:lastModifiedBy>Manuel Alberto Cartin Sequeira</cp:lastModifiedBy>
  <dcterms:created xsi:type="dcterms:W3CDTF">2025-07-04T21:43:24Z</dcterms:created>
  <dcterms:modified xsi:type="dcterms:W3CDTF">2026-06-19T22:35:42Z</dcterms:modified>
</cp:coreProperties>
</file>