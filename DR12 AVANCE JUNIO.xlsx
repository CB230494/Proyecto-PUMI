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ThisWorkbook"/>
  <mc:AlternateContent xmlns:mc="http://schemas.openxmlformats.org/markup-compatibility/2006">
    <mc:Choice Requires="x15">
      <x15ac:absPath xmlns:x15ac="http://schemas.microsoft.com/office/spreadsheetml/2010/11/ac" url="C:\Users\108720436\Desktop\CONTEO NACIONAL PAO 2026\AVANCE IER SEMESTRE JUNIO\"/>
    </mc:Choice>
  </mc:AlternateContent>
  <xr:revisionPtr revIDLastSave="0" documentId="8_{5BBF202D-205C-44FB-953B-4F604086AC16}" xr6:coauthVersionLast="47" xr6:coauthVersionMax="47" xr10:uidLastSave="{00000000-0000-0000-0000-000000000000}"/>
  <workbookProtection workbookAlgorithmName="SHA-512" workbookHashValue="h/DAZCg7jK3uglYmg9cqc846hx4AlvYFyBuneqAeH58j/lJflPyILceb189wQJ5DyOXJiIj3zCI/ymBflUULhA==" workbookSaltValue="8NT5AWIbSYlTmGAU1xJPqw==" workbookSpinCount="100000" lockStructure="1"/>
  <bookViews>
    <workbookView xWindow="-120" yWindow="-120" windowWidth="29040" windowHeight="15720" activeTab="4" xr2:uid="{00000000-000D-0000-FFFF-FFFF00000000}"/>
  </bookViews>
  <sheets>
    <sheet name="D58 Sarapiquí" sheetId="1" r:id="rId1"/>
    <sheet name="D89 Pococí Sur" sheetId="3" r:id="rId2"/>
    <sheet name="D93 Guácimo" sheetId="4" r:id="rId3"/>
    <sheet name="D98 Pococí Norte" sheetId="2" r:id="rId4"/>
    <sheet name="Total Región" sheetId="5" r:id="rId5"/>
  </sheets>
  <externalReferences>
    <externalReference r:id="rId6"/>
    <externalReference r:id="rId7"/>
    <externalReference r:id="rId8"/>
    <externalReference r:id="rId9"/>
    <externalReference r:id="rId10"/>
  </externalReferences>
  <definedNames>
    <definedName name="ABANG" localSheetId="1">[1]DAT2!#REF!</definedName>
    <definedName name="ABANG" localSheetId="2">[2]DAT2!#REF!</definedName>
    <definedName name="ABANG" localSheetId="3">[3]DAT2!#REF!</definedName>
    <definedName name="ABANG" localSheetId="4">[4]DAT2!#REF!</definedName>
    <definedName name="ABANG">[5]DAT2!#REF!</definedName>
    <definedName name="ACOS" localSheetId="1">[1]DAT2!#REF!</definedName>
    <definedName name="ACOS" localSheetId="2">[2]DAT2!#REF!</definedName>
    <definedName name="ACOS" localSheetId="3">[3]DAT2!#REF!</definedName>
    <definedName name="ACOS" localSheetId="4">[4]DAT2!#REF!</definedName>
    <definedName name="ACOS">[5]DAT2!#REF!</definedName>
    <definedName name="ALAJU" localSheetId="1">[1]DAT2!#REF!</definedName>
    <definedName name="ALAJU" localSheetId="2">[2]DAT2!#REF!</definedName>
    <definedName name="ALAJU" localSheetId="3">[3]DAT2!#REF!</definedName>
    <definedName name="ALAJU" localSheetId="4">[4]DAT2!#REF!</definedName>
    <definedName name="ALAJU">[5]DAT2!#REF!</definedName>
    <definedName name="ALAJUE" localSheetId="1">[1]DAT2!#REF!</definedName>
    <definedName name="ALAJUE" localSheetId="2">[2]DAT2!#REF!</definedName>
    <definedName name="ALAJUE" localSheetId="3">[3]DAT2!#REF!</definedName>
    <definedName name="ALAJUE" localSheetId="4">[4]DAT2!#REF!</definedName>
    <definedName name="ALAJUE">[5]DAT2!#REF!</definedName>
    <definedName name="ALVA" localSheetId="1">[1]DAT2!#REF!</definedName>
    <definedName name="ALVA" localSheetId="2">[2]DAT2!#REF!</definedName>
    <definedName name="ALVA" localSheetId="3">[3]DAT2!#REF!</definedName>
    <definedName name="ALVA" localSheetId="4">[4]DAT2!#REF!</definedName>
    <definedName name="ALVA">[5]DAT2!#REF!</definedName>
    <definedName name="ASERR" localSheetId="1">[1]DAT2!#REF!</definedName>
    <definedName name="ASERR" localSheetId="2">[2]DAT2!#REF!</definedName>
    <definedName name="ASERR" localSheetId="3">[3]DAT2!#REF!</definedName>
    <definedName name="ASERR" localSheetId="4">[4]DAT2!#REF!</definedName>
    <definedName name="ASERR">[5]DAT2!#REF!</definedName>
    <definedName name="ATE" localSheetId="1">[1]DAT2!#REF!</definedName>
    <definedName name="ATE" localSheetId="2">[2]DAT2!#REF!</definedName>
    <definedName name="ATE" localSheetId="3">[3]DAT2!#REF!</definedName>
    <definedName name="ATE" localSheetId="4">[4]DAT2!#REF!</definedName>
    <definedName name="ATE">[5]DAT2!#REF!</definedName>
    <definedName name="BAGAC" localSheetId="1">[1]DAT2!#REF!</definedName>
    <definedName name="BAGAC" localSheetId="2">[2]DAT2!#REF!</definedName>
    <definedName name="BAGAC" localSheetId="3">[3]DAT2!#REF!</definedName>
    <definedName name="BAGAC" localSheetId="4">[4]DAT2!#REF!</definedName>
    <definedName name="BAGAC">[5]DAT2!#REF!</definedName>
    <definedName name="BARV" localSheetId="1">[1]DAT2!#REF!</definedName>
    <definedName name="BARV" localSheetId="2">[2]DAT2!#REF!</definedName>
    <definedName name="BARV" localSheetId="3">[3]DAT2!#REF!</definedName>
    <definedName name="BARV" localSheetId="4">[4]DAT2!#REF!</definedName>
    <definedName name="BARV">[5]DAT2!#REF!</definedName>
    <definedName name="BEL" localSheetId="1">[1]DAT2!#REF!</definedName>
    <definedName name="BEL" localSheetId="2">[2]DAT2!#REF!</definedName>
    <definedName name="BEL" localSheetId="3">[3]DAT2!#REF!</definedName>
    <definedName name="BEL" localSheetId="4">[4]DAT2!#REF!</definedName>
    <definedName name="BEL">[5]DAT2!#REF!</definedName>
    <definedName name="BUEN" localSheetId="1">[1]DAT2!#REF!</definedName>
    <definedName name="BUEN" localSheetId="2">[2]DAT2!#REF!</definedName>
    <definedName name="BUEN" localSheetId="3">[3]DAT2!#REF!</definedName>
    <definedName name="BUEN" localSheetId="4">[4]DAT2!#REF!</definedName>
    <definedName name="BUEN">[5]DAT2!#REF!</definedName>
    <definedName name="CANTÓNN">[5]!Tabla103[#All]</definedName>
    <definedName name="CAÑ" localSheetId="1">[1]DAT2!#REF!</definedName>
    <definedName name="CAÑ" localSheetId="2">[2]DAT2!#REF!</definedName>
    <definedName name="CAÑ" localSheetId="3">[3]DAT2!#REF!</definedName>
    <definedName name="CAÑ" localSheetId="4">[4]DAT2!#REF!</definedName>
    <definedName name="CAÑ">[5]DAT2!#REF!</definedName>
    <definedName name="CARR" localSheetId="1">[1]DAT2!#REF!</definedName>
    <definedName name="CARR" localSheetId="2">[2]DAT2!#REF!</definedName>
    <definedName name="CARR" localSheetId="3">[3]DAT2!#REF!</definedName>
    <definedName name="CARR" localSheetId="4">[4]DAT2!#REF!</definedName>
    <definedName name="CARR">[5]DAT2!#REF!</definedName>
    <definedName name="CARTAG" localSheetId="1">[1]DAT2!#REF!</definedName>
    <definedName name="CARTAG" localSheetId="2">[2]DAT2!#REF!</definedName>
    <definedName name="CARTAG" localSheetId="3">[3]DAT2!#REF!</definedName>
    <definedName name="CARTAG" localSheetId="4">[4]DAT2!#REF!</definedName>
    <definedName name="CARTAG">[5]DAT2!#REF!</definedName>
    <definedName name="CORR" localSheetId="1">[1]DAT2!#REF!</definedName>
    <definedName name="CORR" localSheetId="2">[2]DAT2!#REF!</definedName>
    <definedName name="CORR" localSheetId="3">[3]DAT2!#REF!</definedName>
    <definedName name="CORR" localSheetId="4">[4]DAT2!#REF!</definedName>
    <definedName name="CORR">[5]DAT2!#REF!</definedName>
    <definedName name="COTB" localSheetId="1">[1]DAT2!#REF!</definedName>
    <definedName name="COTB" localSheetId="2">[2]DAT2!#REF!</definedName>
    <definedName name="COTB" localSheetId="3">[3]DAT2!#REF!</definedName>
    <definedName name="COTB" localSheetId="4">[4]DAT2!#REF!</definedName>
    <definedName name="COTB">[5]DAT2!#REF!</definedName>
    <definedName name="CURRI" localSheetId="1">[1]DAT2!#REF!</definedName>
    <definedName name="CURRI" localSheetId="2">[2]DAT2!#REF!</definedName>
    <definedName name="CURRI" localSheetId="3">[3]DAT2!#REF!</definedName>
    <definedName name="CURRI" localSheetId="4">[4]DAT2!#REF!</definedName>
    <definedName name="CURRI">[5]DAT2!#REF!</definedName>
    <definedName name="DESAMP" localSheetId="1">[1]DAT2!#REF!</definedName>
    <definedName name="DESAMP" localSheetId="2">[2]DAT2!#REF!</definedName>
    <definedName name="DESAMP" localSheetId="3">[3]DAT2!#REF!</definedName>
    <definedName name="DESAMP" localSheetId="4">[4]DAT2!#REF!</definedName>
    <definedName name="DESAMP">[5]DAT2!#REF!</definedName>
    <definedName name="DISTRI" localSheetId="1">#REF!</definedName>
    <definedName name="DISTRI" localSheetId="2">#REF!</definedName>
    <definedName name="DISTRI" localSheetId="3">#REF!</definedName>
    <definedName name="DISTRI" localSheetId="4">#REF!</definedName>
    <definedName name="DISTRI">#REF!</definedName>
    <definedName name="DOTA" localSheetId="1">[1]DAT2!#REF!</definedName>
    <definedName name="DOTA" localSheetId="2">[2]DAT2!#REF!</definedName>
    <definedName name="DOTA" localSheetId="3">[3]DAT2!#REF!</definedName>
    <definedName name="DOTA" localSheetId="4">[4]DAT2!#REF!</definedName>
    <definedName name="DOTA">[5]DAT2!#REF!</definedName>
    <definedName name="ELGUA" localSheetId="1">[1]DAT2!#REF!</definedName>
    <definedName name="ELGUA" localSheetId="2">[2]DAT2!#REF!</definedName>
    <definedName name="ELGUA" localSheetId="3">[3]DAT2!#REF!</definedName>
    <definedName name="ELGUA" localSheetId="4">[4]DAT2!#REF!</definedName>
    <definedName name="ELGUA">[5]DAT2!#REF!</definedName>
    <definedName name="ESCAZ" localSheetId="1">[1]DAT2!#REF!</definedName>
    <definedName name="ESCAZ" localSheetId="2">[2]DAT2!#REF!</definedName>
    <definedName name="ESCAZ" localSheetId="3">[3]DAT2!#REF!</definedName>
    <definedName name="ESCAZ" localSheetId="4">[4]DAT2!#REF!</definedName>
    <definedName name="ESCAZ">[5]DAT2!#REF!</definedName>
    <definedName name="ESPA" localSheetId="1">[1]DAT2!#REF!</definedName>
    <definedName name="ESPA" localSheetId="2">[2]DAT2!#REF!</definedName>
    <definedName name="ESPA" localSheetId="3">[3]DAT2!#REF!</definedName>
    <definedName name="ESPA" localSheetId="4">[4]DAT2!#REF!</definedName>
    <definedName name="ESPA">[5]DAT2!#REF!</definedName>
    <definedName name="FLOR" localSheetId="1">[1]DAT2!#REF!</definedName>
    <definedName name="FLOR" localSheetId="2">[2]DAT2!#REF!</definedName>
    <definedName name="FLOR" localSheetId="3">[3]DAT2!#REF!</definedName>
    <definedName name="FLOR" localSheetId="4">[4]DAT2!#REF!</definedName>
    <definedName name="FLOR">[5]DAT2!#REF!</definedName>
    <definedName name="GARAB" localSheetId="1">[1]DAT2!#REF!</definedName>
    <definedName name="GARAB" localSheetId="2">[2]DAT2!#REF!</definedName>
    <definedName name="GARAB" localSheetId="3">[3]DAT2!#REF!</definedName>
    <definedName name="GARAB" localSheetId="4">[4]DAT2!#REF!</definedName>
    <definedName name="GARAB">[5]DAT2!#REF!</definedName>
    <definedName name="GOIC" localSheetId="1">[1]DAT2!#REF!</definedName>
    <definedName name="GOIC" localSheetId="2">[2]DAT2!#REF!</definedName>
    <definedName name="GOIC" localSheetId="3">[3]DAT2!#REF!</definedName>
    <definedName name="GOIC" localSheetId="4">[4]DAT2!#REF!</definedName>
    <definedName name="GOIC">[5]DAT2!#REF!</definedName>
    <definedName name="GOLF" localSheetId="1">[1]DAT2!#REF!</definedName>
    <definedName name="GOLF" localSheetId="2">[2]DAT2!#REF!</definedName>
    <definedName name="GOLF" localSheetId="3">[3]DAT2!#REF!</definedName>
    <definedName name="GOLF" localSheetId="4">[4]DAT2!#REF!</definedName>
    <definedName name="GOLF">[5]DAT2!#REF!</definedName>
    <definedName name="GREC" localSheetId="1">[1]DAT2!#REF!</definedName>
    <definedName name="GREC" localSheetId="2">[2]DAT2!#REF!</definedName>
    <definedName name="GREC" localSheetId="3">[3]DAT2!#REF!</definedName>
    <definedName name="GREC" localSheetId="4">[4]DAT2!#REF!</definedName>
    <definedName name="GREC">[5]DAT2!#REF!</definedName>
    <definedName name="GUAC" localSheetId="1">[1]DAT2!#REF!</definedName>
    <definedName name="GUAC" localSheetId="2">[2]DAT2!#REF!</definedName>
    <definedName name="GUAC" localSheetId="3">[3]DAT2!#REF!</definedName>
    <definedName name="GUAC" localSheetId="4">[4]DAT2!#REF!</definedName>
    <definedName name="GUAC">[5]DAT2!#REF!</definedName>
    <definedName name="GUATU" localSheetId="1">[1]DAT2!#REF!</definedName>
    <definedName name="GUATU" localSheetId="2">[2]DAT2!#REF!</definedName>
    <definedName name="GUATU" localSheetId="3">[3]DAT2!#REF!</definedName>
    <definedName name="GUATU" localSheetId="4">[4]DAT2!#REF!</definedName>
    <definedName name="GUATU">[5]DAT2!#REF!</definedName>
    <definedName name="HERED" localSheetId="1">[1]DAT2!#REF!</definedName>
    <definedName name="HERED" localSheetId="2">[2]DAT2!#REF!</definedName>
    <definedName name="HERED" localSheetId="3">[3]DAT2!#REF!</definedName>
    <definedName name="HERED" localSheetId="4">[4]DAT2!#REF!</definedName>
    <definedName name="HERED">[5]DAT2!#REF!</definedName>
    <definedName name="HOJA" localSheetId="1">[1]DAT2!#REF!</definedName>
    <definedName name="HOJA" localSheetId="2">[2]DAT2!#REF!</definedName>
    <definedName name="HOJA" localSheetId="3">[3]DAT2!#REF!</definedName>
    <definedName name="HOJA" localSheetId="4">[4]DAT2!#REF!</definedName>
    <definedName name="HOJA">[5]DAT2!#REF!</definedName>
    <definedName name="JE">[5]!Tabla103[#All]</definedName>
    <definedName name="jes">[5]!Tabla103[#All]</definedName>
    <definedName name="JIME" localSheetId="1">[1]DAT2!#REF!</definedName>
    <definedName name="JIME" localSheetId="2">[2]DAT2!#REF!</definedName>
    <definedName name="JIME" localSheetId="3">[3]DAT2!#REF!</definedName>
    <definedName name="JIME" localSheetId="4">[4]DAT2!#REF!</definedName>
    <definedName name="JIME">[5]DAT2!#REF!</definedName>
    <definedName name="LACRU" localSheetId="1">[1]DAT2!#REF!</definedName>
    <definedName name="LACRU" localSheetId="2">[2]DAT2!#REF!</definedName>
    <definedName name="LACRU" localSheetId="3">[3]DAT2!#REF!</definedName>
    <definedName name="LACRU" localSheetId="4">[4]DAT2!#REF!</definedName>
    <definedName name="LACRU">[5]DAT2!#REF!</definedName>
    <definedName name="LAUN" localSheetId="1">[1]DAT2!#REF!</definedName>
    <definedName name="LAUN" localSheetId="2">[2]DAT2!#REF!</definedName>
    <definedName name="LAUN" localSheetId="3">[3]DAT2!#REF!</definedName>
    <definedName name="LAUN" localSheetId="4">[4]DAT2!#REF!</definedName>
    <definedName name="LAUN">[5]DAT2!#REF!</definedName>
    <definedName name="LEO" localSheetId="1">[1]DAT1!#REF!</definedName>
    <definedName name="LEO" localSheetId="2">[2]DAT1!#REF!</definedName>
    <definedName name="LEO" localSheetId="3">[3]DAT1!#REF!</definedName>
    <definedName name="LEO" localSheetId="4">[4]DAT1!#REF!</definedName>
    <definedName name="LEO">[5]DAT1!#REF!</definedName>
    <definedName name="LIB" localSheetId="1">[1]DAT2!#REF!</definedName>
    <definedName name="LIB" localSheetId="2">[2]DAT2!#REF!</definedName>
    <definedName name="LIB" localSheetId="3">[3]DAT2!#REF!</definedName>
    <definedName name="LIB" localSheetId="4">[4]DAT2!#REF!</definedName>
    <definedName name="LIB">[5]DAT2!#REF!</definedName>
    <definedName name="LIM" localSheetId="1">[1]DAT2!#REF!</definedName>
    <definedName name="LIM" localSheetId="2">[2]DAT2!#REF!</definedName>
    <definedName name="LIM" localSheetId="3">[3]DAT2!#REF!</definedName>
    <definedName name="LIM" localSheetId="4">[4]DAT2!#REF!</definedName>
    <definedName name="LIM">[5]DAT2!#REF!</definedName>
    <definedName name="LOSCHI" localSheetId="1">[1]DAT2!#REF!</definedName>
    <definedName name="LOSCHI" localSheetId="2">[2]DAT2!#REF!</definedName>
    <definedName name="LOSCHI" localSheetId="3">[3]DAT2!#REF!</definedName>
    <definedName name="LOSCHI" localSheetId="4">[4]DAT2!#REF!</definedName>
    <definedName name="LOSCHI">[5]DAT2!#REF!</definedName>
    <definedName name="MAT" localSheetId="1">[1]DAT2!#REF!</definedName>
    <definedName name="MAT" localSheetId="2">[2]DAT2!#REF!</definedName>
    <definedName name="MAT" localSheetId="3">[3]DAT2!#REF!</definedName>
    <definedName name="MAT" localSheetId="4">[4]DAT2!#REF!</definedName>
    <definedName name="MAT">[5]DAT2!#REF!</definedName>
    <definedName name="MONTEV" localSheetId="1">[1]DAT2!#REF!</definedName>
    <definedName name="MONTEV" localSheetId="2">[2]DAT2!#REF!</definedName>
    <definedName name="MONTEV" localSheetId="3">[3]DAT2!#REF!</definedName>
    <definedName name="MONTEV" localSheetId="4">[4]DAT2!#REF!</definedName>
    <definedName name="MONTEV">[5]DAT2!#REF!</definedName>
    <definedName name="MONTOC" localSheetId="1">[1]DAT2!#REF!</definedName>
    <definedName name="MONTOC" localSheetId="2">[2]DAT2!#REF!</definedName>
    <definedName name="MONTOC" localSheetId="3">[3]DAT2!#REF!</definedName>
    <definedName name="MONTOC" localSheetId="4">[4]DAT2!#REF!</definedName>
    <definedName name="MONTOC">[5]DAT2!#REF!</definedName>
    <definedName name="MONTOR" localSheetId="1">[1]DAT2!#REF!</definedName>
    <definedName name="MONTOR" localSheetId="2">[2]DAT2!#REF!</definedName>
    <definedName name="MONTOR" localSheetId="3">[3]DAT2!#REF!</definedName>
    <definedName name="MONTOR" localSheetId="4">[4]DAT2!#REF!</definedName>
    <definedName name="MONTOR">[5]DAT2!#REF!</definedName>
    <definedName name="MOR" localSheetId="1">[1]DAT2!#REF!</definedName>
    <definedName name="MOR" localSheetId="2">[2]DAT2!#REF!</definedName>
    <definedName name="MOR" localSheetId="3">[3]DAT2!#REF!</definedName>
    <definedName name="MOR" localSheetId="4">[4]DAT2!#REF!</definedName>
    <definedName name="MOR">[5]DAT2!#REF!</definedName>
    <definedName name="MORAV" localSheetId="1">[1]DAT2!#REF!</definedName>
    <definedName name="MORAV" localSheetId="2">[2]DAT2!#REF!</definedName>
    <definedName name="MORAV" localSheetId="3">[3]DAT2!#REF!</definedName>
    <definedName name="MORAV" localSheetId="4">[4]DAT2!#REF!</definedName>
    <definedName name="MORAV">[5]DAT2!#REF!</definedName>
    <definedName name="NAND" localSheetId="1">[1]DAT2!#REF!</definedName>
    <definedName name="NAND" localSheetId="2">[2]DAT2!#REF!</definedName>
    <definedName name="NAND" localSheetId="3">[3]DAT2!#REF!</definedName>
    <definedName name="NAND" localSheetId="4">[4]DAT2!#REF!</definedName>
    <definedName name="NAND">[5]DAT2!#REF!</definedName>
    <definedName name="NARA" localSheetId="1">[1]DAT2!#REF!</definedName>
    <definedName name="NARA" localSheetId="2">[2]DAT2!#REF!</definedName>
    <definedName name="NARA" localSheetId="3">[3]DAT2!#REF!</definedName>
    <definedName name="NARA" localSheetId="4">[4]DAT2!#REF!</definedName>
    <definedName name="NARA">[5]DAT2!#REF!</definedName>
    <definedName name="NICO" localSheetId="1">[1]DAT2!#REF!</definedName>
    <definedName name="NICO" localSheetId="2">[2]DAT2!#REF!</definedName>
    <definedName name="NICO" localSheetId="3">[3]DAT2!#REF!</definedName>
    <definedName name="NICO" localSheetId="4">[4]DAT2!#REF!</definedName>
    <definedName name="NICO">[5]DAT2!#REF!</definedName>
    <definedName name="OREAMU" localSheetId="1">[1]DAT2!#REF!</definedName>
    <definedName name="OREAMU" localSheetId="2">[2]DAT2!#REF!</definedName>
    <definedName name="OREAMU" localSheetId="3">[3]DAT2!#REF!</definedName>
    <definedName name="OREAMU" localSheetId="4">[4]DAT2!#REF!</definedName>
    <definedName name="OREAMU">[5]DAT2!#REF!</definedName>
    <definedName name="OROT" localSheetId="1">[1]DAT2!#REF!</definedName>
    <definedName name="OROT" localSheetId="2">[2]DAT2!#REF!</definedName>
    <definedName name="OROT" localSheetId="3">[3]DAT2!#REF!</definedName>
    <definedName name="OROT" localSheetId="4">[4]DAT2!#REF!</definedName>
    <definedName name="OROT">[5]DAT2!#REF!</definedName>
    <definedName name="OSA" localSheetId="1">[1]DAT2!#REF!</definedName>
    <definedName name="OSA" localSheetId="2">[2]DAT2!#REF!</definedName>
    <definedName name="OSA" localSheetId="3">[3]DAT2!#REF!</definedName>
    <definedName name="OSA" localSheetId="4">[4]DAT2!#REF!</definedName>
    <definedName name="OSA">[5]DAT2!#REF!</definedName>
    <definedName name="PALMA" localSheetId="1">[1]DAT2!#REF!</definedName>
    <definedName name="PALMA" localSheetId="2">[2]DAT2!#REF!</definedName>
    <definedName name="PALMA" localSheetId="3">[3]DAT2!#REF!</definedName>
    <definedName name="PALMA" localSheetId="4">[4]DAT2!#REF!</definedName>
    <definedName name="PALMA">[5]DAT2!#REF!</definedName>
    <definedName name="PARA" localSheetId="1">[1]DAT2!#REF!</definedName>
    <definedName name="PARA" localSheetId="2">[2]DAT2!#REF!</definedName>
    <definedName name="PARA" localSheetId="3">[3]DAT2!#REF!</definedName>
    <definedName name="PARA" localSheetId="4">[4]DAT2!#REF!</definedName>
    <definedName name="PARA">[5]DAT2!#REF!</definedName>
    <definedName name="PARR" localSheetId="1">[1]DAT2!#REF!</definedName>
    <definedName name="PARR" localSheetId="2">[2]DAT2!#REF!</definedName>
    <definedName name="PARR" localSheetId="3">[3]DAT2!#REF!</definedName>
    <definedName name="PARR" localSheetId="4">[4]DAT2!#REF!</definedName>
    <definedName name="PARR">[5]DAT2!#REF!</definedName>
    <definedName name="POA" localSheetId="1">[1]DAT2!#REF!</definedName>
    <definedName name="POA" localSheetId="2">[2]DAT2!#REF!</definedName>
    <definedName name="POA" localSheetId="3">[3]DAT2!#REF!</definedName>
    <definedName name="POA" localSheetId="4">[4]DAT2!#REF!</definedName>
    <definedName name="POA">[5]DAT2!#REF!</definedName>
    <definedName name="POCOC" localSheetId="1">[1]DAT2!#REF!</definedName>
    <definedName name="POCOC" localSheetId="2">[2]DAT2!#REF!</definedName>
    <definedName name="POCOC" localSheetId="3">[3]DAT2!#REF!</definedName>
    <definedName name="POCOC" localSheetId="4">[4]DAT2!#REF!</definedName>
    <definedName name="POCOC">[5]DAT2!#REF!</definedName>
    <definedName name="PUERTOJ" localSheetId="1">[1]DAT2!#REF!</definedName>
    <definedName name="PUERTOJ" localSheetId="2">[2]DAT2!#REF!</definedName>
    <definedName name="PUERTOJ" localSheetId="3">[3]DAT2!#REF!</definedName>
    <definedName name="PUERTOJ" localSheetId="4">[4]DAT2!#REF!</definedName>
    <definedName name="PUERTOJ">[5]DAT2!#REF!</definedName>
    <definedName name="PUNTAR" localSheetId="1">[1]DAT2!#REF!</definedName>
    <definedName name="PUNTAR" localSheetId="2">[2]DAT2!#REF!</definedName>
    <definedName name="PUNTAR" localSheetId="3">[3]DAT2!#REF!</definedName>
    <definedName name="PUNTAR" localSheetId="4">[4]DAT2!#REF!</definedName>
    <definedName name="PUNTAR">[5]DAT2!#REF!</definedName>
    <definedName name="PURIS" localSheetId="1">[1]DAT2!#REF!</definedName>
    <definedName name="PURIS" localSheetId="2">[2]DAT2!#REF!</definedName>
    <definedName name="PURIS" localSheetId="3">[3]DAT2!#REF!</definedName>
    <definedName name="PURIS" localSheetId="4">[4]DAT2!#REF!</definedName>
    <definedName name="PURIS">[5]DAT2!#REF!</definedName>
    <definedName name="PZ" localSheetId="1">[1]DAT2!#REF!</definedName>
    <definedName name="PZ" localSheetId="2">[2]DAT2!#REF!</definedName>
    <definedName name="PZ" localSheetId="3">[3]DAT2!#REF!</definedName>
    <definedName name="PZ" localSheetId="4">[4]DAT2!#REF!</definedName>
    <definedName name="PZ">[5]DAT2!#REF!</definedName>
    <definedName name="QUEP" localSheetId="1">[1]DAT2!#REF!</definedName>
    <definedName name="QUEP" localSheetId="2">[2]DAT2!#REF!</definedName>
    <definedName name="QUEP" localSheetId="3">[3]DAT2!#REF!</definedName>
    <definedName name="QUEP" localSheetId="4">[4]DAT2!#REF!</definedName>
    <definedName name="QUEP">[5]DAT2!#REF!</definedName>
    <definedName name="RIOCU" localSheetId="1">[1]DAT2!#REF!</definedName>
    <definedName name="RIOCU" localSheetId="2">[2]DAT2!#REF!</definedName>
    <definedName name="RIOCU" localSheetId="3">[3]DAT2!#REF!</definedName>
    <definedName name="RIOCU" localSheetId="4">[4]DAT2!#REF!</definedName>
    <definedName name="RIOCU">[5]DAT2!#REF!</definedName>
    <definedName name="SANCAR" localSheetId="1">[1]DAT2!#REF!</definedName>
    <definedName name="SANCAR" localSheetId="2">[2]DAT2!#REF!</definedName>
    <definedName name="SANCAR" localSheetId="3">[3]DAT2!#REF!</definedName>
    <definedName name="SANCAR" localSheetId="4">[4]DAT2!#REF!</definedName>
    <definedName name="SANCAR">[5]DAT2!#REF!</definedName>
    <definedName name="SANISI" localSheetId="1">[1]DAT2!#REF!</definedName>
    <definedName name="SANISI" localSheetId="2">[2]DAT2!#REF!</definedName>
    <definedName name="SANISI" localSheetId="3">[3]DAT2!#REF!</definedName>
    <definedName name="SANISI" localSheetId="4">[4]DAT2!#REF!</definedName>
    <definedName name="SANISI">[5]DAT2!#REF!</definedName>
    <definedName name="SANMAT" localSheetId="1">[1]DAT2!#REF!</definedName>
    <definedName name="SANMAT" localSheetId="2">[2]DAT2!#REF!</definedName>
    <definedName name="SANMAT" localSheetId="3">[3]DAT2!#REF!</definedName>
    <definedName name="SANMAT" localSheetId="4">[4]DAT2!#REF!</definedName>
    <definedName name="SANMAT">[5]DAT2!#REF!</definedName>
    <definedName name="SANPA" localSheetId="1">[1]DAT2!#REF!</definedName>
    <definedName name="SANPA" localSheetId="2">[2]DAT2!#REF!</definedName>
    <definedName name="SANPA" localSheetId="3">[3]DAT2!#REF!</definedName>
    <definedName name="SANPA" localSheetId="4">[4]DAT2!#REF!</definedName>
    <definedName name="SANPA">[5]DAT2!#REF!</definedName>
    <definedName name="SANRA" localSheetId="1">[1]DAT2!#REF!</definedName>
    <definedName name="SANRA" localSheetId="2">[2]DAT2!#REF!</definedName>
    <definedName name="SANRA" localSheetId="3">[3]DAT2!#REF!</definedName>
    <definedName name="SANRA" localSheetId="4">[4]DAT2!#REF!</definedName>
    <definedName name="SANRA">[5]DAT2!#REF!</definedName>
    <definedName name="SANRAF" localSheetId="1">[1]DAT2!#REF!</definedName>
    <definedName name="SANRAF" localSheetId="2">[2]DAT2!#REF!</definedName>
    <definedName name="SANRAF" localSheetId="3">[3]DAT2!#REF!</definedName>
    <definedName name="SANRAF" localSheetId="4">[4]DAT2!#REF!</definedName>
    <definedName name="SANRAF">[5]DAT2!#REF!</definedName>
    <definedName name="SANTA" localSheetId="1">[1]DAT2!#REF!</definedName>
    <definedName name="SANTA" localSheetId="2">[2]DAT2!#REF!</definedName>
    <definedName name="SANTA" localSheetId="3">[3]DAT2!#REF!</definedName>
    <definedName name="SANTA" localSheetId="4">[4]DAT2!#REF!</definedName>
    <definedName name="SANTA">[5]DAT2!#REF!</definedName>
    <definedName name="SANTABA" localSheetId="1">[1]DAT2!#REF!</definedName>
    <definedName name="SANTABA" localSheetId="2">[2]DAT2!#REF!</definedName>
    <definedName name="SANTABA" localSheetId="3">[3]DAT2!#REF!</definedName>
    <definedName name="SANTABA" localSheetId="4">[4]DAT2!#REF!</definedName>
    <definedName name="SANTABA">[5]DAT2!#REF!</definedName>
    <definedName name="SANTACRU" localSheetId="1">[1]DAT2!#REF!</definedName>
    <definedName name="SANTACRU" localSheetId="2">[2]DAT2!#REF!</definedName>
    <definedName name="SANTACRU" localSheetId="3">[3]DAT2!#REF!</definedName>
    <definedName name="SANTACRU" localSheetId="4">[4]DAT2!#REF!</definedName>
    <definedName name="SANTACRU">[5]DAT2!#REF!</definedName>
    <definedName name="SANTODO" localSheetId="1">[1]DAT2!#REF!</definedName>
    <definedName name="SANTODO" localSheetId="2">[2]DAT2!#REF!</definedName>
    <definedName name="SANTODO" localSheetId="3">[3]DAT2!#REF!</definedName>
    <definedName name="SANTODO" localSheetId="4">[4]DAT2!#REF!</definedName>
    <definedName name="SANTODO">[5]DAT2!#REF!</definedName>
    <definedName name="SAR" localSheetId="1">[1]DAT2!#REF!</definedName>
    <definedName name="SAR" localSheetId="2">[2]DAT2!#REF!</definedName>
    <definedName name="SAR" localSheetId="3">[3]DAT2!#REF!</definedName>
    <definedName name="SAR" localSheetId="4">[4]DAT2!#REF!</definedName>
    <definedName name="SAR">[5]DAT2!#REF!</definedName>
    <definedName name="SARAP" localSheetId="1">[1]DAT2!#REF!</definedName>
    <definedName name="SARAP" localSheetId="2">[2]DAT2!#REF!</definedName>
    <definedName name="SARAP" localSheetId="3">[3]DAT2!#REF!</definedName>
    <definedName name="SARAP" localSheetId="4">[4]DAT2!#REF!</definedName>
    <definedName name="SARAP">[5]DAT2!#REF!</definedName>
    <definedName name="SIQUIRR" localSheetId="1">[1]DAT2!#REF!</definedName>
    <definedName name="SIQUIRR" localSheetId="2">[2]DAT2!#REF!</definedName>
    <definedName name="SIQUIRR" localSheetId="3">[3]DAT2!#REF!</definedName>
    <definedName name="SIQUIRR" localSheetId="4">[4]DAT2!#REF!</definedName>
    <definedName name="SIQUIRR">[5]DAT2!#REF!</definedName>
    <definedName name="TALAMA" localSheetId="1">[1]DAT2!#REF!</definedName>
    <definedName name="TALAMA" localSheetId="2">[2]DAT2!#REF!</definedName>
    <definedName name="TALAMA" localSheetId="3">[3]DAT2!#REF!</definedName>
    <definedName name="TALAMA" localSheetId="4">[4]DAT2!#REF!</definedName>
    <definedName name="TALAMA">[5]DAT2!#REF!</definedName>
    <definedName name="TARRAZ" localSheetId="1">[1]DAT2!#REF!</definedName>
    <definedName name="TARRAZ" localSheetId="2">[2]DAT2!#REF!</definedName>
    <definedName name="TARRAZ" localSheetId="3">[3]DAT2!#REF!</definedName>
    <definedName name="TARRAZ" localSheetId="4">[4]DAT2!#REF!</definedName>
    <definedName name="TARRAZ">[5]DAT2!#REF!</definedName>
    <definedName name="TIB" localSheetId="1">[1]DAT2!#REF!</definedName>
    <definedName name="TIB" localSheetId="2">[2]DAT2!#REF!</definedName>
    <definedName name="TIB" localSheetId="3">[3]DAT2!#REF!</definedName>
    <definedName name="TIB" localSheetId="4">[4]DAT2!#REF!</definedName>
    <definedName name="TIB">[5]DAT2!#REF!</definedName>
    <definedName name="TILAR" localSheetId="1">[1]DAT2!#REF!</definedName>
    <definedName name="TILAR" localSheetId="2">[2]DAT2!#REF!</definedName>
    <definedName name="TILAR" localSheetId="3">[3]DAT2!#REF!</definedName>
    <definedName name="TILAR" localSheetId="4">[4]DAT2!#REF!</definedName>
    <definedName name="TILAR">[5]DAT2!#REF!</definedName>
    <definedName name="TURR" localSheetId="1">[1]DAT2!#REF!</definedName>
    <definedName name="TURR" localSheetId="2">[2]DAT2!#REF!</definedName>
    <definedName name="TURR" localSheetId="3">[3]DAT2!#REF!</definedName>
    <definedName name="TURR" localSheetId="4">[4]DAT2!#REF!</definedName>
    <definedName name="TURR">[5]DAT2!#REF!</definedName>
    <definedName name="TURRI" localSheetId="1">[1]DAT2!#REF!</definedName>
    <definedName name="TURRI" localSheetId="2">[2]DAT2!#REF!</definedName>
    <definedName name="TURRI" localSheetId="3">[3]DAT2!#REF!</definedName>
    <definedName name="TURRI" localSheetId="4">[4]DAT2!#REF!</definedName>
    <definedName name="TURRI">[5]DAT2!#REF!</definedName>
    <definedName name="U">[5]!Tabla103[#All]</definedName>
    <definedName name="UPA" localSheetId="1">[1]DAT2!#REF!</definedName>
    <definedName name="UPA" localSheetId="2">[2]DAT2!#REF!</definedName>
    <definedName name="UPA" localSheetId="3">[3]DAT2!#REF!</definedName>
    <definedName name="UPA" localSheetId="4">[4]DAT2!#REF!</definedName>
    <definedName name="UPA">[5]DAT2!#REF!</definedName>
    <definedName name="uu">[5]!Tabla103[#All]</definedName>
    <definedName name="uum">[5]!Tabla103[#All]</definedName>
    <definedName name="uuu">[5]!Tabla103[#All]</definedName>
    <definedName name="VASQUE" localSheetId="1">[1]DAT2!#REF!</definedName>
    <definedName name="VASQUE" localSheetId="2">[2]DAT2!#REF!</definedName>
    <definedName name="VASQUE" localSheetId="3">[3]DAT2!#REF!</definedName>
    <definedName name="VASQUE" localSheetId="4">[4]DAT2!#REF!</definedName>
    <definedName name="VASQUE">[5]DAT2!#REF!</definedName>
    <definedName name="ZAR" localSheetId="1">[1]DAT2!#REF!</definedName>
    <definedName name="ZAR" localSheetId="2">[2]DAT2!#REF!</definedName>
    <definedName name="ZAR" localSheetId="3">[3]DAT2!#REF!</definedName>
    <definedName name="ZAR" localSheetId="4">[4]DAT2!#REF!</definedName>
    <definedName name="ZAR">[5]DAT2!#REF!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1" i="2" l="1"/>
  <c r="C38" i="4"/>
  <c r="C4" i="5" s="1"/>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D3" i="4"/>
  <c r="C39" i="3"/>
  <c r="C3" i="5" s="1"/>
  <c r="D38"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D7" i="3"/>
  <c r="D6" i="3"/>
  <c r="D5" i="3"/>
  <c r="D4" i="3"/>
  <c r="D3" i="3"/>
  <c r="C41" i="2"/>
  <c r="C5" i="5" s="1"/>
  <c r="D40" i="2"/>
  <c r="D39" i="2"/>
  <c r="D38" i="2"/>
  <c r="D37" i="2"/>
  <c r="D36" i="2"/>
  <c r="D35" i="2"/>
  <c r="D34" i="2"/>
  <c r="D33" i="2"/>
  <c r="D32" i="2"/>
  <c r="D31" i="2"/>
  <c r="D30" i="2"/>
  <c r="D29" i="2"/>
  <c r="D28" i="2"/>
  <c r="D27" i="2"/>
  <c r="D26" i="2"/>
  <c r="D25" i="2"/>
  <c r="D24" i="2"/>
  <c r="D23" i="2"/>
  <c r="D22" i="2"/>
  <c r="D21" i="2"/>
  <c r="D20" i="2"/>
  <c r="D19" i="2"/>
  <c r="D18" i="2"/>
  <c r="D17" i="2"/>
  <c r="D16" i="2"/>
  <c r="D15" i="2"/>
  <c r="D14" i="2"/>
  <c r="D13" i="2"/>
  <c r="D12" i="2"/>
  <c r="D10" i="2"/>
  <c r="D9" i="2"/>
  <c r="D8" i="2"/>
  <c r="D7" i="2"/>
  <c r="D6" i="2"/>
  <c r="D5" i="2"/>
  <c r="D4" i="2"/>
  <c r="D3" i="2"/>
  <c r="C37" i="1"/>
  <c r="C2" i="5" s="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D41" i="2" l="1"/>
  <c r="D38" i="4"/>
  <c r="D39" i="3"/>
  <c r="D37" i="1"/>
  <c r="D42" i="2" l="1"/>
  <c r="D5" i="5"/>
  <c r="E5" i="5" s="1"/>
  <c r="D39" i="4"/>
  <c r="D4" i="5"/>
  <c r="E4" i="5" s="1"/>
  <c r="D40" i="3"/>
  <c r="D3" i="5"/>
  <c r="E3" i="5" s="1"/>
  <c r="D38" i="1"/>
  <c r="D2" i="5"/>
  <c r="C6" i="5"/>
  <c r="D6" i="5" l="1"/>
  <c r="E6" i="5" s="1"/>
  <c r="E2" i="5"/>
</calcChain>
</file>

<file path=xl/sharedStrings.xml><?xml version="1.0" encoding="utf-8"?>
<sst xmlns="http://schemas.openxmlformats.org/spreadsheetml/2006/main" count="259" uniqueCount="83">
  <si>
    <t>D58 SARAPIQUÍ</t>
  </si>
  <si>
    <t>PROGRAMA</t>
  </si>
  <si>
    <t>META</t>
  </si>
  <si>
    <t xml:space="preserve">AVANCE </t>
  </si>
  <si>
    <t>ENERO</t>
  </si>
  <si>
    <t>FEBRERO</t>
  </si>
  <si>
    <t>MARZO</t>
  </si>
  <si>
    <t>ABRIL</t>
  </si>
  <si>
    <t>MAYO</t>
  </si>
  <si>
    <t>JUNIO</t>
  </si>
  <si>
    <t>JULIO</t>
  </si>
  <si>
    <t>AGOSTO</t>
  </si>
  <si>
    <t>SEPTIEMBRE</t>
  </si>
  <si>
    <t>OCTUBRE</t>
  </si>
  <si>
    <t>NOVIEMBRE</t>
  </si>
  <si>
    <t>DICIEMBRE</t>
  </si>
  <si>
    <t>Porcentual</t>
  </si>
  <si>
    <t>Cuatro actividades de recuperación de espacios públicos, con las comunidades integradas al Programa de Seguridad Comunitaria, que se localicen, en los distritos que contemplan las área georreferenciadas del informe territorial de la Estrategia Sembremos Seguridad 2024, dos por año, una por semestre.</t>
  </si>
  <si>
    <t>PSCC</t>
  </si>
  <si>
    <t>Realizar 4 procesos formativos (Cursos de la oferta de los programas DARE - GREAT - MPAS) en Centros Educativos, dos por año, dentro de los distritos que contemplan las áreas georreferenciadas del informe territorial de la Estrategia Sembremos Seguridad 2024. En caso de no contar con instructor acreditado DARE, se puede cumplir la meta con las charlas de Habilidades para la vida DARE, con el aval del Coordinador Nacional.</t>
  </si>
  <si>
    <t>GREAT/MPAS/DARE</t>
  </si>
  <si>
    <t>Cubrir 2 procesos formativos en Centros Educativos (uno por año) ubicados dentro de los distritos que contemplan las áreas georreferenciadas del informe territorial de la Estrategia Sembremos Seguridad 2024, con los cursos del Programa DARE:  Curso primaria. Curso Secundaria; un nivel completo por centro educativo, por semestre. En caso de no contar con instructor acreditado, se puede cumplir la meta con las charlas de Habilidades para la vida DARE, con el aval del Coordinador Nacional.</t>
  </si>
  <si>
    <t>DARE</t>
  </si>
  <si>
    <t>Cuatro comercios capacitados e integrados al Programa  de Seguridad Comercial que se localicen, en los distritos que contemplan las área georreferenciadas del informe territorial de la Estrategia Sembremos Seguridad 2024, dos por año, una por semestre.</t>
  </si>
  <si>
    <t>Dos estrategias de divulgación (Por medio de brochures, post o imágenes en redes sociales) en el tema del procedimiento para realizar una "Denuncia de ventas de drogas"  diseñadas por la Estrategia de divulgación de la Dirección de Programas Policiales Preventivos dirigidas a las comunidades integradas al Programa de Seguridad Comunitaria que se localicen, en los distritos que contemplan las área georreferenciadas del informe territorial de la Estrategia Sembremos Seguridad 2024, una por año.</t>
  </si>
  <si>
    <t>Cuatro estrategias de divulgación (Por medio de brochures, post o imágenes en redes sociales) diseñadas por la Estrategia de divulgación de la Dirección de Programas Policiales Preventivos, en el tema de "Prevención del Consumo de alcohol en vía pública" dirigidas a las comunidades integradas al Programa de Seguridad Comunitaria y a los comercios integrados al Programa de Seguridad Comercial que se localicen, en los distritos que contemplan las área georreferenciadas del informe territorial de la Estrategia Sembremos Seguridad 2024, dos por año.</t>
  </si>
  <si>
    <t>Cuatro capacitaciones, en el tema de "Denuncia a búnkers", dirigidas a las comunidades integradas al Programa de Seguridad Comunitaria que se localicen, en los distritos que contemplan las área georreferenciadas del informe territorial de la Estrategia Sembremos Seguridad 2024, dos por año, una por semestre.</t>
  </si>
  <si>
    <t>Dos estrategias de divulgación (Por medio de brochures, post o imágenes en redes sociales) en el tema del procedimiento para realizar una "Denuncia de búnkers"  dirigidas a las comunidades integradas al Programa de Seguridad Comunitaria que se localicen, en los distritos que contemplan las área georreferenciadas del informe territorial de la Estrategia Sembremos Seguridad 2024, una por año.</t>
  </si>
  <si>
    <t>Cuatro capacitaciones, en el tema de "Cultura preventiva y auto cuidado", dirigidas a las comunidades integradas al Programa de Seguridad Comunitaria que se localicen, en los distritos que contemplan las área georreferenciadas del informe territorial de la Estrategia Sembremos Seguridad 2024, dos por año, una por semestre.</t>
  </si>
  <si>
    <t>Dos estrategias de divulgación (Por medio de brochures, post o imágenes en redes sociales) en el tema "Cultura preventiva y auto cuidado" dirigidas a las comunidades integradas al Programa de Seguridad Comunitaria que se localicen, en los distritos que contemplan las área georreferenciadas del informe territorial de la Estrategia Sembremos Seguridad 2024, una por año.</t>
  </si>
  <si>
    <t>Dos estrategias de divulgación (Por medio de brochures, post o imágenes en redes sociales) en el tema del procedimiento para realizar una "Denuncia de ventas de drogas"  dirigidas a las comunidades integradas al Programa de Seguridad Comunitaria que se localicen, en los distritos que contemplan las área georreferenciadas del informe territorial de la Estrategia Sembremos Seguridad 2024, una por año.</t>
  </si>
  <si>
    <t>Cuatro Charlas de Cultura Preventiva (Una por año) con enfasis en temas de estafa dirigidas a las comunidades integradas al Programa de Seguridad Comunitaria, que se localicen, en los distritos que contemplan las área georreferenciadas del informe territorial de la Estrategia Sembremos Seguridad 2024, dos por año, una por semestre.</t>
  </si>
  <si>
    <t>Dos estrategias de divulgación (Por medio de brochures, post o imágenes en redes sociales) en el tema del procedimiento para realizar una "Denuncia ante Estafas"  dirigidas a las comunidades integradas al Programa de Seguridad Comunitaria, que se localicen, en los distritos que contemplan las área georreferenciadas del informe territorial de la Estrategia Sembremos Seguridad 2024, una por año.</t>
  </si>
  <si>
    <t>Dos capacitaciones, en el tema de "Cultura Preventiva autocuidado en zonas peligrosas", dirigidas a las comunidades integradas al Programa de Seguridad Comunitaria, que se localicen, en los distritos que contemplan las área georreferenciadas del informe territorial de la Estrategia Sembremos Seguridad 2024, Una por año.</t>
  </si>
  <si>
    <t>Cuatro cursos del componente, Familias GREAT, dirigido a las comunidades integradas al Programa de Seguridad Comunitaria dentro de los distritos que contemplan  las áreas georreferenciadas del informe territorial de la Estrategia Sembremos Seguridad 2024, según los lineamientos del programa.</t>
  </si>
  <si>
    <t>D93  GUACIMO</t>
  </si>
  <si>
    <t>Dos estrategias de divulgación (Por medio de brochures, post o imágenes en redes sociales) en el tema del procedimiento para realizar una "Denuncia de ventas de drogas” diseñadas por la Estrategia de divulgación de la Dirección de Programas Policiales Preventivos dirigidas a las comunidades integradas al Programa de Seguridad Comunitaria que se localicen, en los distritos que contemplan las áreas georreferenciadas del informe territorial de la Estrategia Sembremos Seguridad 2024, una por año.</t>
  </si>
  <si>
    <t>Dos capacitaciones, en el tema de "Denuncia a búnkers", dirigidas a las comunidades integradas al Programa de Seguridad Comunitaria que se localicen, en los distritos que contemplan las área georreferenciadas del informe territorial de la Estrategia Sembremos Seguridad 2024, una por año.</t>
  </si>
  <si>
    <t>Dos capacitaciones, en el tema de Cultura Preventiva enfocada a delitos contra la propiedad.(Prevención en caso de Hurtos, Robo y Asaltos).", dirigidas a las comunidades integradas al Programa de Seguridad Comunitaria que se localicen, en los distritos que contemplan las área georreferenciadas del informe territorial de la Estrategia Sembremos Seguridad 2024, una por año.</t>
  </si>
  <si>
    <t>Dos estrategias de divulgación (Por medio de brochures, post o imágenes en redes sociales) en el tema del procedimiento para realizar una "Cultura Preventiva enfocada a delitos contra la propiedad. (Prevención en caso de Hurtos, Robo y Asallos)."  dirigidas a las comunidades integradas al Programa de Seguridad Comunitaria, que se localicen, dentro del área georreferenciada del informe territorial de la Estrategia Sembremos Seguridad 2024, una por año.</t>
  </si>
  <si>
    <t>Delegación</t>
  </si>
  <si>
    <t>D90</t>
  </si>
  <si>
    <t>SARAPIQUÍ</t>
  </si>
  <si>
    <t>COLORADO</t>
  </si>
  <si>
    <t>POCOCÍ</t>
  </si>
  <si>
    <t>GUÁCIMO</t>
  </si>
  <si>
    <t>D58</t>
  </si>
  <si>
    <t>D59</t>
  </si>
  <si>
    <t>D93</t>
  </si>
  <si>
    <t>AVANCE</t>
  </si>
  <si>
    <t>TOTALES</t>
  </si>
  <si>
    <t>PLAN DE POLITICA LOCAL E IMPLEMENTACIÓN DE LA POLITICA LOCAL DE SEGURIDAD</t>
  </si>
  <si>
    <t>Conformación Comité</t>
  </si>
  <si>
    <t>Conformación de Comercio</t>
  </si>
  <si>
    <t>Reuniones-Jefaturas</t>
  </si>
  <si>
    <t>Campañas de divulgación</t>
  </si>
  <si>
    <t>Capacitaciones</t>
  </si>
  <si>
    <t>Charlas</t>
  </si>
  <si>
    <t>Talleres</t>
  </si>
  <si>
    <t>Sensibilización</t>
  </si>
  <si>
    <t>Actividades deportivas</t>
  </si>
  <si>
    <t>Cine en mi Barrio</t>
  </si>
  <si>
    <t>Cívico-policial</t>
  </si>
  <si>
    <t>Actividades culturales</t>
  </si>
  <si>
    <t>Ferias</t>
  </si>
  <si>
    <t>Stand informativo</t>
  </si>
  <si>
    <t>Visitas</t>
  </si>
  <si>
    <t>Recuperación del espacio público</t>
  </si>
  <si>
    <t>Convocatoria de Mesas Locales</t>
  </si>
  <si>
    <t>Exposición Informe Territorial ESS</t>
  </si>
  <si>
    <t>Primera Sesión de Trabajo</t>
  </si>
  <si>
    <t>Segunda Sesión - Conformación Secretaria Técnica</t>
  </si>
  <si>
    <t>Tercera Sesión</t>
  </si>
  <si>
    <t>Elaboracióin del Texto de la Política Local</t>
  </si>
  <si>
    <t>Revisión Técnica DPPP</t>
  </si>
  <si>
    <t>Revisión Area Legal Gobierno Local</t>
  </si>
  <si>
    <t>Incorporación de Observaciones</t>
  </si>
  <si>
    <t>Aval del Director Regional</t>
  </si>
  <si>
    <t>Presentación al Consejo Municipal</t>
  </si>
  <si>
    <t>Presentación ante la Comunidad por parte del Director Regional y Alcalde</t>
  </si>
  <si>
    <t>D89 POCOCÍ SUR</t>
  </si>
  <si>
    <t>D98 POCOCÍ NORTE</t>
  </si>
  <si>
    <t>% AVANCE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</si>
</sst>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9"/>
      <color theme="1"/>
      <name val="Calibri"/>
      <family val="2"/>
    </font>
    <font>
      <b/>
      <sz val="9"/>
      <name val="Aptos Narrow"/>
      <family val="2"/>
      <scheme val="minor"/>
    </font>
    <font>
      <b/>
      <sz val="9"/>
      <name val="Calibri"/>
      <family val="2"/>
    </font>
    <font>
      <b/>
      <sz val="9"/>
      <color rgb="FF000000"/>
      <name val="Calibri"/>
      <family val="2"/>
    </font>
    <font>
      <sz val="11"/>
      <color rgb="FFFFC000"/>
      <name val="Aptos Narrow"/>
      <family val="2"/>
      <scheme val="minor"/>
    </font>
    <font>
      <sz val="11"/>
      <name val="Aptos Narrow"/>
      <family val="2"/>
      <scheme val="minor"/>
    </font>
    <font>
      <b/>
      <sz val="11"/>
      <color rgb="FFFFC000"/>
      <name val="Aptos Narrow"/>
      <family val="2"/>
      <scheme val="minor"/>
    </font>
    <font>
      <sz val="10"/>
      <color rgb="FF000000"/>
      <name val="Times New Roman"/>
      <family val="1"/>
    </font>
    <font>
      <b/>
      <sz val="9"/>
      <name val="Arial"/>
      <family val="2"/>
    </font>
  </fonts>
  <fills count="23">
    <fill>
      <patternFill patternType="none"/>
    </fill>
    <fill>
      <patternFill patternType="gray125"/>
    </fill>
    <fill>
      <patternFill patternType="solid">
        <fgColor rgb="FFDEEAF6"/>
        <bgColor rgb="FFDEEAF6"/>
      </patternFill>
    </fill>
    <fill>
      <patternFill patternType="solid">
        <fgColor rgb="FFE2EFD9"/>
        <bgColor rgb="FFE2EFD9"/>
      </patternFill>
    </fill>
    <fill>
      <patternFill patternType="solid">
        <fgColor rgb="FFFBE4D5"/>
        <bgColor rgb="FFFBE4D5"/>
      </patternFill>
    </fill>
    <fill>
      <patternFill patternType="solid">
        <fgColor theme="3"/>
        <bgColor indexed="64"/>
      </patternFill>
    </fill>
    <fill>
      <patternFill patternType="solid">
        <fgColor rgb="FFDEEAF6"/>
        <bgColor indexed="64"/>
      </patternFill>
    </fill>
    <fill>
      <patternFill patternType="solid">
        <fgColor theme="4" tint="0.79998168889431442"/>
        <bgColor indexed="64"/>
      </patternFill>
    </fill>
    <fill>
      <patternFill patternType="solid">
        <fgColor rgb="FFE2EFD9"/>
        <bgColor indexed="64"/>
      </patternFill>
    </fill>
    <fill>
      <patternFill patternType="solid">
        <fgColor theme="9" tint="0.79998168889431442"/>
        <bgColor indexed="64"/>
      </patternFill>
    </fill>
    <fill>
      <patternFill patternType="solid">
        <fgColor rgb="FFFBE4D5"/>
        <bgColor indexed="64"/>
      </patternFill>
    </fill>
    <fill>
      <patternFill patternType="solid">
        <fgColor theme="5" tint="0.79998168889431442"/>
        <bgColor indexed="64"/>
      </patternFill>
    </fill>
    <fill>
      <patternFill patternType="solid">
        <fgColor rgb="FFDDEBF7"/>
        <bgColor indexed="64"/>
      </patternFill>
    </fill>
    <fill>
      <patternFill patternType="solid">
        <fgColor rgb="FFE2EFDA"/>
        <bgColor indexed="64"/>
      </patternFill>
    </fill>
    <fill>
      <patternFill patternType="solid">
        <fgColor theme="1"/>
        <bgColor indexed="64"/>
      </patternFill>
    </fill>
    <fill>
      <patternFill patternType="solid">
        <fgColor theme="0" tint="-0.34998626667073579"/>
        <bgColor indexed="64"/>
      </patternFill>
    </fill>
    <fill>
      <patternFill patternType="solid">
        <fgColor rgb="FFFFC000"/>
        <bgColor indexed="64"/>
      </patternFill>
    </fill>
    <fill>
      <patternFill patternType="solid">
        <fgColor theme="3" tint="-0.249977111117893"/>
        <bgColor indexed="64"/>
      </patternFill>
    </fill>
    <fill>
      <patternFill patternType="solid">
        <fgColor theme="4" tint="0.79995117038483843"/>
        <bgColor indexed="64"/>
      </patternFill>
    </fill>
    <fill>
      <patternFill patternType="solid">
        <fgColor theme="9" tint="0.79995117038483843"/>
        <bgColor indexed="64"/>
      </patternFill>
    </fill>
    <fill>
      <patternFill patternType="solid">
        <fgColor theme="5" tint="0.79995117038483843"/>
        <bgColor indexed="64"/>
      </patternFill>
    </fill>
    <fill>
      <patternFill patternType="solid">
        <fgColor theme="4" tint="-0.499984740745262"/>
        <bgColor indexed="64"/>
      </patternFill>
    </fill>
    <fill>
      <patternFill patternType="solid">
        <fgColor theme="0" tint="-0.14999847407452621"/>
        <bgColor indexed="64"/>
      </patternFill>
    </fill>
  </fills>
  <borders count="16">
    <border>
      <left/>
      <right/>
      <top/>
      <bottom/>
      <diagonal/>
    </border>
    <border>
      <left style="medium">
        <color theme="0"/>
      </left>
      <right/>
      <top style="medium">
        <color theme="0"/>
      </top>
      <bottom/>
      <diagonal/>
    </border>
    <border>
      <left style="medium">
        <color theme="0"/>
      </left>
      <right style="medium">
        <color theme="0"/>
      </right>
      <top style="medium">
        <color theme="0"/>
      </top>
      <bottom style="thin">
        <color theme="0"/>
      </bottom>
      <diagonal/>
    </border>
    <border>
      <left style="medium">
        <color theme="0"/>
      </left>
      <right style="medium">
        <color theme="0"/>
      </right>
      <top style="thin">
        <color theme="0"/>
      </top>
      <bottom style="medium">
        <color theme="0"/>
      </bottom>
      <diagonal/>
    </border>
    <border>
      <left/>
      <right style="medium">
        <color auto="1"/>
      </right>
      <top/>
      <bottom style="medium">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style="thin">
        <color indexed="64"/>
      </right>
      <top/>
      <bottom/>
      <diagonal/>
    </border>
    <border>
      <left style="medium">
        <color theme="0"/>
      </left>
      <right/>
      <top/>
      <bottom style="medium">
        <color indexed="64"/>
      </bottom>
      <diagonal/>
    </border>
    <border>
      <left style="medium">
        <color indexed="64"/>
      </left>
      <right/>
      <top style="thin">
        <color indexed="64"/>
      </top>
      <bottom/>
      <diagonal/>
    </border>
    <border>
      <left style="thin">
        <color theme="0"/>
      </left>
      <right style="medium">
        <color indexed="64"/>
      </right>
      <top style="thin">
        <color theme="0"/>
      </top>
      <bottom/>
      <diagonal/>
    </border>
    <border>
      <left style="medium">
        <color indexed="64"/>
      </left>
      <right/>
      <top/>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1" fillId="0" borderId="0"/>
  </cellStyleXfs>
  <cellXfs count="50">
    <xf numFmtId="0" fontId="0" fillId="0" borderId="0" xfId="0"/>
    <xf numFmtId="0" fontId="0" fillId="0" borderId="0" xfId="0" applyProtection="1">
      <protection locked="0"/>
    </xf>
    <xf numFmtId="0" fontId="3" fillId="0" borderId="0" xfId="0" applyFont="1" applyProtection="1">
      <protection locked="0"/>
    </xf>
    <xf numFmtId="0" fontId="4" fillId="2" borderId="4" xfId="0" applyFont="1" applyFill="1" applyBorder="1" applyAlignment="1">
      <alignment horizontal="left" vertical="center" wrapText="1"/>
    </xf>
    <xf numFmtId="0" fontId="6" fillId="3" borderId="4" xfId="0" applyFont="1" applyFill="1" applyBorder="1" applyAlignment="1">
      <alignment horizontal="left" vertical="center" wrapText="1"/>
    </xf>
    <xf numFmtId="0" fontId="4" fillId="4" borderId="4" xfId="0" applyFont="1" applyFill="1" applyBorder="1" applyAlignment="1">
      <alignment horizontal="left" vertical="center" wrapText="1"/>
    </xf>
    <xf numFmtId="0" fontId="1" fillId="5" borderId="2" xfId="0" applyFont="1" applyFill="1" applyBorder="1" applyAlignment="1">
      <alignment horizontal="center"/>
    </xf>
    <xf numFmtId="0" fontId="4" fillId="6" borderId="7" xfId="0" applyFont="1" applyFill="1" applyBorder="1" applyAlignment="1">
      <alignment horizontal="left" vertical="center" wrapText="1"/>
    </xf>
    <xf numFmtId="0" fontId="7" fillId="8" borderId="7" xfId="0" applyFont="1" applyFill="1" applyBorder="1" applyAlignment="1">
      <alignment horizontal="left" vertical="center" wrapText="1"/>
    </xf>
    <xf numFmtId="0" fontId="4" fillId="10" borderId="7" xfId="0" applyFont="1" applyFill="1" applyBorder="1" applyAlignment="1">
      <alignment horizontal="left" vertical="center" wrapText="1"/>
    </xf>
    <xf numFmtId="0" fontId="7" fillId="12" borderId="7" xfId="0" applyFont="1" applyFill="1" applyBorder="1" applyAlignment="1">
      <alignment horizontal="left" vertical="center" wrapText="1"/>
    </xf>
    <xf numFmtId="0" fontId="1" fillId="5" borderId="3" xfId="0" applyFont="1" applyFill="1" applyBorder="1" applyAlignment="1">
      <alignment horizontal="center" vertical="center"/>
    </xf>
    <xf numFmtId="0" fontId="7" fillId="13" borderId="7" xfId="0" applyFont="1" applyFill="1" applyBorder="1" applyAlignment="1">
      <alignment horizontal="left" vertical="center" wrapText="1"/>
    </xf>
    <xf numFmtId="0" fontId="4" fillId="6" borderId="4" xfId="0" applyFont="1" applyFill="1" applyBorder="1" applyAlignment="1">
      <alignment horizontal="left" vertical="center" wrapText="1"/>
    </xf>
    <xf numFmtId="0" fontId="5" fillId="7" borderId="5" xfId="0" applyFont="1" applyFill="1" applyBorder="1" applyAlignment="1">
      <alignment horizontal="center" vertical="center" wrapText="1"/>
    </xf>
    <xf numFmtId="0" fontId="7" fillId="8" borderId="4" xfId="0" applyFont="1" applyFill="1" applyBorder="1" applyAlignment="1">
      <alignment horizontal="left" vertical="center" wrapText="1"/>
    </xf>
    <xf numFmtId="0" fontId="2" fillId="15" borderId="7" xfId="0" applyFont="1" applyFill="1" applyBorder="1" applyAlignment="1">
      <alignment horizontal="center"/>
    </xf>
    <xf numFmtId="0" fontId="10" fillId="5" borderId="8" xfId="0" applyFont="1" applyFill="1" applyBorder="1"/>
    <xf numFmtId="0" fontId="8" fillId="14" borderId="0" xfId="0" applyFont="1" applyFill="1" applyAlignment="1">
      <alignment horizontal="center"/>
    </xf>
    <xf numFmtId="0" fontId="0" fillId="0" borderId="7" xfId="0" applyBorder="1" applyAlignment="1">
      <alignment horizontal="center"/>
    </xf>
    <xf numFmtId="1" fontId="0" fillId="0" borderId="7" xfId="0" applyNumberFormat="1" applyBorder="1" applyAlignment="1">
      <alignment horizontal="center"/>
    </xf>
    <xf numFmtId="0" fontId="2" fillId="16" borderId="7" xfId="0" applyFont="1" applyFill="1" applyBorder="1" applyAlignment="1">
      <alignment horizontal="center"/>
    </xf>
    <xf numFmtId="0" fontId="1" fillId="5" borderId="0" xfId="0" applyFont="1" applyFill="1" applyAlignment="1">
      <alignment horizontal="center"/>
    </xf>
    <xf numFmtId="1" fontId="5" fillId="0" borderId="5" xfId="0" applyNumberFormat="1" applyFont="1" applyBorder="1" applyAlignment="1">
      <alignment horizontal="center" vertical="center" wrapText="1"/>
    </xf>
    <xf numFmtId="0" fontId="0" fillId="0" borderId="7" xfId="0" applyBorder="1" applyAlignment="1">
      <alignment horizontal="center"/>
    </xf>
    <xf numFmtId="0" fontId="9" fillId="0" borderId="7" xfId="0" applyFont="1" applyFill="1" applyBorder="1"/>
    <xf numFmtId="0" fontId="3" fillId="17" borderId="0" xfId="0" applyFont="1" applyFill="1" applyProtection="1">
      <protection locked="0"/>
    </xf>
    <xf numFmtId="0" fontId="5" fillId="18" borderId="7" xfId="0" applyFont="1" applyFill="1" applyBorder="1" applyAlignment="1">
      <alignment horizontal="center" vertical="center" textRotation="90" wrapText="1"/>
    </xf>
    <xf numFmtId="0" fontId="2" fillId="0" borderId="7" xfId="0" applyFont="1" applyBorder="1" applyAlignment="1" applyProtection="1">
      <alignment horizontal="center" vertical="center"/>
      <protection locked="0"/>
    </xf>
    <xf numFmtId="0" fontId="5" fillId="19" borderId="7" xfId="0" applyFont="1" applyFill="1" applyBorder="1" applyAlignment="1">
      <alignment horizontal="center" vertical="center" textRotation="90" wrapText="1"/>
    </xf>
    <xf numFmtId="0" fontId="5" fillId="9" borderId="6" xfId="0" applyFont="1" applyFill="1" applyBorder="1" applyAlignment="1">
      <alignment horizontal="center" vertical="center" wrapText="1"/>
    </xf>
    <xf numFmtId="0" fontId="5" fillId="20" borderId="7" xfId="0" applyFont="1" applyFill="1" applyBorder="1" applyAlignment="1">
      <alignment horizontal="center" vertical="center" textRotation="90" wrapText="1"/>
    </xf>
    <xf numFmtId="0" fontId="5" fillId="11" borderId="6"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1" fillId="21" borderId="11" xfId="0" applyFont="1" applyFill="1" applyBorder="1" applyAlignment="1">
      <alignment horizontal="left" vertical="center" wrapText="1"/>
    </xf>
    <xf numFmtId="0" fontId="0" fillId="0" borderId="7" xfId="0" applyBorder="1" applyProtection="1">
      <protection locked="0"/>
    </xf>
    <xf numFmtId="0" fontId="12" fillId="22" borderId="13" xfId="0" applyFont="1" applyFill="1" applyBorder="1" applyAlignment="1">
      <alignment horizontal="left" vertical="center" wrapText="1"/>
    </xf>
    <xf numFmtId="0" fontId="12" fillId="22" borderId="15" xfId="0" applyFont="1" applyFill="1" applyBorder="1" applyAlignment="1">
      <alignment horizontal="left" vertical="center" wrapText="1"/>
    </xf>
    <xf numFmtId="0" fontId="2" fillId="0" borderId="7" xfId="0" applyFont="1" applyBorder="1" applyAlignment="1" applyProtection="1">
      <alignment horizontal="center"/>
      <protection locked="0"/>
    </xf>
    <xf numFmtId="1" fontId="2" fillId="0" borderId="7" xfId="0" applyNumberFormat="1" applyFont="1" applyBorder="1" applyAlignment="1" applyProtection="1">
      <alignment horizontal="center" vertical="center"/>
      <protection locked="0"/>
    </xf>
    <xf numFmtId="0" fontId="2" fillId="0" borderId="0" xfId="0" applyFont="1" applyProtection="1">
      <protection locked="0"/>
    </xf>
    <xf numFmtId="10" fontId="1" fillId="21" borderId="0" xfId="0" applyNumberFormat="1" applyFont="1" applyFill="1" applyAlignment="1" applyProtection="1">
      <alignment horizontal="center"/>
      <protection locked="0"/>
    </xf>
    <xf numFmtId="0" fontId="2" fillId="16" borderId="0" xfId="0" applyFont="1" applyFill="1" applyAlignment="1">
      <alignment horizontal="center"/>
    </xf>
    <xf numFmtId="10" fontId="0" fillId="0" borderId="7" xfId="0" applyNumberFormat="1" applyBorder="1" applyAlignment="1">
      <alignment horizontal="center"/>
    </xf>
    <xf numFmtId="0" fontId="1" fillId="5" borderId="1" xfId="0" applyFont="1" applyFill="1" applyBorder="1" applyAlignment="1">
      <alignment horizontal="center" vertical="center" textRotation="90"/>
    </xf>
    <xf numFmtId="0" fontId="1" fillId="5" borderId="9" xfId="0" applyFont="1" applyFill="1" applyBorder="1" applyAlignment="1">
      <alignment horizontal="center" vertical="center" textRotation="90"/>
    </xf>
    <xf numFmtId="0" fontId="5" fillId="7" borderId="10" xfId="0" applyFont="1" applyFill="1" applyBorder="1" applyAlignment="1">
      <alignment horizontal="center" vertical="center" textRotation="90" wrapText="1"/>
    </xf>
    <xf numFmtId="0" fontId="5" fillId="7" borderId="12" xfId="0" applyFont="1" applyFill="1" applyBorder="1" applyAlignment="1">
      <alignment horizontal="center" vertical="center" textRotation="90" wrapText="1"/>
    </xf>
    <xf numFmtId="0" fontId="5" fillId="7" borderId="14" xfId="0" applyFont="1" applyFill="1" applyBorder="1" applyAlignment="1">
      <alignment horizontal="center" vertical="center" textRotation="90" wrapText="1"/>
    </xf>
    <xf numFmtId="0" fontId="8" fillId="14" borderId="7" xfId="0" applyFont="1" applyFill="1" applyBorder="1" applyAlignment="1">
      <alignment horizontal="center"/>
    </xf>
  </cellXfs>
  <cellStyles count="2">
    <cellStyle name="Normal" xfId="0" builtinId="0"/>
    <cellStyle name="Normal 2" xfId="1" xr:uid="{00000000-0005-0000-0000-000001000000}"/>
  </cellStyles>
  <dxfs count="12">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12/POCOCI%20PUMI%20JUNIO%202025.xlsx?BEDE889C" TargetMode="External"/><Relationship Id="rId1" Type="http://schemas.openxmlformats.org/officeDocument/2006/relationships/externalLinkPath" Target="file:///\\BEDE889C\POCOCI%20PUMI%20JUNIO%202025.xlsx"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20TRIMESTRE/DR12%20MARZO%20(PUMI)/D93%20Gu&#225;cimo%20REVISADO%2021%20MARZO%202025.xlsx?7049E1EF" TargetMode="External"/><Relationship Id="rId1" Type="http://schemas.openxmlformats.org/officeDocument/2006/relationships/externalLinkPath" Target="file:///\\7049E1EF\D93%20Gu&#225;cimo%20REVISADO%2021%20MARZO%202025.xlsx" TargetMode="External"/></Relationships>
</file>

<file path=xl/externalLinks/_rels/externalLink3.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12/PUMI%20COLORADO%20JUNIO%202025.xlsx?BEDE889C" TargetMode="External"/><Relationship Id="rId1" Type="http://schemas.openxmlformats.org/officeDocument/2006/relationships/externalLinkPath" Target="file:///\\BEDE889C\PUMI%20COLORADO%20JUNIO%202025.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d.docs.live.net/3ad020c316d05c7c/Escritorio/Avance%20Planificaci&#243;n%20Diferenciada%20Nacional%202025/Actividad%204%20Planificaci&#243;n%20Diferenciada/16.%20PUMI%202025/II%20TRIMESTRE/JUNIO/DR1%20CENTRAL/D1%20Carmen%20PUMI%202025%20Junio.xlsx"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12/D58-PUMI%20JUNIO%202025.%20(1).xlsx?BEDE889C" TargetMode="External"/><Relationship Id="rId1" Type="http://schemas.openxmlformats.org/officeDocument/2006/relationships/externalLinkPath" Target="file:///\\BEDE889C\D58-PUMI%20JUNIO%202025.%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89 POCOCÍ PSCC "/>
      <sheetName val="D89 POCOCÍ  VIF"/>
      <sheetName val="D89 POCOCÍ DARE"/>
      <sheetName val="D89 POCOCÍ  GREAT"/>
      <sheetName val="D89 POCOCÍ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93 GUACIMO PSCC "/>
      <sheetName val="D93 GUACIMO  VIF"/>
      <sheetName val="D93 GUACIMO  DARE"/>
      <sheetName val="D93 GUACIMO GREAT"/>
      <sheetName val="D93 GUACIMO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59 COLORADO PSCC "/>
      <sheetName val="D59 COLORADO VIF"/>
      <sheetName val="D59 COLORADO  DARE"/>
      <sheetName val="D59 COLORADO  GREAT"/>
      <sheetName val="D59 COLORADO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01 Carmen PSCC "/>
      <sheetName val="D01 VIF"/>
      <sheetName val="D01 Carmen DARE"/>
      <sheetName val="D01 Carmen GREAT"/>
      <sheetName val="D01 Carmen MPAS"/>
      <sheetName val="Totales PDIF"/>
      <sheetName val="Totales Política Pública"/>
      <sheetName val="DAT1"/>
      <sheetName val="DAT2"/>
      <sheetName val="D1 Carmen PUMI 2025 Junio"/>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58 SARAPIQUÍ PSCC "/>
      <sheetName val="D58 SARAPIQUÍ  VIF"/>
      <sheetName val="D58 SARAPIQUÍ  DARE"/>
      <sheetName val="D58 SARAPIQUÍ  GREAT"/>
      <sheetName val="D58 SARAPIQUÍ  MPAS"/>
      <sheetName val="Totales PDIF"/>
      <sheetName val="Totales Política Pública"/>
      <sheetName val="DAT1"/>
      <sheetName val="DAT2"/>
      <sheetName val="D58-PUMI JUNIO 2025. (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38"/>
  <sheetViews>
    <sheetView topLeftCell="B1" zoomScale="60" zoomScaleNormal="60" workbookViewId="0">
      <selection activeCell="J6" sqref="J6"/>
    </sheetView>
  </sheetViews>
  <sheetFormatPr baseColWidth="10" defaultColWidth="11.42578125" defaultRowHeight="15" x14ac:dyDescent="0.25"/>
  <cols>
    <col min="1" max="1" width="4.140625" style="1" customWidth="1"/>
    <col min="2" max="2" width="105.42578125" style="1" customWidth="1"/>
    <col min="3" max="3" width="11.42578125" style="1"/>
    <col min="4" max="4" width="22.42578125" style="1" customWidth="1"/>
    <col min="5" max="9" width="17.28515625" style="1" customWidth="1"/>
    <col min="10" max="16384" width="11.42578125" style="1"/>
  </cols>
  <sheetData>
    <row r="1" spans="1:16" ht="61.5" customHeight="1" x14ac:dyDescent="0.25">
      <c r="A1" s="44" t="s">
        <v>1</v>
      </c>
      <c r="B1" s="22" t="s">
        <v>0</v>
      </c>
      <c r="C1" s="6" t="s">
        <v>2</v>
      </c>
      <c r="D1" s="6" t="s">
        <v>3</v>
      </c>
      <c r="E1" s="6" t="s">
        <v>4</v>
      </c>
      <c r="F1" s="6" t="s">
        <v>5</v>
      </c>
      <c r="G1" s="6" t="s">
        <v>6</v>
      </c>
      <c r="H1" s="6" t="s">
        <v>7</v>
      </c>
      <c r="I1" s="6" t="s">
        <v>8</v>
      </c>
      <c r="J1" s="6" t="s">
        <v>9</v>
      </c>
      <c r="K1" s="6" t="s">
        <v>10</v>
      </c>
      <c r="L1" s="6" t="s">
        <v>11</v>
      </c>
      <c r="M1" s="6" t="s">
        <v>12</v>
      </c>
      <c r="N1" s="6" t="s">
        <v>13</v>
      </c>
      <c r="O1" s="6" t="s">
        <v>14</v>
      </c>
      <c r="P1" s="6" t="s">
        <v>15</v>
      </c>
    </row>
    <row r="2" spans="1:16" s="2" customFormat="1" ht="15.75" thickBot="1" x14ac:dyDescent="0.3">
      <c r="A2" s="45"/>
      <c r="B2" s="22"/>
      <c r="C2" s="11">
        <v>2026</v>
      </c>
      <c r="D2" s="11" t="s">
        <v>16</v>
      </c>
      <c r="E2" s="26"/>
      <c r="F2" s="26"/>
      <c r="G2" s="26"/>
      <c r="H2" s="26"/>
      <c r="I2" s="26"/>
      <c r="J2" s="26"/>
      <c r="K2" s="26"/>
      <c r="L2" s="26"/>
      <c r="M2" s="26"/>
      <c r="N2" s="26"/>
      <c r="O2" s="26"/>
      <c r="P2" s="26"/>
    </row>
    <row r="3" spans="1:16" ht="81" customHeight="1" thickBot="1" x14ac:dyDescent="0.3">
      <c r="A3" s="27" t="s">
        <v>18</v>
      </c>
      <c r="B3" s="3" t="s">
        <v>17</v>
      </c>
      <c r="C3" s="14">
        <v>2</v>
      </c>
      <c r="D3" s="23">
        <f t="shared" ref="D3:D8" si="0">SUM(E3:P3)</f>
        <v>0</v>
      </c>
      <c r="E3" s="28"/>
      <c r="F3" s="28"/>
      <c r="G3" s="28"/>
      <c r="H3" s="28"/>
      <c r="I3" s="28"/>
      <c r="J3" s="28"/>
      <c r="K3" s="28"/>
      <c r="L3" s="28"/>
      <c r="M3" s="28"/>
      <c r="N3" s="28"/>
      <c r="O3" s="28"/>
      <c r="P3" s="28"/>
    </row>
    <row r="4" spans="1:16" ht="81" customHeight="1" thickBot="1" x14ac:dyDescent="0.3">
      <c r="A4" s="29" t="s">
        <v>20</v>
      </c>
      <c r="B4" s="4" t="s">
        <v>19</v>
      </c>
      <c r="C4" s="30">
        <v>2</v>
      </c>
      <c r="D4" s="23">
        <f t="shared" si="0"/>
        <v>2</v>
      </c>
      <c r="E4" s="28">
        <v>0</v>
      </c>
      <c r="F4" s="28">
        <v>0</v>
      </c>
      <c r="G4" s="28">
        <v>0</v>
      </c>
      <c r="H4" s="28">
        <v>0</v>
      </c>
      <c r="I4" s="28">
        <v>2</v>
      </c>
      <c r="J4" s="28"/>
      <c r="K4" s="28"/>
      <c r="L4" s="28"/>
      <c r="M4" s="28"/>
      <c r="N4" s="28"/>
      <c r="O4" s="28"/>
      <c r="P4" s="28"/>
    </row>
    <row r="5" spans="1:16" ht="81" customHeight="1" thickBot="1" x14ac:dyDescent="0.3">
      <c r="A5" s="31" t="s">
        <v>22</v>
      </c>
      <c r="B5" s="5" t="s">
        <v>21</v>
      </c>
      <c r="C5" s="32">
        <v>1</v>
      </c>
      <c r="D5" s="23">
        <f t="shared" si="0"/>
        <v>0</v>
      </c>
      <c r="E5" s="28">
        <v>0</v>
      </c>
      <c r="F5" s="28">
        <v>0</v>
      </c>
      <c r="G5" s="28">
        <v>0</v>
      </c>
      <c r="H5" s="28">
        <v>0</v>
      </c>
      <c r="I5" s="28"/>
      <c r="J5" s="28"/>
      <c r="K5" s="28"/>
      <c r="L5" s="28"/>
      <c r="M5" s="28"/>
      <c r="N5" s="28"/>
      <c r="O5" s="28"/>
      <c r="P5" s="28"/>
    </row>
    <row r="6" spans="1:16" ht="81" customHeight="1" thickBot="1" x14ac:dyDescent="0.3">
      <c r="A6" s="27" t="s">
        <v>18</v>
      </c>
      <c r="B6" s="3" t="s">
        <v>23</v>
      </c>
      <c r="C6" s="33">
        <v>2</v>
      </c>
      <c r="D6" s="23">
        <f t="shared" si="0"/>
        <v>0</v>
      </c>
      <c r="E6" s="28"/>
      <c r="F6" s="28"/>
      <c r="G6" s="28"/>
      <c r="H6" s="28"/>
      <c r="I6" s="28"/>
      <c r="J6" s="28"/>
      <c r="K6" s="28"/>
      <c r="L6" s="28"/>
      <c r="M6" s="28"/>
      <c r="N6" s="28"/>
      <c r="O6" s="28"/>
      <c r="P6" s="28"/>
    </row>
    <row r="7" spans="1:16" ht="81" customHeight="1" thickBot="1" x14ac:dyDescent="0.3">
      <c r="A7" s="27" t="s">
        <v>18</v>
      </c>
      <c r="B7" s="3" t="s">
        <v>24</v>
      </c>
      <c r="C7" s="33">
        <v>1</v>
      </c>
      <c r="D7" s="23">
        <f t="shared" si="0"/>
        <v>0</v>
      </c>
      <c r="E7" s="28"/>
      <c r="F7" s="28"/>
      <c r="G7" s="28"/>
      <c r="H7" s="28"/>
      <c r="I7" s="28"/>
      <c r="J7" s="28"/>
      <c r="K7" s="28"/>
      <c r="L7" s="28"/>
      <c r="M7" s="28"/>
      <c r="N7" s="28"/>
      <c r="O7" s="28"/>
      <c r="P7" s="28"/>
    </row>
    <row r="8" spans="1:16" ht="81" customHeight="1" thickBot="1" x14ac:dyDescent="0.3">
      <c r="A8" s="27" t="s">
        <v>18</v>
      </c>
      <c r="B8" s="3" t="s">
        <v>25</v>
      </c>
      <c r="C8" s="33">
        <v>2</v>
      </c>
      <c r="D8" s="23">
        <f t="shared" si="0"/>
        <v>0</v>
      </c>
      <c r="E8" s="28"/>
      <c r="F8" s="28"/>
      <c r="G8" s="28"/>
      <c r="H8" s="28"/>
      <c r="I8" s="28"/>
      <c r="J8" s="28"/>
      <c r="K8" s="28"/>
      <c r="L8" s="28"/>
      <c r="M8" s="28"/>
      <c r="N8" s="28"/>
      <c r="O8" s="28"/>
      <c r="P8" s="28"/>
    </row>
    <row r="9" spans="1:16" ht="28.5" customHeight="1" x14ac:dyDescent="0.25">
      <c r="A9" s="46" t="s">
        <v>51</v>
      </c>
      <c r="B9" s="34" t="s">
        <v>52</v>
      </c>
      <c r="C9" s="33">
        <v>3</v>
      </c>
      <c r="D9" s="23">
        <f t="shared" ref="D9:D36" si="1">SUM(E9:O9)</f>
        <v>1</v>
      </c>
      <c r="E9" s="28"/>
      <c r="F9" s="28"/>
      <c r="G9" s="28">
        <v>1</v>
      </c>
      <c r="H9" s="28"/>
      <c r="I9" s="28"/>
      <c r="J9" s="28"/>
      <c r="K9" s="28"/>
      <c r="L9" s="28"/>
      <c r="M9" s="28"/>
      <c r="N9" s="28"/>
      <c r="O9" s="28"/>
      <c r="P9" s="35"/>
    </row>
    <row r="10" spans="1:16" ht="28.5" customHeight="1" x14ac:dyDescent="0.25">
      <c r="A10" s="47"/>
      <c r="B10" s="34" t="s">
        <v>53</v>
      </c>
      <c r="C10" s="33">
        <v>3</v>
      </c>
      <c r="D10" s="23">
        <f t="shared" si="1"/>
        <v>1</v>
      </c>
      <c r="E10" s="28"/>
      <c r="F10" s="28"/>
      <c r="G10" s="28"/>
      <c r="H10" s="28">
        <v>1</v>
      </c>
      <c r="I10" s="28"/>
      <c r="J10" s="28"/>
      <c r="K10" s="28"/>
      <c r="L10" s="28"/>
      <c r="M10" s="28"/>
      <c r="N10" s="28"/>
      <c r="O10" s="28"/>
      <c r="P10" s="35"/>
    </row>
    <row r="11" spans="1:16" ht="28.5" customHeight="1" x14ac:dyDescent="0.25">
      <c r="A11" s="47"/>
      <c r="B11" s="34" t="s">
        <v>54</v>
      </c>
      <c r="C11" s="33">
        <v>108</v>
      </c>
      <c r="D11" s="23">
        <f t="shared" si="1"/>
        <v>52</v>
      </c>
      <c r="E11" s="28">
        <v>15</v>
      </c>
      <c r="F11" s="28">
        <v>10</v>
      </c>
      <c r="G11" s="28">
        <v>3</v>
      </c>
      <c r="H11" s="28">
        <v>16</v>
      </c>
      <c r="I11" s="28">
        <v>8</v>
      </c>
      <c r="J11" s="28"/>
      <c r="K11" s="28"/>
      <c r="L11" s="28"/>
      <c r="M11" s="28"/>
      <c r="N11" s="28"/>
      <c r="O11" s="28"/>
      <c r="P11" s="35"/>
    </row>
    <row r="12" spans="1:16" ht="28.5" customHeight="1" x14ac:dyDescent="0.25">
      <c r="A12" s="47"/>
      <c r="B12" s="34" t="s">
        <v>55</v>
      </c>
      <c r="C12" s="33">
        <v>49</v>
      </c>
      <c r="D12" s="23">
        <f t="shared" si="1"/>
        <v>11</v>
      </c>
      <c r="E12" s="28"/>
      <c r="F12" s="28"/>
      <c r="G12" s="28"/>
      <c r="H12" s="28">
        <v>11</v>
      </c>
      <c r="I12" s="28"/>
      <c r="J12" s="28"/>
      <c r="K12" s="28"/>
      <c r="L12" s="28"/>
      <c r="M12" s="28"/>
      <c r="N12" s="28"/>
      <c r="O12" s="28"/>
      <c r="P12" s="35"/>
    </row>
    <row r="13" spans="1:16" ht="28.5" customHeight="1" x14ac:dyDescent="0.25">
      <c r="A13" s="47"/>
      <c r="B13" s="34" t="s">
        <v>56</v>
      </c>
      <c r="C13" s="33">
        <v>16</v>
      </c>
      <c r="D13" s="23">
        <f t="shared" si="1"/>
        <v>9</v>
      </c>
      <c r="E13" s="28"/>
      <c r="F13" s="28">
        <v>9</v>
      </c>
      <c r="G13" s="28"/>
      <c r="H13" s="28"/>
      <c r="I13" s="28"/>
      <c r="J13" s="28"/>
      <c r="K13" s="28"/>
      <c r="L13" s="28"/>
      <c r="M13" s="28"/>
      <c r="N13" s="28"/>
      <c r="O13" s="28"/>
      <c r="P13" s="35"/>
    </row>
    <row r="14" spans="1:16" ht="28.5" customHeight="1" x14ac:dyDescent="0.25">
      <c r="A14" s="47"/>
      <c r="B14" s="34" t="s">
        <v>57</v>
      </c>
      <c r="C14" s="33">
        <v>16</v>
      </c>
      <c r="D14" s="23">
        <f t="shared" si="1"/>
        <v>0</v>
      </c>
      <c r="E14" s="28"/>
      <c r="F14" s="28"/>
      <c r="G14" s="28"/>
      <c r="H14" s="28"/>
      <c r="I14" s="28"/>
      <c r="J14" s="28"/>
      <c r="K14" s="28"/>
      <c r="L14" s="28"/>
      <c r="M14" s="28"/>
      <c r="N14" s="28"/>
      <c r="O14" s="28"/>
      <c r="P14" s="35"/>
    </row>
    <row r="15" spans="1:16" ht="28.5" customHeight="1" x14ac:dyDescent="0.25">
      <c r="A15" s="47"/>
      <c r="B15" s="34" t="s">
        <v>58</v>
      </c>
      <c r="C15" s="33">
        <v>0</v>
      </c>
      <c r="D15" s="23">
        <f t="shared" si="1"/>
        <v>0</v>
      </c>
      <c r="E15" s="28"/>
      <c r="F15" s="28"/>
      <c r="G15" s="28"/>
      <c r="H15" s="28"/>
      <c r="I15" s="28"/>
      <c r="J15" s="28"/>
      <c r="K15" s="28"/>
      <c r="L15" s="28"/>
      <c r="M15" s="28"/>
      <c r="N15" s="28"/>
      <c r="O15" s="28"/>
      <c r="P15" s="35"/>
    </row>
    <row r="16" spans="1:16" ht="28.5" customHeight="1" x14ac:dyDescent="0.25">
      <c r="A16" s="47"/>
      <c r="B16" s="34" t="s">
        <v>59</v>
      </c>
      <c r="C16" s="33">
        <v>0</v>
      </c>
      <c r="D16" s="23">
        <f t="shared" si="1"/>
        <v>0</v>
      </c>
      <c r="E16" s="28"/>
      <c r="F16" s="28"/>
      <c r="G16" s="28"/>
      <c r="H16" s="28"/>
      <c r="I16" s="28"/>
      <c r="J16" s="28"/>
      <c r="K16" s="28"/>
      <c r="L16" s="28"/>
      <c r="M16" s="28"/>
      <c r="N16" s="28"/>
      <c r="O16" s="28"/>
      <c r="P16" s="35"/>
    </row>
    <row r="17" spans="1:16" ht="28.5" customHeight="1" x14ac:dyDescent="0.25">
      <c r="A17" s="47"/>
      <c r="B17" s="34" t="s">
        <v>60</v>
      </c>
      <c r="C17" s="33">
        <v>0</v>
      </c>
      <c r="D17" s="23">
        <f t="shared" si="1"/>
        <v>0</v>
      </c>
      <c r="E17" s="28"/>
      <c r="F17" s="28"/>
      <c r="G17" s="28"/>
      <c r="H17" s="28"/>
      <c r="I17" s="28"/>
      <c r="J17" s="28"/>
      <c r="K17" s="28"/>
      <c r="L17" s="28"/>
      <c r="M17" s="28"/>
      <c r="N17" s="28"/>
      <c r="O17" s="28"/>
      <c r="P17" s="35"/>
    </row>
    <row r="18" spans="1:16" ht="28.5" customHeight="1" x14ac:dyDescent="0.25">
      <c r="A18" s="47"/>
      <c r="B18" s="34" t="s">
        <v>61</v>
      </c>
      <c r="C18" s="33">
        <v>0</v>
      </c>
      <c r="D18" s="23">
        <f t="shared" si="1"/>
        <v>0</v>
      </c>
      <c r="E18" s="28"/>
      <c r="F18" s="28"/>
      <c r="G18" s="28"/>
      <c r="H18" s="28"/>
      <c r="I18" s="28"/>
      <c r="J18" s="28"/>
      <c r="K18" s="28"/>
      <c r="L18" s="28"/>
      <c r="M18" s="28"/>
      <c r="N18" s="28"/>
      <c r="O18" s="28"/>
      <c r="P18" s="35"/>
    </row>
    <row r="19" spans="1:16" ht="28.5" customHeight="1" x14ac:dyDescent="0.25">
      <c r="A19" s="47"/>
      <c r="B19" s="34" t="s">
        <v>62</v>
      </c>
      <c r="C19" s="33">
        <v>0</v>
      </c>
      <c r="D19" s="23">
        <f t="shared" si="1"/>
        <v>0</v>
      </c>
      <c r="E19" s="28"/>
      <c r="F19" s="28"/>
      <c r="G19" s="28"/>
      <c r="H19" s="28"/>
      <c r="I19" s="28"/>
      <c r="J19" s="28"/>
      <c r="K19" s="28"/>
      <c r="L19" s="28"/>
      <c r="M19" s="28"/>
      <c r="N19" s="28"/>
      <c r="O19" s="28"/>
      <c r="P19" s="35"/>
    </row>
    <row r="20" spans="1:16" ht="28.5" customHeight="1" x14ac:dyDescent="0.25">
      <c r="A20" s="47"/>
      <c r="B20" s="34" t="s">
        <v>63</v>
      </c>
      <c r="C20" s="33">
        <v>0</v>
      </c>
      <c r="D20" s="23">
        <f t="shared" si="1"/>
        <v>0</v>
      </c>
      <c r="E20" s="28"/>
      <c r="F20" s="28"/>
      <c r="G20" s="28"/>
      <c r="H20" s="28"/>
      <c r="I20" s="28"/>
      <c r="J20" s="28"/>
      <c r="K20" s="28"/>
      <c r="L20" s="28"/>
      <c r="M20" s="28"/>
      <c r="N20" s="28"/>
      <c r="O20" s="28"/>
      <c r="P20" s="35"/>
    </row>
    <row r="21" spans="1:16" ht="28.5" customHeight="1" x14ac:dyDescent="0.25">
      <c r="A21" s="47"/>
      <c r="B21" s="34" t="s">
        <v>64</v>
      </c>
      <c r="C21" s="33">
        <v>0</v>
      </c>
      <c r="D21" s="23">
        <f t="shared" si="1"/>
        <v>0</v>
      </c>
      <c r="E21" s="28"/>
      <c r="F21" s="28"/>
      <c r="G21" s="28"/>
      <c r="H21" s="28"/>
      <c r="I21" s="28"/>
      <c r="J21" s="28"/>
      <c r="K21" s="28"/>
      <c r="L21" s="28"/>
      <c r="M21" s="28"/>
      <c r="N21" s="28"/>
      <c r="O21" s="28"/>
      <c r="P21" s="35"/>
    </row>
    <row r="22" spans="1:16" ht="28.5" customHeight="1" x14ac:dyDescent="0.25">
      <c r="A22" s="47"/>
      <c r="B22" s="34" t="s">
        <v>65</v>
      </c>
      <c r="C22" s="33">
        <v>0</v>
      </c>
      <c r="D22" s="23">
        <f t="shared" si="1"/>
        <v>0</v>
      </c>
      <c r="E22" s="28"/>
      <c r="F22" s="28"/>
      <c r="G22" s="28"/>
      <c r="H22" s="28"/>
      <c r="I22" s="28"/>
      <c r="J22" s="28"/>
      <c r="K22" s="28"/>
      <c r="L22" s="28"/>
      <c r="M22" s="28"/>
      <c r="N22" s="28"/>
      <c r="O22" s="28"/>
      <c r="P22" s="35"/>
    </row>
    <row r="23" spans="1:16" ht="28.5" customHeight="1" x14ac:dyDescent="0.25">
      <c r="A23" s="47"/>
      <c r="B23" s="34" t="s">
        <v>66</v>
      </c>
      <c r="C23" s="33">
        <v>175</v>
      </c>
      <c r="D23" s="23">
        <f t="shared" si="1"/>
        <v>81</v>
      </c>
      <c r="E23" s="28">
        <v>15</v>
      </c>
      <c r="F23" s="28">
        <v>18</v>
      </c>
      <c r="G23" s="28">
        <v>11</v>
      </c>
      <c r="H23" s="28">
        <v>26</v>
      </c>
      <c r="I23" s="28">
        <v>11</v>
      </c>
      <c r="J23" s="28"/>
      <c r="K23" s="28"/>
      <c r="L23" s="28"/>
      <c r="M23" s="28"/>
      <c r="N23" s="28"/>
      <c r="O23" s="28"/>
      <c r="P23" s="35"/>
    </row>
    <row r="24" spans="1:16" ht="28.5" customHeight="1" x14ac:dyDescent="0.25">
      <c r="A24" s="47"/>
      <c r="B24" s="34" t="s">
        <v>67</v>
      </c>
      <c r="C24" s="33">
        <v>0</v>
      </c>
      <c r="D24" s="23">
        <f t="shared" si="1"/>
        <v>0</v>
      </c>
      <c r="E24" s="28"/>
      <c r="F24" s="28"/>
      <c r="G24" s="28"/>
      <c r="H24" s="28"/>
      <c r="I24" s="28"/>
      <c r="J24" s="28"/>
      <c r="K24" s="28"/>
      <c r="L24" s="28"/>
      <c r="M24" s="28"/>
      <c r="N24" s="28"/>
      <c r="O24" s="28"/>
      <c r="P24" s="35"/>
    </row>
    <row r="25" spans="1:16" ht="24" customHeight="1" x14ac:dyDescent="0.25">
      <c r="A25" s="47"/>
      <c r="B25" s="36" t="s">
        <v>68</v>
      </c>
      <c r="C25" s="33">
        <v>5</v>
      </c>
      <c r="D25" s="23">
        <f t="shared" si="1"/>
        <v>2</v>
      </c>
      <c r="E25" s="28"/>
      <c r="F25" s="28"/>
      <c r="G25" s="28">
        <v>2</v>
      </c>
      <c r="H25" s="28"/>
      <c r="I25" s="28"/>
      <c r="J25" s="28"/>
      <c r="K25" s="28"/>
      <c r="L25" s="28"/>
      <c r="M25" s="28"/>
      <c r="N25" s="28"/>
      <c r="O25" s="28"/>
      <c r="P25" s="35"/>
    </row>
    <row r="26" spans="1:16" ht="24" customHeight="1" x14ac:dyDescent="0.25">
      <c r="A26" s="47"/>
      <c r="B26" s="36" t="s">
        <v>69</v>
      </c>
      <c r="C26" s="33">
        <v>5</v>
      </c>
      <c r="D26" s="23">
        <f t="shared" si="1"/>
        <v>3</v>
      </c>
      <c r="E26" s="28"/>
      <c r="F26" s="28"/>
      <c r="G26" s="28"/>
      <c r="H26" s="28">
        <v>3</v>
      </c>
      <c r="I26" s="28"/>
      <c r="J26" s="28"/>
      <c r="K26" s="28"/>
      <c r="L26" s="28"/>
      <c r="M26" s="28"/>
      <c r="N26" s="28"/>
      <c r="O26" s="28"/>
      <c r="P26" s="35"/>
    </row>
    <row r="27" spans="1:16" ht="24" customHeight="1" x14ac:dyDescent="0.25">
      <c r="A27" s="47"/>
      <c r="B27" s="36" t="s">
        <v>70</v>
      </c>
      <c r="C27" s="33">
        <v>5</v>
      </c>
      <c r="D27" s="23">
        <f t="shared" si="1"/>
        <v>2</v>
      </c>
      <c r="E27" s="28"/>
      <c r="F27" s="28"/>
      <c r="G27" s="28"/>
      <c r="H27" s="28"/>
      <c r="I27" s="28">
        <v>2</v>
      </c>
      <c r="J27" s="28"/>
      <c r="K27" s="28"/>
      <c r="L27" s="28"/>
      <c r="M27" s="28"/>
      <c r="N27" s="28"/>
      <c r="O27" s="28"/>
      <c r="P27" s="35"/>
    </row>
    <row r="28" spans="1:16" ht="24" customHeight="1" x14ac:dyDescent="0.25">
      <c r="A28" s="47"/>
      <c r="B28" s="36" t="s">
        <v>71</v>
      </c>
      <c r="C28" s="33">
        <v>5</v>
      </c>
      <c r="D28" s="23">
        <f t="shared" si="1"/>
        <v>0</v>
      </c>
      <c r="E28" s="28"/>
      <c r="F28" s="28"/>
      <c r="G28" s="28"/>
      <c r="H28" s="28"/>
      <c r="I28" s="28"/>
      <c r="J28" s="28"/>
      <c r="K28" s="28"/>
      <c r="L28" s="28"/>
      <c r="M28" s="28"/>
      <c r="N28" s="28"/>
      <c r="O28" s="28"/>
      <c r="P28" s="35"/>
    </row>
    <row r="29" spans="1:16" ht="24" customHeight="1" x14ac:dyDescent="0.25">
      <c r="A29" s="47"/>
      <c r="B29" s="36" t="s">
        <v>72</v>
      </c>
      <c r="C29" s="33">
        <v>5</v>
      </c>
      <c r="D29" s="23">
        <f t="shared" si="1"/>
        <v>0</v>
      </c>
      <c r="E29" s="28"/>
      <c r="F29" s="28"/>
      <c r="G29" s="28"/>
      <c r="H29" s="28"/>
      <c r="I29" s="28"/>
      <c r="J29" s="28"/>
      <c r="K29" s="28"/>
      <c r="L29" s="28"/>
      <c r="M29" s="28"/>
      <c r="N29" s="28"/>
      <c r="O29" s="28"/>
      <c r="P29" s="35"/>
    </row>
    <row r="30" spans="1:16" ht="24" customHeight="1" x14ac:dyDescent="0.25">
      <c r="A30" s="47"/>
      <c r="B30" s="36" t="s">
        <v>73</v>
      </c>
      <c r="C30" s="33">
        <v>1</v>
      </c>
      <c r="D30" s="23">
        <f t="shared" si="1"/>
        <v>0</v>
      </c>
      <c r="E30" s="28"/>
      <c r="F30" s="28"/>
      <c r="G30" s="28"/>
      <c r="H30" s="28"/>
      <c r="I30" s="28"/>
      <c r="J30" s="28"/>
      <c r="K30" s="28"/>
      <c r="L30" s="28"/>
      <c r="M30" s="28"/>
      <c r="N30" s="28"/>
      <c r="O30" s="28"/>
      <c r="P30" s="35"/>
    </row>
    <row r="31" spans="1:16" ht="24" customHeight="1" x14ac:dyDescent="0.25">
      <c r="A31" s="47"/>
      <c r="B31" s="36" t="s">
        <v>74</v>
      </c>
      <c r="C31" s="33">
        <v>1</v>
      </c>
      <c r="D31" s="23">
        <f t="shared" si="1"/>
        <v>0</v>
      </c>
      <c r="E31" s="28"/>
      <c r="F31" s="28"/>
      <c r="G31" s="28"/>
      <c r="H31" s="28"/>
      <c r="I31" s="28"/>
      <c r="J31" s="28"/>
      <c r="K31" s="28"/>
      <c r="L31" s="28"/>
      <c r="M31" s="28"/>
      <c r="N31" s="28"/>
      <c r="O31" s="28"/>
      <c r="P31" s="35"/>
    </row>
    <row r="32" spans="1:16" ht="24" customHeight="1" x14ac:dyDescent="0.25">
      <c r="A32" s="47"/>
      <c r="B32" s="36" t="s">
        <v>75</v>
      </c>
      <c r="C32" s="33">
        <v>1</v>
      </c>
      <c r="D32" s="23">
        <f t="shared" si="1"/>
        <v>0</v>
      </c>
      <c r="E32" s="28"/>
      <c r="F32" s="28"/>
      <c r="G32" s="28"/>
      <c r="H32" s="28"/>
      <c r="I32" s="28"/>
      <c r="J32" s="28"/>
      <c r="K32" s="28"/>
      <c r="L32" s="28"/>
      <c r="M32" s="28"/>
      <c r="N32" s="28"/>
      <c r="O32" s="28"/>
      <c r="P32" s="35"/>
    </row>
    <row r="33" spans="1:16" ht="24" customHeight="1" x14ac:dyDescent="0.25">
      <c r="A33" s="47"/>
      <c r="B33" s="36" t="s">
        <v>76</v>
      </c>
      <c r="C33" s="33">
        <v>1</v>
      </c>
      <c r="D33" s="23">
        <f t="shared" si="1"/>
        <v>0</v>
      </c>
      <c r="E33" s="28"/>
      <c r="F33" s="28"/>
      <c r="G33" s="28"/>
      <c r="H33" s="28"/>
      <c r="I33" s="28"/>
      <c r="J33" s="28"/>
      <c r="K33" s="28"/>
      <c r="L33" s="28"/>
      <c r="M33" s="28"/>
      <c r="N33" s="28"/>
      <c r="O33" s="28"/>
      <c r="P33" s="35"/>
    </row>
    <row r="34" spans="1:16" ht="24" customHeight="1" x14ac:dyDescent="0.25">
      <c r="A34" s="47"/>
      <c r="B34" s="36" t="s">
        <v>77</v>
      </c>
      <c r="C34" s="33">
        <v>1</v>
      </c>
      <c r="D34" s="23">
        <f t="shared" si="1"/>
        <v>0</v>
      </c>
      <c r="E34" s="28"/>
      <c r="F34" s="28"/>
      <c r="G34" s="28"/>
      <c r="H34" s="28"/>
      <c r="I34" s="28"/>
      <c r="J34" s="28"/>
      <c r="K34" s="28"/>
      <c r="L34" s="28"/>
      <c r="M34" s="28"/>
      <c r="N34" s="28"/>
      <c r="O34" s="28"/>
      <c r="P34" s="35"/>
    </row>
    <row r="35" spans="1:16" ht="24" customHeight="1" x14ac:dyDescent="0.25">
      <c r="A35" s="47"/>
      <c r="B35" s="36" t="s">
        <v>78</v>
      </c>
      <c r="C35" s="33">
        <v>1</v>
      </c>
      <c r="D35" s="23">
        <f t="shared" si="1"/>
        <v>0</v>
      </c>
      <c r="E35" s="28"/>
      <c r="F35" s="28"/>
      <c r="G35" s="28"/>
      <c r="H35" s="28"/>
      <c r="I35" s="28"/>
      <c r="J35" s="28"/>
      <c r="K35" s="28"/>
      <c r="L35" s="28"/>
      <c r="M35" s="28"/>
      <c r="N35" s="28"/>
      <c r="O35" s="28"/>
      <c r="P35" s="35"/>
    </row>
    <row r="36" spans="1:16" ht="24" customHeight="1" thickBot="1" x14ac:dyDescent="0.3">
      <c r="A36" s="48"/>
      <c r="B36" s="37" t="s">
        <v>79</v>
      </c>
      <c r="C36" s="33">
        <v>1</v>
      </c>
      <c r="D36" s="23">
        <f t="shared" si="1"/>
        <v>0</v>
      </c>
      <c r="E36" s="28"/>
      <c r="F36" s="28"/>
      <c r="G36" s="28"/>
      <c r="H36" s="28"/>
      <c r="I36" s="28"/>
      <c r="J36" s="28"/>
      <c r="K36" s="28"/>
      <c r="L36" s="28"/>
      <c r="M36" s="28"/>
      <c r="N36" s="28"/>
      <c r="O36" s="28"/>
      <c r="P36" s="35"/>
    </row>
    <row r="37" spans="1:16" x14ac:dyDescent="0.25">
      <c r="C37" s="38">
        <f>SUM(C3:C36)</f>
        <v>412</v>
      </c>
      <c r="D37" s="39">
        <f>SUM(D3:D36)</f>
        <v>164</v>
      </c>
    </row>
    <row r="38" spans="1:16" x14ac:dyDescent="0.25">
      <c r="C38" s="40"/>
      <c r="D38" s="41">
        <f>D37/C37</f>
        <v>0.39805825242718446</v>
      </c>
    </row>
  </sheetData>
  <sheetProtection algorithmName="SHA-512" hashValue="gUz90LQkntJEAcOajNXRZJf9KCAMeglLHHy6L177ckVFkAxgIuJVKapM8beYhQPP3pxWc4B14dx+D9cu6msWoQ==" saltValue="Q0bm8ch11VR0oE2xWRfi6g==" spinCount="100000" sheet="1" objects="1" scenarios="1" autoFilter="0"/>
  <mergeCells count="2">
    <mergeCell ref="A1:A2"/>
    <mergeCell ref="A9:A36"/>
  </mergeCells>
  <conditionalFormatting sqref="C3:D3 D4:D8">
    <cfRule type="dataBar" priority="44">
      <dataBar>
        <cfvo type="min"/>
        <cfvo type="max"/>
        <color rgb="FF008AEF"/>
      </dataBar>
      <extLst>
        <ext xmlns:x14="http://schemas.microsoft.com/office/spreadsheetml/2009/9/main" uri="{B025F937-C7B1-47D3-B67F-A62EFF666E3E}">
          <x14:id>{3BDAF01E-D6A2-4487-BECB-60E177402702}</x14:id>
        </ext>
      </extLst>
    </cfRule>
  </conditionalFormatting>
  <conditionalFormatting sqref="C4:D4">
    <cfRule type="dataBar" priority="6">
      <dataBar>
        <cfvo type="min"/>
        <cfvo type="max"/>
        <color rgb="FF008AEF"/>
      </dataBar>
      <extLst>
        <ext xmlns:x14="http://schemas.microsoft.com/office/spreadsheetml/2009/9/main" uri="{B025F937-C7B1-47D3-B67F-A62EFF666E3E}">
          <x14:id>{81F5CACD-5DE6-42DD-BB58-C30522EFBAF0}</x14:id>
        </ext>
      </extLst>
    </cfRule>
  </conditionalFormatting>
  <conditionalFormatting sqref="C5:D5">
    <cfRule type="dataBar" priority="7">
      <dataBar>
        <cfvo type="min"/>
        <cfvo type="max"/>
        <color rgb="FF008AEF"/>
      </dataBar>
      <extLst>
        <ext xmlns:x14="http://schemas.microsoft.com/office/spreadsheetml/2009/9/main" uri="{B025F937-C7B1-47D3-B67F-A62EFF666E3E}">
          <x14:id>{9AEBC2E0-3B98-4562-9775-1FCB7C35F38A}</x14:id>
        </ext>
      </extLst>
    </cfRule>
  </conditionalFormatting>
  <conditionalFormatting sqref="C6:D6">
    <cfRule type="dataBar" priority="8">
      <dataBar>
        <cfvo type="min"/>
        <cfvo type="max"/>
        <color rgb="FF008AEF"/>
      </dataBar>
      <extLst>
        <ext xmlns:x14="http://schemas.microsoft.com/office/spreadsheetml/2009/9/main" uri="{B025F937-C7B1-47D3-B67F-A62EFF666E3E}">
          <x14:id>{D94D569B-67A7-4EAA-89B3-F3501A012E69}</x14:id>
        </ext>
      </extLst>
    </cfRule>
  </conditionalFormatting>
  <conditionalFormatting sqref="C7:D7">
    <cfRule type="dataBar" priority="9">
      <dataBar>
        <cfvo type="min"/>
        <cfvo type="max"/>
        <color rgb="FF008AEF"/>
      </dataBar>
      <extLst>
        <ext xmlns:x14="http://schemas.microsoft.com/office/spreadsheetml/2009/9/main" uri="{B025F937-C7B1-47D3-B67F-A62EFF666E3E}">
          <x14:id>{AFBD137F-2D43-4A14-8932-9131DF485C07}</x14:id>
        </ext>
      </extLst>
    </cfRule>
  </conditionalFormatting>
  <conditionalFormatting sqref="C8:D8">
    <cfRule type="dataBar" priority="10">
      <dataBar>
        <cfvo type="min"/>
        <cfvo type="max"/>
        <color rgb="FF008AEF"/>
      </dataBar>
      <extLst>
        <ext xmlns:x14="http://schemas.microsoft.com/office/spreadsheetml/2009/9/main" uri="{B025F937-C7B1-47D3-B67F-A62EFF666E3E}">
          <x14:id>{278E8FB7-7044-4D44-B063-84F252FFF4AB}</x14:id>
        </ext>
      </extLst>
    </cfRule>
  </conditionalFormatting>
  <conditionalFormatting sqref="C9:D9">
    <cfRule type="dataBar" priority="13">
      <dataBar>
        <cfvo type="min"/>
        <cfvo type="max"/>
        <color rgb="FF008AEF"/>
      </dataBar>
      <extLst>
        <ext xmlns:x14="http://schemas.microsoft.com/office/spreadsheetml/2009/9/main" uri="{B025F937-C7B1-47D3-B67F-A62EFF666E3E}">
          <x14:id>{963C47CE-C2BE-4B83-B220-59836155C77C}</x14:id>
        </ext>
      </extLst>
    </cfRule>
  </conditionalFormatting>
  <conditionalFormatting sqref="C10:D10">
    <cfRule type="dataBar" priority="40">
      <dataBar>
        <cfvo type="min"/>
        <cfvo type="max"/>
        <color rgb="FF008AEF"/>
      </dataBar>
      <extLst>
        <ext xmlns:x14="http://schemas.microsoft.com/office/spreadsheetml/2009/9/main" uri="{B025F937-C7B1-47D3-B67F-A62EFF666E3E}">
          <x14:id>{D6FD2E2D-628C-4C40-B515-0FEFEC3A2FD9}</x14:id>
        </ext>
      </extLst>
    </cfRule>
  </conditionalFormatting>
  <conditionalFormatting sqref="C11:D11">
    <cfRule type="dataBar" priority="39">
      <dataBar>
        <cfvo type="min"/>
        <cfvo type="max"/>
        <color rgb="FF008AEF"/>
      </dataBar>
      <extLst>
        <ext xmlns:x14="http://schemas.microsoft.com/office/spreadsheetml/2009/9/main" uri="{B025F937-C7B1-47D3-B67F-A62EFF666E3E}">
          <x14:id>{BBDD7703-401A-4DE9-92B2-4FA61CC11AAA}</x14:id>
        </ext>
      </extLst>
    </cfRule>
  </conditionalFormatting>
  <conditionalFormatting sqref="C12:D12">
    <cfRule type="dataBar" priority="38">
      <dataBar>
        <cfvo type="min"/>
        <cfvo type="max"/>
        <color rgb="FF008AEF"/>
      </dataBar>
      <extLst>
        <ext xmlns:x14="http://schemas.microsoft.com/office/spreadsheetml/2009/9/main" uri="{B025F937-C7B1-47D3-B67F-A62EFF666E3E}">
          <x14:id>{A6805E83-BCCD-476B-B099-ABDD08B49690}</x14:id>
        </ext>
      </extLst>
    </cfRule>
  </conditionalFormatting>
  <conditionalFormatting sqref="C13:D13">
    <cfRule type="dataBar" priority="37">
      <dataBar>
        <cfvo type="min"/>
        <cfvo type="max"/>
        <color rgb="FF008AEF"/>
      </dataBar>
      <extLst>
        <ext xmlns:x14="http://schemas.microsoft.com/office/spreadsheetml/2009/9/main" uri="{B025F937-C7B1-47D3-B67F-A62EFF666E3E}">
          <x14:id>{482076E7-0304-46AF-909C-6B0EA2D204BE}</x14:id>
        </ext>
      </extLst>
    </cfRule>
  </conditionalFormatting>
  <conditionalFormatting sqref="C14:D14">
    <cfRule type="dataBar" priority="36">
      <dataBar>
        <cfvo type="min"/>
        <cfvo type="max"/>
        <color rgb="FF008AEF"/>
      </dataBar>
      <extLst>
        <ext xmlns:x14="http://schemas.microsoft.com/office/spreadsheetml/2009/9/main" uri="{B025F937-C7B1-47D3-B67F-A62EFF666E3E}">
          <x14:id>{53009264-4269-4274-90CD-110714DFC62C}</x14:id>
        </ext>
      </extLst>
    </cfRule>
  </conditionalFormatting>
  <conditionalFormatting sqref="C15:D15">
    <cfRule type="dataBar" priority="35">
      <dataBar>
        <cfvo type="min"/>
        <cfvo type="max"/>
        <color rgb="FF008AEF"/>
      </dataBar>
      <extLst>
        <ext xmlns:x14="http://schemas.microsoft.com/office/spreadsheetml/2009/9/main" uri="{B025F937-C7B1-47D3-B67F-A62EFF666E3E}">
          <x14:id>{31A6D29A-7381-4D4F-9BB3-4066BEFA17FF}</x14:id>
        </ext>
      </extLst>
    </cfRule>
  </conditionalFormatting>
  <conditionalFormatting sqref="C16:D16">
    <cfRule type="dataBar" priority="34">
      <dataBar>
        <cfvo type="min"/>
        <cfvo type="max"/>
        <color rgb="FF008AEF"/>
      </dataBar>
      <extLst>
        <ext xmlns:x14="http://schemas.microsoft.com/office/spreadsheetml/2009/9/main" uri="{B025F937-C7B1-47D3-B67F-A62EFF666E3E}">
          <x14:id>{BC35CA28-5DC2-4A86-817F-9FAECFCF6F6A}</x14:id>
        </ext>
      </extLst>
    </cfRule>
  </conditionalFormatting>
  <conditionalFormatting sqref="C17:D17">
    <cfRule type="dataBar" priority="33">
      <dataBar>
        <cfvo type="min"/>
        <cfvo type="max"/>
        <color rgb="FF008AEF"/>
      </dataBar>
      <extLst>
        <ext xmlns:x14="http://schemas.microsoft.com/office/spreadsheetml/2009/9/main" uri="{B025F937-C7B1-47D3-B67F-A62EFF666E3E}">
          <x14:id>{F13800B1-D9F0-4C69-92E4-33CD2D56B912}</x14:id>
        </ext>
      </extLst>
    </cfRule>
  </conditionalFormatting>
  <conditionalFormatting sqref="C18:D18">
    <cfRule type="dataBar" priority="32">
      <dataBar>
        <cfvo type="min"/>
        <cfvo type="max"/>
        <color rgb="FF008AEF"/>
      </dataBar>
      <extLst>
        <ext xmlns:x14="http://schemas.microsoft.com/office/spreadsheetml/2009/9/main" uri="{B025F937-C7B1-47D3-B67F-A62EFF666E3E}">
          <x14:id>{2C6B03DD-C03B-48C9-95CB-06F3E9A7DF92}</x14:id>
        </ext>
      </extLst>
    </cfRule>
  </conditionalFormatting>
  <conditionalFormatting sqref="C19:D19">
    <cfRule type="dataBar" priority="31">
      <dataBar>
        <cfvo type="min"/>
        <cfvo type="max"/>
        <color rgb="FF008AEF"/>
      </dataBar>
      <extLst>
        <ext xmlns:x14="http://schemas.microsoft.com/office/spreadsheetml/2009/9/main" uri="{B025F937-C7B1-47D3-B67F-A62EFF666E3E}">
          <x14:id>{DA0823E2-9FD6-402A-ABED-013606F044C5}</x14:id>
        </ext>
      </extLst>
    </cfRule>
  </conditionalFormatting>
  <conditionalFormatting sqref="C20:D20">
    <cfRule type="dataBar" priority="30">
      <dataBar>
        <cfvo type="min"/>
        <cfvo type="max"/>
        <color rgb="FF008AEF"/>
      </dataBar>
      <extLst>
        <ext xmlns:x14="http://schemas.microsoft.com/office/spreadsheetml/2009/9/main" uri="{B025F937-C7B1-47D3-B67F-A62EFF666E3E}">
          <x14:id>{9E623251-DFE5-4838-9248-32D022AAEB5A}</x14:id>
        </ext>
      </extLst>
    </cfRule>
  </conditionalFormatting>
  <conditionalFormatting sqref="C21:D21">
    <cfRule type="dataBar" priority="29">
      <dataBar>
        <cfvo type="min"/>
        <cfvo type="max"/>
        <color rgb="FF008AEF"/>
      </dataBar>
      <extLst>
        <ext xmlns:x14="http://schemas.microsoft.com/office/spreadsheetml/2009/9/main" uri="{B025F937-C7B1-47D3-B67F-A62EFF666E3E}">
          <x14:id>{C191F4AD-177F-4783-B5F1-2CB7A0943681}</x14:id>
        </ext>
      </extLst>
    </cfRule>
  </conditionalFormatting>
  <conditionalFormatting sqref="C22:D22">
    <cfRule type="dataBar" priority="28">
      <dataBar>
        <cfvo type="min"/>
        <cfvo type="max"/>
        <color rgb="FF008AEF"/>
      </dataBar>
      <extLst>
        <ext xmlns:x14="http://schemas.microsoft.com/office/spreadsheetml/2009/9/main" uri="{B025F937-C7B1-47D3-B67F-A62EFF666E3E}">
          <x14:id>{9510D88D-ABB9-469E-B100-C415E4525B6D}</x14:id>
        </ext>
      </extLst>
    </cfRule>
  </conditionalFormatting>
  <conditionalFormatting sqref="C23:D23">
    <cfRule type="dataBar" priority="27">
      <dataBar>
        <cfvo type="min"/>
        <cfvo type="max"/>
        <color rgb="FF008AEF"/>
      </dataBar>
      <extLst>
        <ext xmlns:x14="http://schemas.microsoft.com/office/spreadsheetml/2009/9/main" uri="{B025F937-C7B1-47D3-B67F-A62EFF666E3E}">
          <x14:id>{6966CCBA-6704-4667-8FC9-5740F22BF3DC}</x14:id>
        </ext>
      </extLst>
    </cfRule>
  </conditionalFormatting>
  <conditionalFormatting sqref="C24:D24">
    <cfRule type="dataBar" priority="26">
      <dataBar>
        <cfvo type="min"/>
        <cfvo type="max"/>
        <color rgb="FF008AEF"/>
      </dataBar>
      <extLst>
        <ext xmlns:x14="http://schemas.microsoft.com/office/spreadsheetml/2009/9/main" uri="{B025F937-C7B1-47D3-B67F-A62EFF666E3E}">
          <x14:id>{369E768D-D326-493A-B0DB-FB49E5C03595}</x14:id>
        </ext>
      </extLst>
    </cfRule>
  </conditionalFormatting>
  <conditionalFormatting sqref="C25:D25">
    <cfRule type="dataBar" priority="25">
      <dataBar>
        <cfvo type="min"/>
        <cfvo type="max"/>
        <color rgb="FF008AEF"/>
      </dataBar>
      <extLst>
        <ext xmlns:x14="http://schemas.microsoft.com/office/spreadsheetml/2009/9/main" uri="{B025F937-C7B1-47D3-B67F-A62EFF666E3E}">
          <x14:id>{4960CBDF-BC29-4201-A5B2-131FB34FEC74}</x14:id>
        </ext>
      </extLst>
    </cfRule>
  </conditionalFormatting>
  <conditionalFormatting sqref="C26:D26">
    <cfRule type="dataBar" priority="24">
      <dataBar>
        <cfvo type="min"/>
        <cfvo type="max"/>
        <color rgb="FF008AEF"/>
      </dataBar>
      <extLst>
        <ext xmlns:x14="http://schemas.microsoft.com/office/spreadsheetml/2009/9/main" uri="{B025F937-C7B1-47D3-B67F-A62EFF666E3E}">
          <x14:id>{47D804FB-DA53-407F-80D2-A618D9B950CE}</x14:id>
        </ext>
      </extLst>
    </cfRule>
  </conditionalFormatting>
  <conditionalFormatting sqref="C27:D27">
    <cfRule type="dataBar" priority="23">
      <dataBar>
        <cfvo type="min"/>
        <cfvo type="max"/>
        <color rgb="FF008AEF"/>
      </dataBar>
      <extLst>
        <ext xmlns:x14="http://schemas.microsoft.com/office/spreadsheetml/2009/9/main" uri="{B025F937-C7B1-47D3-B67F-A62EFF666E3E}">
          <x14:id>{1409A356-7802-48E3-85A6-CFD7CB6D37F1}</x14:id>
        </ext>
      </extLst>
    </cfRule>
  </conditionalFormatting>
  <conditionalFormatting sqref="C28:D28">
    <cfRule type="dataBar" priority="22">
      <dataBar>
        <cfvo type="min"/>
        <cfvo type="max"/>
        <color rgb="FF008AEF"/>
      </dataBar>
      <extLst>
        <ext xmlns:x14="http://schemas.microsoft.com/office/spreadsheetml/2009/9/main" uri="{B025F937-C7B1-47D3-B67F-A62EFF666E3E}">
          <x14:id>{86323C17-E6D6-4584-98D7-7488438D2C8D}</x14:id>
        </ext>
      </extLst>
    </cfRule>
  </conditionalFormatting>
  <conditionalFormatting sqref="C29:D29">
    <cfRule type="dataBar" priority="21">
      <dataBar>
        <cfvo type="min"/>
        <cfvo type="max"/>
        <color rgb="FF008AEF"/>
      </dataBar>
      <extLst>
        <ext xmlns:x14="http://schemas.microsoft.com/office/spreadsheetml/2009/9/main" uri="{B025F937-C7B1-47D3-B67F-A62EFF666E3E}">
          <x14:id>{4EC85ED5-328D-4CBC-A951-03E469076747}</x14:id>
        </ext>
      </extLst>
    </cfRule>
  </conditionalFormatting>
  <conditionalFormatting sqref="C30:D30">
    <cfRule type="dataBar" priority="20">
      <dataBar>
        <cfvo type="min"/>
        <cfvo type="max"/>
        <color rgb="FF008AEF"/>
      </dataBar>
      <extLst>
        <ext xmlns:x14="http://schemas.microsoft.com/office/spreadsheetml/2009/9/main" uri="{B025F937-C7B1-47D3-B67F-A62EFF666E3E}">
          <x14:id>{C53F8B35-E338-48B3-8EBC-CD527C0C9E0F}</x14:id>
        </ext>
      </extLst>
    </cfRule>
  </conditionalFormatting>
  <conditionalFormatting sqref="C31:D31">
    <cfRule type="dataBar" priority="19">
      <dataBar>
        <cfvo type="min"/>
        <cfvo type="max"/>
        <color rgb="FF008AEF"/>
      </dataBar>
      <extLst>
        <ext xmlns:x14="http://schemas.microsoft.com/office/spreadsheetml/2009/9/main" uri="{B025F937-C7B1-47D3-B67F-A62EFF666E3E}">
          <x14:id>{FEDC007D-78F9-413A-93DD-478ED15CECD2}</x14:id>
        </ext>
      </extLst>
    </cfRule>
  </conditionalFormatting>
  <conditionalFormatting sqref="C32:D32">
    <cfRule type="dataBar" priority="18">
      <dataBar>
        <cfvo type="min"/>
        <cfvo type="max"/>
        <color rgb="FF008AEF"/>
      </dataBar>
      <extLst>
        <ext xmlns:x14="http://schemas.microsoft.com/office/spreadsheetml/2009/9/main" uri="{B025F937-C7B1-47D3-B67F-A62EFF666E3E}">
          <x14:id>{59D47232-F19E-4FC9-AC9C-108F2D947282}</x14:id>
        </ext>
      </extLst>
    </cfRule>
  </conditionalFormatting>
  <conditionalFormatting sqref="C33:D33">
    <cfRule type="dataBar" priority="17">
      <dataBar>
        <cfvo type="min"/>
        <cfvo type="max"/>
        <color rgb="FF008AEF"/>
      </dataBar>
      <extLst>
        <ext xmlns:x14="http://schemas.microsoft.com/office/spreadsheetml/2009/9/main" uri="{B025F937-C7B1-47D3-B67F-A62EFF666E3E}">
          <x14:id>{29D411E6-43FC-4EF7-BA42-709C8E851414}</x14:id>
        </ext>
      </extLst>
    </cfRule>
  </conditionalFormatting>
  <conditionalFormatting sqref="C34:D34">
    <cfRule type="dataBar" priority="16">
      <dataBar>
        <cfvo type="min"/>
        <cfvo type="max"/>
        <color rgb="FF008AEF"/>
      </dataBar>
      <extLst>
        <ext xmlns:x14="http://schemas.microsoft.com/office/spreadsheetml/2009/9/main" uri="{B025F937-C7B1-47D3-B67F-A62EFF666E3E}">
          <x14:id>{065E9FCF-2568-4AB0-A10F-5D917D64CCC3}</x14:id>
        </ext>
      </extLst>
    </cfRule>
  </conditionalFormatting>
  <conditionalFormatting sqref="C35:D35">
    <cfRule type="dataBar" priority="15">
      <dataBar>
        <cfvo type="min"/>
        <cfvo type="max"/>
        <color rgb="FF008AEF"/>
      </dataBar>
      <extLst>
        <ext xmlns:x14="http://schemas.microsoft.com/office/spreadsheetml/2009/9/main" uri="{B025F937-C7B1-47D3-B67F-A62EFF666E3E}">
          <x14:id>{33C211EA-53FB-48D3-A715-B78B3CACC248}</x14:id>
        </ext>
      </extLst>
    </cfRule>
  </conditionalFormatting>
  <conditionalFormatting sqref="C36:D36">
    <cfRule type="dataBar" priority="14">
      <dataBar>
        <cfvo type="min"/>
        <cfvo type="max"/>
        <color rgb="FF008AEF"/>
      </dataBar>
      <extLst>
        <ext xmlns:x14="http://schemas.microsoft.com/office/spreadsheetml/2009/9/main" uri="{B025F937-C7B1-47D3-B67F-A62EFF666E3E}">
          <x14:id>{50821446-2003-401F-9183-AA9488A10969}</x14:id>
        </ext>
      </extLst>
    </cfRule>
  </conditionalFormatting>
  <conditionalFormatting sqref="E3:F32 E33:O36">
    <cfRule type="cellIs" dxfId="11" priority="3" operator="greaterThan">
      <formula>0</formula>
    </cfRule>
  </conditionalFormatting>
  <conditionalFormatting sqref="G9:O32">
    <cfRule type="cellIs" dxfId="10" priority="12" operator="greaterThan">
      <formula>0</formula>
    </cfRule>
  </conditionalFormatting>
  <conditionalFormatting sqref="G3:P8">
    <cfRule type="cellIs" dxfId="9" priority="4" operator="greaterThan">
      <formula>0</formula>
    </cfRule>
  </conditionalFormatting>
  <pageMargins left="0.7" right="0.7" top="0.75" bottom="0.75" header="0.3" footer="0.3"/>
  <pageSetup paperSize="9" firstPageNumber="2147483648" orientation="portrait"/>
  <extLst>
    <ext xmlns:x14="http://schemas.microsoft.com/office/spreadsheetml/2009/9/main" uri="{78C0D931-6437-407d-A8EE-F0AAD7539E65}">
      <x14:conditionalFormattings>
        <x14:conditionalFormatting xmlns:xm="http://schemas.microsoft.com/office/excel/2006/main">
          <x14:cfRule type="dataBar" id="{3BDAF01E-D6A2-4487-BECB-60E177402702}">
            <x14:dataBar minLength="0" maxLength="100" gradient="0">
              <x14:cfvo type="autoMin"/>
              <x14:cfvo type="autoMax"/>
              <x14:negativeFillColor rgb="FFFF0000"/>
              <x14:axisColor rgb="FF000000"/>
            </x14:dataBar>
          </x14:cfRule>
          <xm:sqref>C3:D3 D4:D8</xm:sqref>
        </x14:conditionalFormatting>
        <x14:conditionalFormatting xmlns:xm="http://schemas.microsoft.com/office/excel/2006/main">
          <x14:cfRule type="dataBar" id="{81F5CACD-5DE6-42DD-BB58-C30522EFBAF0}">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9AEBC2E0-3B98-4562-9775-1FCB7C35F38A}">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D94D569B-67A7-4EAA-89B3-F3501A012E69}">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AFBD137F-2D43-4A14-8932-9131DF485C07}">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278E8FB7-7044-4D44-B063-84F252FFF4AB}">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963C47CE-C2BE-4B83-B220-59836155C77C}">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D6FD2E2D-628C-4C40-B515-0FEFEC3A2FD9}">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BBDD7703-401A-4DE9-92B2-4FA61CC11AAA}">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A6805E83-BCCD-476B-B099-ABDD08B49690}">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482076E7-0304-46AF-909C-6B0EA2D204BE}">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53009264-4269-4274-90CD-110714DFC62C}">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31A6D29A-7381-4D4F-9BB3-4066BEFA17FF}">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BC35CA28-5DC2-4A86-817F-9FAECFCF6F6A}">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F13800B1-D9F0-4C69-92E4-33CD2D56B912}">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2C6B03DD-C03B-48C9-95CB-06F3E9A7DF92}">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DA0823E2-9FD6-402A-ABED-013606F044C5}">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9E623251-DFE5-4838-9248-32D022AAEB5A}">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C191F4AD-177F-4783-B5F1-2CB7A0943681}">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9510D88D-ABB9-469E-B100-C415E4525B6D}">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6966CCBA-6704-4667-8FC9-5740F22BF3DC}">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369E768D-D326-493A-B0DB-FB49E5C03595}">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4960CBDF-BC29-4201-A5B2-131FB34FEC74}">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47D804FB-DA53-407F-80D2-A618D9B950CE}">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1409A356-7802-48E3-85A6-CFD7CB6D37F1}">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86323C17-E6D6-4584-98D7-7488438D2C8D}">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4EC85ED5-328D-4CBC-A951-03E469076747}">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C53F8B35-E338-48B3-8EBC-CD527C0C9E0F}">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FEDC007D-78F9-413A-93DD-478ED15CECD2}">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59D47232-F19E-4FC9-AC9C-108F2D947282}">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29D411E6-43FC-4EF7-BA42-709C8E851414}">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065E9FCF-2568-4AB0-A10F-5D917D64CCC3}">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33C211EA-53FB-48D3-A715-B78B3CACC248}">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50821446-2003-401F-9183-AA9488A10969}">
            <x14:dataBar minLength="0" maxLength="100" gradient="0">
              <x14:cfvo type="autoMin"/>
              <x14:cfvo type="autoMax"/>
              <x14:negativeFillColor rgb="FFFF0000"/>
              <x14:axisColor rgb="FF000000"/>
            </x14:dataBar>
          </x14:cfRule>
          <xm:sqref>C36:D36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P40"/>
  <sheetViews>
    <sheetView topLeftCell="B1" zoomScale="60" zoomScaleNormal="60" workbookViewId="0">
      <selection activeCell="O28" sqref="O28"/>
    </sheetView>
  </sheetViews>
  <sheetFormatPr baseColWidth="10" defaultColWidth="11.42578125" defaultRowHeight="15" x14ac:dyDescent="0.25"/>
  <cols>
    <col min="1" max="1" width="6.28515625" style="1" customWidth="1"/>
    <col min="2" max="2" width="107.7109375" style="1" customWidth="1"/>
    <col min="3" max="3" width="12.85546875" style="1" customWidth="1"/>
    <col min="4" max="4" width="22.42578125" style="1" customWidth="1"/>
    <col min="5" max="9" width="17.28515625" style="1" customWidth="1"/>
    <col min="10" max="16384" width="11.42578125" style="1"/>
  </cols>
  <sheetData>
    <row r="1" spans="1:16" ht="61.5" customHeight="1" x14ac:dyDescent="0.25">
      <c r="A1" s="44" t="s">
        <v>1</v>
      </c>
      <c r="B1" s="22" t="s">
        <v>80</v>
      </c>
      <c r="C1" s="6" t="s">
        <v>2</v>
      </c>
      <c r="D1" s="6" t="s">
        <v>3</v>
      </c>
      <c r="E1" s="6" t="s">
        <v>4</v>
      </c>
      <c r="F1" s="6" t="s">
        <v>5</v>
      </c>
      <c r="G1" s="6" t="s">
        <v>6</v>
      </c>
      <c r="H1" s="6" t="s">
        <v>7</v>
      </c>
      <c r="I1" s="6" t="s">
        <v>8</v>
      </c>
      <c r="J1" s="6" t="s">
        <v>9</v>
      </c>
      <c r="K1" s="6" t="s">
        <v>10</v>
      </c>
      <c r="L1" s="6" t="s">
        <v>11</v>
      </c>
      <c r="M1" s="6" t="s">
        <v>12</v>
      </c>
      <c r="N1" s="6" t="s">
        <v>13</v>
      </c>
      <c r="O1" s="6" t="s">
        <v>14</v>
      </c>
      <c r="P1" s="6" t="s">
        <v>15</v>
      </c>
    </row>
    <row r="2" spans="1:16" s="2" customFormat="1" ht="15.75" thickBot="1" x14ac:dyDescent="0.3">
      <c r="A2" s="45"/>
      <c r="B2" s="22"/>
      <c r="C2" s="11">
        <v>2026</v>
      </c>
      <c r="D2" s="11" t="s">
        <v>16</v>
      </c>
      <c r="E2" s="26"/>
      <c r="F2" s="26"/>
      <c r="G2" s="26"/>
      <c r="H2" s="26"/>
      <c r="I2" s="26"/>
      <c r="J2" s="26"/>
      <c r="K2" s="26"/>
      <c r="L2" s="26"/>
      <c r="M2" s="26"/>
      <c r="N2" s="26"/>
      <c r="O2" s="26"/>
      <c r="P2" s="26"/>
    </row>
    <row r="3" spans="1:16" ht="81" customHeight="1" x14ac:dyDescent="0.25">
      <c r="A3" s="29" t="s">
        <v>20</v>
      </c>
      <c r="B3" s="8" t="s">
        <v>19</v>
      </c>
      <c r="C3" s="30">
        <v>2</v>
      </c>
      <c r="D3" s="23">
        <f t="shared" ref="D3:D9" si="0">SUM(E3:P3)</f>
        <v>2</v>
      </c>
      <c r="E3" s="28">
        <v>0</v>
      </c>
      <c r="F3" s="28">
        <v>0</v>
      </c>
      <c r="G3" s="28">
        <v>0</v>
      </c>
      <c r="H3" s="28">
        <v>2</v>
      </c>
      <c r="I3" s="28"/>
      <c r="J3" s="28"/>
      <c r="K3" s="28"/>
      <c r="L3" s="28"/>
      <c r="M3" s="28"/>
      <c r="N3" s="28"/>
      <c r="O3" s="28"/>
      <c r="P3" s="28"/>
    </row>
    <row r="4" spans="1:16" ht="81" customHeight="1" x14ac:dyDescent="0.25">
      <c r="A4" s="27" t="s">
        <v>18</v>
      </c>
      <c r="B4" s="10" t="s">
        <v>30</v>
      </c>
      <c r="C4" s="32">
        <v>1</v>
      </c>
      <c r="D4" s="23">
        <f t="shared" si="0"/>
        <v>1</v>
      </c>
      <c r="E4" s="28"/>
      <c r="F4" s="28">
        <v>1</v>
      </c>
      <c r="G4" s="28"/>
      <c r="H4" s="28"/>
      <c r="I4" s="28"/>
      <c r="J4" s="28"/>
      <c r="K4" s="28"/>
      <c r="L4" s="28"/>
      <c r="M4" s="28"/>
      <c r="N4" s="28"/>
      <c r="O4" s="28"/>
      <c r="P4" s="28"/>
    </row>
    <row r="5" spans="1:16" ht="81" customHeight="1" x14ac:dyDescent="0.25">
      <c r="A5" s="27" t="s">
        <v>18</v>
      </c>
      <c r="B5" s="10" t="s">
        <v>26</v>
      </c>
      <c r="C5" s="33">
        <v>2</v>
      </c>
      <c r="D5" s="23">
        <f t="shared" si="0"/>
        <v>0</v>
      </c>
      <c r="E5" s="28"/>
      <c r="F5" s="28"/>
      <c r="G5" s="28"/>
      <c r="H5" s="28"/>
      <c r="I5" s="28"/>
      <c r="J5" s="28"/>
      <c r="K5" s="28"/>
      <c r="L5" s="28"/>
      <c r="M5" s="28"/>
      <c r="N5" s="28"/>
      <c r="O5" s="28"/>
      <c r="P5" s="28"/>
    </row>
    <row r="6" spans="1:16" ht="81" customHeight="1" x14ac:dyDescent="0.25">
      <c r="A6" s="27" t="s">
        <v>18</v>
      </c>
      <c r="B6" s="10" t="s">
        <v>27</v>
      </c>
      <c r="C6" s="33">
        <v>1</v>
      </c>
      <c r="D6" s="23">
        <f t="shared" si="0"/>
        <v>0</v>
      </c>
      <c r="E6" s="28"/>
      <c r="F6" s="28"/>
      <c r="G6" s="28"/>
      <c r="H6" s="28"/>
      <c r="I6" s="28"/>
      <c r="J6" s="28"/>
      <c r="K6" s="28"/>
      <c r="L6" s="28"/>
      <c r="M6" s="28"/>
      <c r="N6" s="28"/>
      <c r="O6" s="28"/>
      <c r="P6" s="28"/>
    </row>
    <row r="7" spans="1:16" ht="81" customHeight="1" x14ac:dyDescent="0.25">
      <c r="A7" s="27" t="s">
        <v>18</v>
      </c>
      <c r="B7" s="10" t="s">
        <v>31</v>
      </c>
      <c r="C7" s="33">
        <v>2</v>
      </c>
      <c r="D7" s="23">
        <f t="shared" si="0"/>
        <v>1</v>
      </c>
      <c r="E7" s="28"/>
      <c r="F7" s="28"/>
      <c r="G7" s="28"/>
      <c r="H7" s="28"/>
      <c r="I7" s="28">
        <v>1</v>
      </c>
      <c r="J7" s="28"/>
      <c r="K7" s="28"/>
      <c r="L7" s="28"/>
      <c r="M7" s="28"/>
      <c r="N7" s="28"/>
      <c r="O7" s="28"/>
      <c r="P7" s="28"/>
    </row>
    <row r="8" spans="1:16" ht="81" customHeight="1" x14ac:dyDescent="0.25">
      <c r="A8" s="27" t="s">
        <v>18</v>
      </c>
      <c r="B8" s="10" t="s">
        <v>32</v>
      </c>
      <c r="C8" s="33">
        <v>1</v>
      </c>
      <c r="D8" s="23">
        <f t="shared" si="0"/>
        <v>1</v>
      </c>
      <c r="E8" s="28"/>
      <c r="F8" s="28"/>
      <c r="G8" s="28">
        <v>1</v>
      </c>
      <c r="H8" s="28"/>
      <c r="I8" s="28"/>
      <c r="J8" s="28"/>
      <c r="K8" s="28"/>
      <c r="L8" s="28"/>
      <c r="M8" s="28"/>
      <c r="N8" s="28"/>
      <c r="O8" s="28"/>
      <c r="P8" s="28"/>
    </row>
    <row r="9" spans="1:16" ht="81" customHeight="1" x14ac:dyDescent="0.25">
      <c r="A9" s="27" t="s">
        <v>18</v>
      </c>
      <c r="B9" s="10" t="s">
        <v>33</v>
      </c>
      <c r="C9" s="33">
        <v>1</v>
      </c>
      <c r="D9" s="23">
        <f t="shared" si="0"/>
        <v>2</v>
      </c>
      <c r="E9" s="28"/>
      <c r="F9" s="28"/>
      <c r="G9" s="28"/>
      <c r="H9" s="28">
        <v>1</v>
      </c>
      <c r="I9" s="28">
        <v>1</v>
      </c>
      <c r="J9" s="28"/>
      <c r="K9" s="28"/>
      <c r="L9" s="28"/>
      <c r="M9" s="28"/>
      <c r="N9" s="28"/>
      <c r="O9" s="28"/>
      <c r="P9" s="28"/>
    </row>
    <row r="10" spans="1:16" ht="81" customHeight="1" x14ac:dyDescent="0.25">
      <c r="A10" s="29" t="s">
        <v>20</v>
      </c>
      <c r="B10" s="12" t="s">
        <v>34</v>
      </c>
      <c r="C10" s="33">
        <v>2</v>
      </c>
      <c r="D10" s="23">
        <f>SUM(E10:P10)</f>
        <v>0</v>
      </c>
      <c r="E10" s="28"/>
      <c r="F10" s="28"/>
      <c r="G10" s="28"/>
      <c r="H10" s="28"/>
      <c r="I10" s="28"/>
      <c r="J10" s="28"/>
      <c r="K10" s="28"/>
      <c r="L10" s="28"/>
      <c r="M10" s="28"/>
      <c r="N10" s="28"/>
      <c r="O10" s="28"/>
      <c r="P10" s="28"/>
    </row>
    <row r="11" spans="1:16" ht="28.5" customHeight="1" x14ac:dyDescent="0.25">
      <c r="A11" s="46" t="s">
        <v>51</v>
      </c>
      <c r="B11" s="34" t="s">
        <v>52</v>
      </c>
      <c r="C11" s="33">
        <v>1</v>
      </c>
      <c r="D11" s="23">
        <f t="shared" ref="D11:D38" si="1">SUM(E11:O11)</f>
        <v>1</v>
      </c>
      <c r="E11" s="28">
        <v>1</v>
      </c>
      <c r="F11" s="28"/>
      <c r="G11" s="28"/>
      <c r="H11" s="28"/>
      <c r="I11" s="28"/>
      <c r="J11" s="28"/>
      <c r="K11" s="28"/>
      <c r="L11" s="28"/>
      <c r="M11" s="28"/>
      <c r="N11" s="28"/>
      <c r="O11" s="28"/>
      <c r="P11" s="35"/>
    </row>
    <row r="12" spans="1:16" ht="28.5" customHeight="1" x14ac:dyDescent="0.25">
      <c r="A12" s="47"/>
      <c r="B12" s="34" t="s">
        <v>53</v>
      </c>
      <c r="C12" s="33">
        <v>2</v>
      </c>
      <c r="D12" s="23">
        <f t="shared" si="1"/>
        <v>2</v>
      </c>
      <c r="E12" s="28">
        <v>2</v>
      </c>
      <c r="F12" s="28"/>
      <c r="G12" s="28"/>
      <c r="H12" s="28"/>
      <c r="I12" s="28"/>
      <c r="J12" s="28"/>
      <c r="K12" s="28"/>
      <c r="L12" s="28"/>
      <c r="M12" s="28"/>
      <c r="N12" s="28"/>
      <c r="O12" s="28"/>
      <c r="P12" s="35"/>
    </row>
    <row r="13" spans="1:16" ht="28.5" customHeight="1" x14ac:dyDescent="0.25">
      <c r="A13" s="47"/>
      <c r="B13" s="34" t="s">
        <v>54</v>
      </c>
      <c r="C13" s="33">
        <v>80</v>
      </c>
      <c r="D13" s="23">
        <f t="shared" si="1"/>
        <v>40</v>
      </c>
      <c r="E13" s="28"/>
      <c r="F13" s="28">
        <v>10</v>
      </c>
      <c r="G13" s="28">
        <v>8</v>
      </c>
      <c r="H13" s="28">
        <v>19</v>
      </c>
      <c r="I13" s="28">
        <v>3</v>
      </c>
      <c r="J13" s="28"/>
      <c r="K13" s="28"/>
      <c r="L13" s="28"/>
      <c r="M13" s="28"/>
      <c r="N13" s="28"/>
      <c r="O13" s="28"/>
      <c r="P13" s="35"/>
    </row>
    <row r="14" spans="1:16" ht="28.5" customHeight="1" x14ac:dyDescent="0.25">
      <c r="A14" s="47"/>
      <c r="B14" s="34" t="s">
        <v>55</v>
      </c>
      <c r="C14" s="33">
        <v>76</v>
      </c>
      <c r="D14" s="23">
        <f t="shared" si="1"/>
        <v>19</v>
      </c>
      <c r="E14" s="28"/>
      <c r="F14" s="28">
        <v>1</v>
      </c>
      <c r="G14" s="28">
        <v>18</v>
      </c>
      <c r="H14" s="28"/>
      <c r="I14" s="28"/>
      <c r="J14" s="28"/>
      <c r="K14" s="28"/>
      <c r="L14" s="28"/>
      <c r="M14" s="28"/>
      <c r="N14" s="28"/>
      <c r="O14" s="28"/>
      <c r="P14" s="35"/>
    </row>
    <row r="15" spans="1:16" ht="28.5" customHeight="1" x14ac:dyDescent="0.25">
      <c r="A15" s="47"/>
      <c r="B15" s="34" t="s">
        <v>56</v>
      </c>
      <c r="C15" s="33">
        <v>3</v>
      </c>
      <c r="D15" s="23">
        <f t="shared" si="1"/>
        <v>1</v>
      </c>
      <c r="E15" s="28"/>
      <c r="F15" s="28"/>
      <c r="G15" s="28"/>
      <c r="H15" s="28">
        <v>1</v>
      </c>
      <c r="I15" s="28"/>
      <c r="J15" s="28"/>
      <c r="K15" s="28"/>
      <c r="L15" s="28"/>
      <c r="M15" s="28"/>
      <c r="N15" s="28"/>
      <c r="O15" s="28"/>
      <c r="P15" s="35"/>
    </row>
    <row r="16" spans="1:16" ht="28.5" customHeight="1" x14ac:dyDescent="0.25">
      <c r="A16" s="47"/>
      <c r="B16" s="34" t="s">
        <v>57</v>
      </c>
      <c r="C16" s="33">
        <v>2</v>
      </c>
      <c r="D16" s="23">
        <f t="shared" si="1"/>
        <v>0</v>
      </c>
      <c r="E16" s="28"/>
      <c r="F16" s="28"/>
      <c r="G16" s="28"/>
      <c r="H16" s="28"/>
      <c r="I16" s="28"/>
      <c r="J16" s="28"/>
      <c r="K16" s="28"/>
      <c r="L16" s="28"/>
      <c r="M16" s="28"/>
      <c r="N16" s="28"/>
      <c r="O16" s="28"/>
      <c r="P16" s="35"/>
    </row>
    <row r="17" spans="1:16" ht="28.5" customHeight="1" x14ac:dyDescent="0.25">
      <c r="A17" s="47"/>
      <c r="B17" s="34" t="s">
        <v>58</v>
      </c>
      <c r="C17" s="33">
        <v>0</v>
      </c>
      <c r="D17" s="23">
        <f t="shared" si="1"/>
        <v>0</v>
      </c>
      <c r="E17" s="28"/>
      <c r="F17" s="28"/>
      <c r="G17" s="28"/>
      <c r="H17" s="28"/>
      <c r="I17" s="28"/>
      <c r="J17" s="28"/>
      <c r="K17" s="28"/>
      <c r="L17" s="28"/>
      <c r="M17" s="28"/>
      <c r="N17" s="28"/>
      <c r="O17" s="28"/>
      <c r="P17" s="35"/>
    </row>
    <row r="18" spans="1:16" ht="28.5" customHeight="1" x14ac:dyDescent="0.25">
      <c r="A18" s="47"/>
      <c r="B18" s="34" t="s">
        <v>59</v>
      </c>
      <c r="C18" s="33">
        <v>0</v>
      </c>
      <c r="D18" s="23">
        <f t="shared" si="1"/>
        <v>0</v>
      </c>
      <c r="E18" s="28"/>
      <c r="F18" s="28"/>
      <c r="G18" s="28"/>
      <c r="H18" s="28"/>
      <c r="I18" s="28"/>
      <c r="J18" s="28"/>
      <c r="K18" s="28"/>
      <c r="L18" s="28"/>
      <c r="M18" s="28"/>
      <c r="N18" s="28"/>
      <c r="O18" s="28"/>
      <c r="P18" s="35"/>
    </row>
    <row r="19" spans="1:16" ht="28.5" customHeight="1" x14ac:dyDescent="0.25">
      <c r="A19" s="47"/>
      <c r="B19" s="34" t="s">
        <v>60</v>
      </c>
      <c r="C19" s="33">
        <v>0</v>
      </c>
      <c r="D19" s="23">
        <f t="shared" si="1"/>
        <v>0</v>
      </c>
      <c r="E19" s="28"/>
      <c r="F19" s="28"/>
      <c r="G19" s="28"/>
      <c r="H19" s="28"/>
      <c r="I19" s="28"/>
      <c r="J19" s="28"/>
      <c r="K19" s="28"/>
      <c r="L19" s="28"/>
      <c r="M19" s="28"/>
      <c r="N19" s="28"/>
      <c r="O19" s="28"/>
      <c r="P19" s="35"/>
    </row>
    <row r="20" spans="1:16" ht="28.5" customHeight="1" x14ac:dyDescent="0.25">
      <c r="A20" s="47"/>
      <c r="B20" s="34" t="s">
        <v>61</v>
      </c>
      <c r="C20" s="33">
        <v>0</v>
      </c>
      <c r="D20" s="23">
        <f t="shared" si="1"/>
        <v>0</v>
      </c>
      <c r="E20" s="28"/>
      <c r="F20" s="28"/>
      <c r="G20" s="28"/>
      <c r="H20" s="28"/>
      <c r="I20" s="28"/>
      <c r="J20" s="28"/>
      <c r="K20" s="28"/>
      <c r="L20" s="28"/>
      <c r="M20" s="28"/>
      <c r="N20" s="28"/>
      <c r="O20" s="28"/>
      <c r="P20" s="35"/>
    </row>
    <row r="21" spans="1:16" ht="28.5" customHeight="1" x14ac:dyDescent="0.25">
      <c r="A21" s="47"/>
      <c r="B21" s="34" t="s">
        <v>62</v>
      </c>
      <c r="C21" s="33">
        <v>0</v>
      </c>
      <c r="D21" s="23">
        <f t="shared" si="1"/>
        <v>0</v>
      </c>
      <c r="E21" s="28"/>
      <c r="F21" s="28"/>
      <c r="G21" s="28"/>
      <c r="H21" s="28"/>
      <c r="I21" s="28"/>
      <c r="J21" s="28"/>
      <c r="K21" s="28"/>
      <c r="L21" s="28"/>
      <c r="M21" s="28"/>
      <c r="N21" s="28"/>
      <c r="O21" s="28"/>
      <c r="P21" s="35"/>
    </row>
    <row r="22" spans="1:16" ht="28.5" customHeight="1" x14ac:dyDescent="0.25">
      <c r="A22" s="47"/>
      <c r="B22" s="34" t="s">
        <v>63</v>
      </c>
      <c r="C22" s="33">
        <v>0</v>
      </c>
      <c r="D22" s="23">
        <f t="shared" si="1"/>
        <v>0</v>
      </c>
      <c r="E22" s="28"/>
      <c r="F22" s="28"/>
      <c r="G22" s="28"/>
      <c r="H22" s="28"/>
      <c r="I22" s="28"/>
      <c r="J22" s="28"/>
      <c r="K22" s="28"/>
      <c r="L22" s="28"/>
      <c r="M22" s="28"/>
      <c r="N22" s="28"/>
      <c r="O22" s="28"/>
      <c r="P22" s="35"/>
    </row>
    <row r="23" spans="1:16" ht="28.5" customHeight="1" x14ac:dyDescent="0.25">
      <c r="A23" s="47"/>
      <c r="B23" s="34" t="s">
        <v>64</v>
      </c>
      <c r="C23" s="33">
        <v>0</v>
      </c>
      <c r="D23" s="23">
        <f t="shared" si="1"/>
        <v>0</v>
      </c>
      <c r="E23" s="28"/>
      <c r="F23" s="28"/>
      <c r="G23" s="28"/>
      <c r="H23" s="28"/>
      <c r="I23" s="28"/>
      <c r="J23" s="28"/>
      <c r="K23" s="28"/>
      <c r="L23" s="28"/>
      <c r="M23" s="28"/>
      <c r="N23" s="28"/>
      <c r="O23" s="28"/>
      <c r="P23" s="35"/>
    </row>
    <row r="24" spans="1:16" ht="28.5" customHeight="1" x14ac:dyDescent="0.25">
      <c r="A24" s="47"/>
      <c r="B24" s="34" t="s">
        <v>65</v>
      </c>
      <c r="C24" s="33">
        <v>0</v>
      </c>
      <c r="D24" s="23">
        <f t="shared" si="1"/>
        <v>0</v>
      </c>
      <c r="E24" s="28"/>
      <c r="F24" s="28"/>
      <c r="G24" s="28"/>
      <c r="H24" s="28"/>
      <c r="I24" s="28"/>
      <c r="J24" s="28"/>
      <c r="K24" s="28"/>
      <c r="L24" s="28"/>
      <c r="M24" s="28"/>
      <c r="N24" s="28"/>
      <c r="O24" s="28"/>
      <c r="P24" s="35"/>
    </row>
    <row r="25" spans="1:16" ht="28.5" customHeight="1" x14ac:dyDescent="0.25">
      <c r="A25" s="47"/>
      <c r="B25" s="34" t="s">
        <v>66</v>
      </c>
      <c r="C25" s="33">
        <v>100</v>
      </c>
      <c r="D25" s="23">
        <f t="shared" si="1"/>
        <v>52</v>
      </c>
      <c r="E25" s="28">
        <v>25</v>
      </c>
      <c r="F25" s="28"/>
      <c r="G25" s="28"/>
      <c r="H25" s="28">
        <v>27</v>
      </c>
      <c r="I25" s="28"/>
      <c r="J25" s="28"/>
      <c r="K25" s="28"/>
      <c r="L25" s="28"/>
      <c r="M25" s="28"/>
      <c r="N25" s="28"/>
      <c r="O25" s="28"/>
      <c r="P25" s="35"/>
    </row>
    <row r="26" spans="1:16" ht="28.5" customHeight="1" x14ac:dyDescent="0.25">
      <c r="A26" s="47"/>
      <c r="B26" s="34" t="s">
        <v>67</v>
      </c>
      <c r="C26" s="33">
        <v>0</v>
      </c>
      <c r="D26" s="23">
        <f t="shared" si="1"/>
        <v>0</v>
      </c>
      <c r="E26" s="28"/>
      <c r="F26" s="28"/>
      <c r="G26" s="28"/>
      <c r="H26" s="28"/>
      <c r="I26" s="28"/>
      <c r="J26" s="28"/>
      <c r="K26" s="28"/>
      <c r="L26" s="28"/>
      <c r="M26" s="28"/>
      <c r="N26" s="28"/>
      <c r="O26" s="28"/>
      <c r="P26" s="35"/>
    </row>
    <row r="27" spans="1:16" ht="24" customHeight="1" x14ac:dyDescent="0.25">
      <c r="A27" s="47"/>
      <c r="B27" s="36" t="s">
        <v>68</v>
      </c>
      <c r="C27" s="33">
        <v>4</v>
      </c>
      <c r="D27" s="23">
        <f t="shared" si="1"/>
        <v>5</v>
      </c>
      <c r="E27" s="28"/>
      <c r="F27" s="28">
        <v>1</v>
      </c>
      <c r="G27" s="28">
        <v>3</v>
      </c>
      <c r="H27" s="28">
        <v>1</v>
      </c>
      <c r="I27" s="28"/>
      <c r="J27" s="28"/>
      <c r="K27" s="28"/>
      <c r="L27" s="28"/>
      <c r="M27" s="28"/>
      <c r="N27" s="28"/>
      <c r="O27" s="28"/>
      <c r="P27" s="35"/>
    </row>
    <row r="28" spans="1:16" ht="24" customHeight="1" x14ac:dyDescent="0.25">
      <c r="A28" s="47"/>
      <c r="B28" s="36" t="s">
        <v>69</v>
      </c>
      <c r="C28" s="33">
        <v>4</v>
      </c>
      <c r="D28" s="23">
        <f t="shared" si="1"/>
        <v>4</v>
      </c>
      <c r="E28" s="28"/>
      <c r="F28" s="28"/>
      <c r="G28" s="28">
        <v>2</v>
      </c>
      <c r="H28" s="28">
        <v>2</v>
      </c>
      <c r="I28" s="28"/>
      <c r="J28" s="28"/>
      <c r="K28" s="28"/>
      <c r="L28" s="28"/>
      <c r="M28" s="28"/>
      <c r="N28" s="28"/>
      <c r="O28" s="28"/>
      <c r="P28" s="35"/>
    </row>
    <row r="29" spans="1:16" ht="24" customHeight="1" x14ac:dyDescent="0.25">
      <c r="A29" s="47"/>
      <c r="B29" s="36" t="s">
        <v>70</v>
      </c>
      <c r="C29" s="33">
        <v>4</v>
      </c>
      <c r="D29" s="23">
        <f t="shared" si="1"/>
        <v>4</v>
      </c>
      <c r="E29" s="28"/>
      <c r="F29" s="28"/>
      <c r="G29" s="28"/>
      <c r="H29" s="28"/>
      <c r="I29" s="28">
        <v>4</v>
      </c>
      <c r="J29" s="28"/>
      <c r="K29" s="28"/>
      <c r="L29" s="28"/>
      <c r="M29" s="28"/>
      <c r="N29" s="28"/>
      <c r="O29" s="28"/>
      <c r="P29" s="35"/>
    </row>
    <row r="30" spans="1:16" ht="24" customHeight="1" x14ac:dyDescent="0.25">
      <c r="A30" s="47"/>
      <c r="B30" s="36" t="s">
        <v>71</v>
      </c>
      <c r="C30" s="33">
        <v>4</v>
      </c>
      <c r="D30" s="23">
        <f t="shared" si="1"/>
        <v>1</v>
      </c>
      <c r="E30" s="28"/>
      <c r="F30" s="28"/>
      <c r="G30" s="28"/>
      <c r="H30" s="28"/>
      <c r="I30" s="28"/>
      <c r="J30" s="28">
        <v>1</v>
      </c>
      <c r="K30" s="28"/>
      <c r="L30" s="28"/>
      <c r="M30" s="28"/>
      <c r="N30" s="28"/>
      <c r="O30" s="28"/>
      <c r="P30" s="35"/>
    </row>
    <row r="31" spans="1:16" ht="24" customHeight="1" x14ac:dyDescent="0.25">
      <c r="A31" s="47"/>
      <c r="B31" s="36" t="s">
        <v>72</v>
      </c>
      <c r="C31" s="33">
        <v>4</v>
      </c>
      <c r="D31" s="23">
        <f t="shared" si="1"/>
        <v>0</v>
      </c>
      <c r="E31" s="28"/>
      <c r="F31" s="28"/>
      <c r="G31" s="28"/>
      <c r="H31" s="28"/>
      <c r="I31" s="28"/>
      <c r="J31" s="28"/>
      <c r="K31" s="28"/>
      <c r="L31" s="28"/>
      <c r="M31" s="28"/>
      <c r="N31" s="28"/>
      <c r="O31" s="28"/>
      <c r="P31" s="35"/>
    </row>
    <row r="32" spans="1:16" ht="24" customHeight="1" x14ac:dyDescent="0.25">
      <c r="A32" s="47"/>
      <c r="B32" s="36" t="s">
        <v>73</v>
      </c>
      <c r="C32" s="33">
        <v>1</v>
      </c>
      <c r="D32" s="23">
        <f t="shared" si="1"/>
        <v>0</v>
      </c>
      <c r="E32" s="28"/>
      <c r="F32" s="28"/>
      <c r="G32" s="28"/>
      <c r="H32" s="28"/>
      <c r="I32" s="28"/>
      <c r="J32" s="28"/>
      <c r="K32" s="28"/>
      <c r="L32" s="28"/>
      <c r="M32" s="28"/>
      <c r="N32" s="28"/>
      <c r="O32" s="28"/>
      <c r="P32" s="35"/>
    </row>
    <row r="33" spans="1:16" ht="24" customHeight="1" x14ac:dyDescent="0.25">
      <c r="A33" s="47"/>
      <c r="B33" s="36" t="s">
        <v>74</v>
      </c>
      <c r="C33" s="33">
        <v>1</v>
      </c>
      <c r="D33" s="23">
        <f t="shared" si="1"/>
        <v>0</v>
      </c>
      <c r="E33" s="28"/>
      <c r="F33" s="28"/>
      <c r="G33" s="28"/>
      <c r="H33" s="28"/>
      <c r="I33" s="28"/>
      <c r="J33" s="28"/>
      <c r="K33" s="28"/>
      <c r="L33" s="28"/>
      <c r="M33" s="28"/>
      <c r="N33" s="28"/>
      <c r="O33" s="28"/>
      <c r="P33" s="35"/>
    </row>
    <row r="34" spans="1:16" ht="24" customHeight="1" x14ac:dyDescent="0.25">
      <c r="A34" s="47"/>
      <c r="B34" s="36" t="s">
        <v>75</v>
      </c>
      <c r="C34" s="33">
        <v>1</v>
      </c>
      <c r="D34" s="23">
        <f t="shared" si="1"/>
        <v>0</v>
      </c>
      <c r="E34" s="28"/>
      <c r="F34" s="28"/>
      <c r="G34" s="28"/>
      <c r="H34" s="28"/>
      <c r="I34" s="28"/>
      <c r="J34" s="28"/>
      <c r="K34" s="28"/>
      <c r="L34" s="28"/>
      <c r="M34" s="28"/>
      <c r="N34" s="28"/>
      <c r="O34" s="28"/>
      <c r="P34" s="35"/>
    </row>
    <row r="35" spans="1:16" ht="24" customHeight="1" x14ac:dyDescent="0.25">
      <c r="A35" s="47"/>
      <c r="B35" s="36" t="s">
        <v>76</v>
      </c>
      <c r="C35" s="33">
        <v>1</v>
      </c>
      <c r="D35" s="23">
        <f t="shared" si="1"/>
        <v>0</v>
      </c>
      <c r="E35" s="28"/>
      <c r="F35" s="28"/>
      <c r="G35" s="28"/>
      <c r="H35" s="28"/>
      <c r="I35" s="28"/>
      <c r="J35" s="28"/>
      <c r="K35" s="28"/>
      <c r="L35" s="28"/>
      <c r="M35" s="28"/>
      <c r="N35" s="28"/>
      <c r="O35" s="28"/>
      <c r="P35" s="35"/>
    </row>
    <row r="36" spans="1:16" ht="24" customHeight="1" x14ac:dyDescent="0.25">
      <c r="A36" s="47"/>
      <c r="B36" s="36" t="s">
        <v>77</v>
      </c>
      <c r="C36" s="33">
        <v>1</v>
      </c>
      <c r="D36" s="23">
        <f t="shared" si="1"/>
        <v>0</v>
      </c>
      <c r="E36" s="28"/>
      <c r="F36" s="28"/>
      <c r="G36" s="28"/>
      <c r="H36" s="28"/>
      <c r="I36" s="28"/>
      <c r="J36" s="28"/>
      <c r="K36" s="28"/>
      <c r="L36" s="28"/>
      <c r="M36" s="28"/>
      <c r="N36" s="28"/>
      <c r="O36" s="28"/>
      <c r="P36" s="35"/>
    </row>
    <row r="37" spans="1:16" ht="24" customHeight="1" x14ac:dyDescent="0.25">
      <c r="A37" s="47"/>
      <c r="B37" s="36" t="s">
        <v>78</v>
      </c>
      <c r="C37" s="33">
        <v>1</v>
      </c>
      <c r="D37" s="23">
        <f t="shared" si="1"/>
        <v>0</v>
      </c>
      <c r="E37" s="28"/>
      <c r="F37" s="28"/>
      <c r="G37" s="28"/>
      <c r="H37" s="28"/>
      <c r="I37" s="28"/>
      <c r="J37" s="28"/>
      <c r="K37" s="28"/>
      <c r="L37" s="28"/>
      <c r="M37" s="28"/>
      <c r="N37" s="28"/>
      <c r="O37" s="28"/>
      <c r="P37" s="35"/>
    </row>
    <row r="38" spans="1:16" ht="24" customHeight="1" thickBot="1" x14ac:dyDescent="0.3">
      <c r="A38" s="48"/>
      <c r="B38" s="37" t="s">
        <v>79</v>
      </c>
      <c r="C38" s="33">
        <v>1</v>
      </c>
      <c r="D38" s="23">
        <f t="shared" si="1"/>
        <v>0</v>
      </c>
      <c r="E38" s="28"/>
      <c r="F38" s="28"/>
      <c r="G38" s="28"/>
      <c r="H38" s="28"/>
      <c r="I38" s="28"/>
      <c r="J38" s="28"/>
      <c r="K38" s="28"/>
      <c r="L38" s="28"/>
      <c r="M38" s="28"/>
      <c r="N38" s="28"/>
      <c r="O38" s="28"/>
      <c r="P38" s="35"/>
    </row>
    <row r="39" spans="1:16" x14ac:dyDescent="0.25">
      <c r="C39" s="38">
        <f>SUM(C3:C38)</f>
        <v>303</v>
      </c>
      <c r="D39" s="39">
        <f>SUM(D3:D38)</f>
        <v>136</v>
      </c>
    </row>
    <row r="40" spans="1:16" x14ac:dyDescent="0.25">
      <c r="C40" s="40"/>
      <c r="D40" s="41">
        <f>D39/C39</f>
        <v>0.44884488448844884</v>
      </c>
    </row>
  </sheetData>
  <sheetProtection algorithmName="SHA-512" hashValue="OPc+mx4UP4IT6Yvl0vdpzkT9aJ5XAAThYE01+XfIy7vuERm7itFwYExf/vzca9BSVr11D84tBKcaSOsCYuJxfw==" saltValue="Yq9KhzDAFQ4T28mCaR0E2g==" spinCount="100000" sheet="1" objects="1" scenarios="1" autoFilter="0"/>
  <mergeCells count="2">
    <mergeCell ref="A1:A2"/>
    <mergeCell ref="A11:A38"/>
  </mergeCells>
  <conditionalFormatting sqref="C9">
    <cfRule type="dataBar" priority="2">
      <dataBar>
        <cfvo type="min"/>
        <cfvo type="max"/>
        <color rgb="FF008AEF"/>
      </dataBar>
      <extLst>
        <ext xmlns:x14="http://schemas.microsoft.com/office/spreadsheetml/2009/9/main" uri="{B025F937-C7B1-47D3-B67F-A62EFF666E3E}">
          <x14:id>{22D6AC9A-2A52-447E-8688-606CA29EE9CC}</x14:id>
        </ext>
      </extLst>
    </cfRule>
  </conditionalFormatting>
  <conditionalFormatting sqref="C3:D3">
    <cfRule type="dataBar" priority="6">
      <dataBar>
        <cfvo type="min"/>
        <cfvo type="max"/>
        <color rgb="FF008AEF"/>
      </dataBar>
      <extLst>
        <ext xmlns:x14="http://schemas.microsoft.com/office/spreadsheetml/2009/9/main" uri="{B025F937-C7B1-47D3-B67F-A62EFF666E3E}">
          <x14:id>{2CAB07BA-5C6F-4554-929E-5F39B1F365F8}</x14:id>
        </ext>
      </extLst>
    </cfRule>
  </conditionalFormatting>
  <conditionalFormatting sqref="C4:D4">
    <cfRule type="dataBar" priority="7">
      <dataBar>
        <cfvo type="min"/>
        <cfvo type="max"/>
        <color rgb="FF008AEF"/>
      </dataBar>
      <extLst>
        <ext xmlns:x14="http://schemas.microsoft.com/office/spreadsheetml/2009/9/main" uri="{B025F937-C7B1-47D3-B67F-A62EFF666E3E}">
          <x14:id>{92406C09-FF68-4E67-B85C-FEC41947A4A1}</x14:id>
        </ext>
      </extLst>
    </cfRule>
  </conditionalFormatting>
  <conditionalFormatting sqref="C5:D5">
    <cfRule type="dataBar" priority="8">
      <dataBar>
        <cfvo type="min"/>
        <cfvo type="max"/>
        <color rgb="FF008AEF"/>
      </dataBar>
      <extLst>
        <ext xmlns:x14="http://schemas.microsoft.com/office/spreadsheetml/2009/9/main" uri="{B025F937-C7B1-47D3-B67F-A62EFF666E3E}">
          <x14:id>{4B81C4D0-4DBB-4298-A9C5-61225BC13913}</x14:id>
        </ext>
      </extLst>
    </cfRule>
  </conditionalFormatting>
  <conditionalFormatting sqref="C6:D6">
    <cfRule type="dataBar" priority="9">
      <dataBar>
        <cfvo type="min"/>
        <cfvo type="max"/>
        <color rgb="FF008AEF"/>
      </dataBar>
      <extLst>
        <ext xmlns:x14="http://schemas.microsoft.com/office/spreadsheetml/2009/9/main" uri="{B025F937-C7B1-47D3-B67F-A62EFF666E3E}">
          <x14:id>{C2B383FC-5705-4AC4-8DAE-178EC74D805D}</x14:id>
        </ext>
      </extLst>
    </cfRule>
  </conditionalFormatting>
  <conditionalFormatting sqref="C7:D7">
    <cfRule type="dataBar" priority="10">
      <dataBar>
        <cfvo type="min"/>
        <cfvo type="max"/>
        <color rgb="FF008AEF"/>
      </dataBar>
      <extLst>
        <ext xmlns:x14="http://schemas.microsoft.com/office/spreadsheetml/2009/9/main" uri="{B025F937-C7B1-47D3-B67F-A62EFF666E3E}">
          <x14:id>{994178E2-4CD2-48C2-98F8-274E5CBF9130}</x14:id>
        </ext>
      </extLst>
    </cfRule>
  </conditionalFormatting>
  <conditionalFormatting sqref="C8:D8">
    <cfRule type="dataBar" priority="11">
      <dataBar>
        <cfvo type="min"/>
        <cfvo type="max"/>
        <color rgb="FF008AEF"/>
      </dataBar>
      <extLst>
        <ext xmlns:x14="http://schemas.microsoft.com/office/spreadsheetml/2009/9/main" uri="{B025F937-C7B1-47D3-B67F-A62EFF666E3E}">
          <x14:id>{263BAD12-54D1-4574-B4F3-F8559759795B}</x14:id>
        </ext>
      </extLst>
    </cfRule>
  </conditionalFormatting>
  <conditionalFormatting sqref="C10:D10">
    <cfRule type="dataBar" priority="1">
      <dataBar>
        <cfvo type="min"/>
        <cfvo type="max"/>
        <color rgb="FF008AEF"/>
      </dataBar>
      <extLst>
        <ext xmlns:x14="http://schemas.microsoft.com/office/spreadsheetml/2009/9/main" uri="{B025F937-C7B1-47D3-B67F-A62EFF666E3E}">
          <x14:id>{98C73F90-1169-4918-BDB7-DAD366504DDD}</x14:id>
        </ext>
      </extLst>
    </cfRule>
  </conditionalFormatting>
  <conditionalFormatting sqref="C11:D11">
    <cfRule type="dataBar" priority="13">
      <dataBar>
        <cfvo type="min"/>
        <cfvo type="max"/>
        <color rgb="FF008AEF"/>
      </dataBar>
      <extLst>
        <ext xmlns:x14="http://schemas.microsoft.com/office/spreadsheetml/2009/9/main" uri="{B025F937-C7B1-47D3-B67F-A62EFF666E3E}">
          <x14:id>{67BC8014-011D-4A56-B2AF-37ED10DDC97B}</x14:id>
        </ext>
      </extLst>
    </cfRule>
  </conditionalFormatting>
  <conditionalFormatting sqref="C12:D12">
    <cfRule type="dataBar" priority="40">
      <dataBar>
        <cfvo type="min"/>
        <cfvo type="max"/>
        <color rgb="FF008AEF"/>
      </dataBar>
      <extLst>
        <ext xmlns:x14="http://schemas.microsoft.com/office/spreadsheetml/2009/9/main" uri="{B025F937-C7B1-47D3-B67F-A62EFF666E3E}">
          <x14:id>{D0627EAE-FE7F-4761-AC33-10206F8D021F}</x14:id>
        </ext>
      </extLst>
    </cfRule>
  </conditionalFormatting>
  <conditionalFormatting sqref="C13:D13">
    <cfRule type="dataBar" priority="39">
      <dataBar>
        <cfvo type="min"/>
        <cfvo type="max"/>
        <color rgb="FF008AEF"/>
      </dataBar>
      <extLst>
        <ext xmlns:x14="http://schemas.microsoft.com/office/spreadsheetml/2009/9/main" uri="{B025F937-C7B1-47D3-B67F-A62EFF666E3E}">
          <x14:id>{FCA9D292-4F74-4116-B25F-B11D38507C33}</x14:id>
        </ext>
      </extLst>
    </cfRule>
  </conditionalFormatting>
  <conditionalFormatting sqref="C14:D14">
    <cfRule type="dataBar" priority="38">
      <dataBar>
        <cfvo type="min"/>
        <cfvo type="max"/>
        <color rgb="FF008AEF"/>
      </dataBar>
      <extLst>
        <ext xmlns:x14="http://schemas.microsoft.com/office/spreadsheetml/2009/9/main" uri="{B025F937-C7B1-47D3-B67F-A62EFF666E3E}">
          <x14:id>{931642A4-6C8F-4CF1-AA1A-6669B4EDD163}</x14:id>
        </ext>
      </extLst>
    </cfRule>
  </conditionalFormatting>
  <conditionalFormatting sqref="C15:D15">
    <cfRule type="dataBar" priority="37">
      <dataBar>
        <cfvo type="min"/>
        <cfvo type="max"/>
        <color rgb="FF008AEF"/>
      </dataBar>
      <extLst>
        <ext xmlns:x14="http://schemas.microsoft.com/office/spreadsheetml/2009/9/main" uri="{B025F937-C7B1-47D3-B67F-A62EFF666E3E}">
          <x14:id>{2C7D41E4-C6F5-493C-B808-DE9348717911}</x14:id>
        </ext>
      </extLst>
    </cfRule>
  </conditionalFormatting>
  <conditionalFormatting sqref="C16:D16">
    <cfRule type="dataBar" priority="36">
      <dataBar>
        <cfvo type="min"/>
        <cfvo type="max"/>
        <color rgb="FF008AEF"/>
      </dataBar>
      <extLst>
        <ext xmlns:x14="http://schemas.microsoft.com/office/spreadsheetml/2009/9/main" uri="{B025F937-C7B1-47D3-B67F-A62EFF666E3E}">
          <x14:id>{BC5270CB-647B-4825-AECC-148E16C1C573}</x14:id>
        </ext>
      </extLst>
    </cfRule>
  </conditionalFormatting>
  <conditionalFormatting sqref="C17:D17">
    <cfRule type="dataBar" priority="35">
      <dataBar>
        <cfvo type="min"/>
        <cfvo type="max"/>
        <color rgb="FF008AEF"/>
      </dataBar>
      <extLst>
        <ext xmlns:x14="http://schemas.microsoft.com/office/spreadsheetml/2009/9/main" uri="{B025F937-C7B1-47D3-B67F-A62EFF666E3E}">
          <x14:id>{88AFAC34-649C-4471-A69F-8B9988990A1A}</x14:id>
        </ext>
      </extLst>
    </cfRule>
  </conditionalFormatting>
  <conditionalFormatting sqref="C18:D18">
    <cfRule type="dataBar" priority="34">
      <dataBar>
        <cfvo type="min"/>
        <cfvo type="max"/>
        <color rgb="FF008AEF"/>
      </dataBar>
      <extLst>
        <ext xmlns:x14="http://schemas.microsoft.com/office/spreadsheetml/2009/9/main" uri="{B025F937-C7B1-47D3-B67F-A62EFF666E3E}">
          <x14:id>{F3BF63B5-523D-4AB9-8D98-CBDF1318F3D1}</x14:id>
        </ext>
      </extLst>
    </cfRule>
  </conditionalFormatting>
  <conditionalFormatting sqref="C19:D19">
    <cfRule type="dataBar" priority="33">
      <dataBar>
        <cfvo type="min"/>
        <cfvo type="max"/>
        <color rgb="FF008AEF"/>
      </dataBar>
      <extLst>
        <ext xmlns:x14="http://schemas.microsoft.com/office/spreadsheetml/2009/9/main" uri="{B025F937-C7B1-47D3-B67F-A62EFF666E3E}">
          <x14:id>{B231288D-5A62-4B9D-95B7-59036806FB6B}</x14:id>
        </ext>
      </extLst>
    </cfRule>
  </conditionalFormatting>
  <conditionalFormatting sqref="C20:D20">
    <cfRule type="dataBar" priority="32">
      <dataBar>
        <cfvo type="min"/>
        <cfvo type="max"/>
        <color rgb="FF008AEF"/>
      </dataBar>
      <extLst>
        <ext xmlns:x14="http://schemas.microsoft.com/office/spreadsheetml/2009/9/main" uri="{B025F937-C7B1-47D3-B67F-A62EFF666E3E}">
          <x14:id>{E507ED15-1167-47B7-B698-E2C5D5A84B04}</x14:id>
        </ext>
      </extLst>
    </cfRule>
  </conditionalFormatting>
  <conditionalFormatting sqref="C21:D21">
    <cfRule type="dataBar" priority="31">
      <dataBar>
        <cfvo type="min"/>
        <cfvo type="max"/>
        <color rgb="FF008AEF"/>
      </dataBar>
      <extLst>
        <ext xmlns:x14="http://schemas.microsoft.com/office/spreadsheetml/2009/9/main" uri="{B025F937-C7B1-47D3-B67F-A62EFF666E3E}">
          <x14:id>{31F7F371-BC8C-4919-AE8C-8105EA965F29}</x14:id>
        </ext>
      </extLst>
    </cfRule>
  </conditionalFormatting>
  <conditionalFormatting sqref="C22:D22">
    <cfRule type="dataBar" priority="30">
      <dataBar>
        <cfvo type="min"/>
        <cfvo type="max"/>
        <color rgb="FF008AEF"/>
      </dataBar>
      <extLst>
        <ext xmlns:x14="http://schemas.microsoft.com/office/spreadsheetml/2009/9/main" uri="{B025F937-C7B1-47D3-B67F-A62EFF666E3E}">
          <x14:id>{C6002D7F-BB29-47BF-AC53-0DE286FDA0DD}</x14:id>
        </ext>
      </extLst>
    </cfRule>
  </conditionalFormatting>
  <conditionalFormatting sqref="C23:D23">
    <cfRule type="dataBar" priority="29">
      <dataBar>
        <cfvo type="min"/>
        <cfvo type="max"/>
        <color rgb="FF008AEF"/>
      </dataBar>
      <extLst>
        <ext xmlns:x14="http://schemas.microsoft.com/office/spreadsheetml/2009/9/main" uri="{B025F937-C7B1-47D3-B67F-A62EFF666E3E}">
          <x14:id>{6B525C49-C429-40DC-A751-FAE5DFEAB60B}</x14:id>
        </ext>
      </extLst>
    </cfRule>
  </conditionalFormatting>
  <conditionalFormatting sqref="C24:D24">
    <cfRule type="dataBar" priority="28">
      <dataBar>
        <cfvo type="min"/>
        <cfvo type="max"/>
        <color rgb="FF008AEF"/>
      </dataBar>
      <extLst>
        <ext xmlns:x14="http://schemas.microsoft.com/office/spreadsheetml/2009/9/main" uri="{B025F937-C7B1-47D3-B67F-A62EFF666E3E}">
          <x14:id>{07ACF143-D928-4804-9441-6933EBC807BA}</x14:id>
        </ext>
      </extLst>
    </cfRule>
  </conditionalFormatting>
  <conditionalFormatting sqref="C25:D25">
    <cfRule type="dataBar" priority="27">
      <dataBar>
        <cfvo type="min"/>
        <cfvo type="max"/>
        <color rgb="FF008AEF"/>
      </dataBar>
      <extLst>
        <ext xmlns:x14="http://schemas.microsoft.com/office/spreadsheetml/2009/9/main" uri="{B025F937-C7B1-47D3-B67F-A62EFF666E3E}">
          <x14:id>{39F25C7E-2403-45AA-953D-9A23E5287869}</x14:id>
        </ext>
      </extLst>
    </cfRule>
  </conditionalFormatting>
  <conditionalFormatting sqref="C26:D26">
    <cfRule type="dataBar" priority="26">
      <dataBar>
        <cfvo type="min"/>
        <cfvo type="max"/>
        <color rgb="FF008AEF"/>
      </dataBar>
      <extLst>
        <ext xmlns:x14="http://schemas.microsoft.com/office/spreadsheetml/2009/9/main" uri="{B025F937-C7B1-47D3-B67F-A62EFF666E3E}">
          <x14:id>{795E0889-E493-4128-8247-5E883FAC5AC4}</x14:id>
        </ext>
      </extLst>
    </cfRule>
  </conditionalFormatting>
  <conditionalFormatting sqref="C27:D27">
    <cfRule type="dataBar" priority="25">
      <dataBar>
        <cfvo type="min"/>
        <cfvo type="max"/>
        <color rgb="FF008AEF"/>
      </dataBar>
      <extLst>
        <ext xmlns:x14="http://schemas.microsoft.com/office/spreadsheetml/2009/9/main" uri="{B025F937-C7B1-47D3-B67F-A62EFF666E3E}">
          <x14:id>{075F9A95-230B-49E1-ADA7-32F0E19D6ABC}</x14:id>
        </ext>
      </extLst>
    </cfRule>
  </conditionalFormatting>
  <conditionalFormatting sqref="C28:D28">
    <cfRule type="dataBar" priority="24">
      <dataBar>
        <cfvo type="min"/>
        <cfvo type="max"/>
        <color rgb="FF008AEF"/>
      </dataBar>
      <extLst>
        <ext xmlns:x14="http://schemas.microsoft.com/office/spreadsheetml/2009/9/main" uri="{B025F937-C7B1-47D3-B67F-A62EFF666E3E}">
          <x14:id>{2B520C11-7A01-49A8-BA3A-F527F1893217}</x14:id>
        </ext>
      </extLst>
    </cfRule>
  </conditionalFormatting>
  <conditionalFormatting sqref="C29:D29">
    <cfRule type="dataBar" priority="23">
      <dataBar>
        <cfvo type="min"/>
        <cfvo type="max"/>
        <color rgb="FF008AEF"/>
      </dataBar>
      <extLst>
        <ext xmlns:x14="http://schemas.microsoft.com/office/spreadsheetml/2009/9/main" uri="{B025F937-C7B1-47D3-B67F-A62EFF666E3E}">
          <x14:id>{4CCF7FD7-5A91-4244-BE22-76494F99F6DF}</x14:id>
        </ext>
      </extLst>
    </cfRule>
  </conditionalFormatting>
  <conditionalFormatting sqref="C30:D30">
    <cfRule type="dataBar" priority="22">
      <dataBar>
        <cfvo type="min"/>
        <cfvo type="max"/>
        <color rgb="FF008AEF"/>
      </dataBar>
      <extLst>
        <ext xmlns:x14="http://schemas.microsoft.com/office/spreadsheetml/2009/9/main" uri="{B025F937-C7B1-47D3-B67F-A62EFF666E3E}">
          <x14:id>{E5628B9E-AF4B-4021-9CFD-7AAF0D24BED7}</x14:id>
        </ext>
      </extLst>
    </cfRule>
  </conditionalFormatting>
  <conditionalFormatting sqref="C31:D31">
    <cfRule type="dataBar" priority="21">
      <dataBar>
        <cfvo type="min"/>
        <cfvo type="max"/>
        <color rgb="FF008AEF"/>
      </dataBar>
      <extLst>
        <ext xmlns:x14="http://schemas.microsoft.com/office/spreadsheetml/2009/9/main" uri="{B025F937-C7B1-47D3-B67F-A62EFF666E3E}">
          <x14:id>{5A9AF3BD-5335-4339-813C-82ADF65FB224}</x14:id>
        </ext>
      </extLst>
    </cfRule>
  </conditionalFormatting>
  <conditionalFormatting sqref="C32:D32">
    <cfRule type="dataBar" priority="20">
      <dataBar>
        <cfvo type="min"/>
        <cfvo type="max"/>
        <color rgb="FF008AEF"/>
      </dataBar>
      <extLst>
        <ext xmlns:x14="http://schemas.microsoft.com/office/spreadsheetml/2009/9/main" uri="{B025F937-C7B1-47D3-B67F-A62EFF666E3E}">
          <x14:id>{9F3425FC-3999-4770-B9F3-F3AE9AF99350}</x14:id>
        </ext>
      </extLst>
    </cfRule>
  </conditionalFormatting>
  <conditionalFormatting sqref="C33:D33">
    <cfRule type="dataBar" priority="19">
      <dataBar>
        <cfvo type="min"/>
        <cfvo type="max"/>
        <color rgb="FF008AEF"/>
      </dataBar>
      <extLst>
        <ext xmlns:x14="http://schemas.microsoft.com/office/spreadsheetml/2009/9/main" uri="{B025F937-C7B1-47D3-B67F-A62EFF666E3E}">
          <x14:id>{AE52C53C-8ED5-49A2-8C49-F6A5619BA120}</x14:id>
        </ext>
      </extLst>
    </cfRule>
  </conditionalFormatting>
  <conditionalFormatting sqref="C34:D34">
    <cfRule type="dataBar" priority="18">
      <dataBar>
        <cfvo type="min"/>
        <cfvo type="max"/>
        <color rgb="FF008AEF"/>
      </dataBar>
      <extLst>
        <ext xmlns:x14="http://schemas.microsoft.com/office/spreadsheetml/2009/9/main" uri="{B025F937-C7B1-47D3-B67F-A62EFF666E3E}">
          <x14:id>{3338CBF9-9968-4D68-B27A-954D6CB04DBD}</x14:id>
        </ext>
      </extLst>
    </cfRule>
  </conditionalFormatting>
  <conditionalFormatting sqref="C35:D35">
    <cfRule type="dataBar" priority="17">
      <dataBar>
        <cfvo type="min"/>
        <cfvo type="max"/>
        <color rgb="FF008AEF"/>
      </dataBar>
      <extLst>
        <ext xmlns:x14="http://schemas.microsoft.com/office/spreadsheetml/2009/9/main" uri="{B025F937-C7B1-47D3-B67F-A62EFF666E3E}">
          <x14:id>{6F595A3A-C7C1-4068-9A15-203A16C061BA}</x14:id>
        </ext>
      </extLst>
    </cfRule>
  </conditionalFormatting>
  <conditionalFormatting sqref="C36:D36">
    <cfRule type="dataBar" priority="16">
      <dataBar>
        <cfvo type="min"/>
        <cfvo type="max"/>
        <color rgb="FF008AEF"/>
      </dataBar>
      <extLst>
        <ext xmlns:x14="http://schemas.microsoft.com/office/spreadsheetml/2009/9/main" uri="{B025F937-C7B1-47D3-B67F-A62EFF666E3E}">
          <x14:id>{D1E87AC8-2693-4BDA-AC9A-5C281C82DBA5}</x14:id>
        </ext>
      </extLst>
    </cfRule>
  </conditionalFormatting>
  <conditionalFormatting sqref="C37:D37">
    <cfRule type="dataBar" priority="15">
      <dataBar>
        <cfvo type="min"/>
        <cfvo type="max"/>
        <color rgb="FF008AEF"/>
      </dataBar>
      <extLst>
        <ext xmlns:x14="http://schemas.microsoft.com/office/spreadsheetml/2009/9/main" uri="{B025F937-C7B1-47D3-B67F-A62EFF666E3E}">
          <x14:id>{F3471E27-7E44-49DA-AD3F-EA1D12C8CE47}</x14:id>
        </ext>
      </extLst>
    </cfRule>
  </conditionalFormatting>
  <conditionalFormatting sqref="C38:D38">
    <cfRule type="dataBar" priority="14">
      <dataBar>
        <cfvo type="min"/>
        <cfvo type="max"/>
        <color rgb="FF008AEF"/>
      </dataBar>
      <extLst>
        <ext xmlns:x14="http://schemas.microsoft.com/office/spreadsheetml/2009/9/main" uri="{B025F937-C7B1-47D3-B67F-A62EFF666E3E}">
          <x14:id>{81DC85BF-6AE3-4FF0-8E29-100443C21DD3}</x14:id>
        </ext>
      </extLst>
    </cfRule>
  </conditionalFormatting>
  <conditionalFormatting sqref="D3:D10">
    <cfRule type="dataBar" priority="5">
      <dataBar>
        <cfvo type="min"/>
        <cfvo type="max"/>
        <color rgb="FF008AEF"/>
      </dataBar>
      <extLst>
        <ext xmlns:x14="http://schemas.microsoft.com/office/spreadsheetml/2009/9/main" uri="{B025F937-C7B1-47D3-B67F-A62EFF666E3E}">
          <x14:id>{7FD88553-1D92-47E0-8013-EDC74754409E}</x14:id>
        </ext>
      </extLst>
    </cfRule>
  </conditionalFormatting>
  <conditionalFormatting sqref="G11:O34">
    <cfRule type="cellIs" dxfId="8" priority="12" operator="greaterThan">
      <formula>0</formula>
    </cfRule>
  </conditionalFormatting>
  <conditionalFormatting sqref="G3:P10 E3:F34 E35:O38">
    <cfRule type="cellIs" dxfId="7" priority="3"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22D6AC9A-2A52-447E-8688-606CA29EE9CC}">
            <x14:dataBar minLength="0" maxLength="100" gradient="0">
              <x14:cfvo type="autoMin"/>
              <x14:cfvo type="autoMax"/>
              <x14:negativeFillColor rgb="FFFF0000"/>
              <x14:axisColor rgb="FF000000"/>
            </x14:dataBar>
          </x14:cfRule>
          <xm:sqref>C9</xm:sqref>
        </x14:conditionalFormatting>
        <x14:conditionalFormatting xmlns:xm="http://schemas.microsoft.com/office/excel/2006/main">
          <x14:cfRule type="dataBar" id="{2CAB07BA-5C6F-4554-929E-5F39B1F365F8}">
            <x14:dataBar minLength="0" maxLength="100" gradient="0">
              <x14:cfvo type="autoMin"/>
              <x14:cfvo type="autoMax"/>
              <x14:negativeFillColor rgb="FFFF0000"/>
              <x14:axisColor rgb="FF000000"/>
            </x14:dataBar>
          </x14:cfRule>
          <xm:sqref>C3:D3</xm:sqref>
        </x14:conditionalFormatting>
        <x14:conditionalFormatting xmlns:xm="http://schemas.microsoft.com/office/excel/2006/main">
          <x14:cfRule type="dataBar" id="{92406C09-FF68-4E67-B85C-FEC41947A4A1}">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4B81C4D0-4DBB-4298-A9C5-61225BC13913}">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C2B383FC-5705-4AC4-8DAE-178EC74D805D}">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994178E2-4CD2-48C2-98F8-274E5CBF9130}">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263BAD12-54D1-4574-B4F3-F8559759795B}">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98C73F90-1169-4918-BDB7-DAD366504DDD}">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67BC8014-011D-4A56-B2AF-37ED10DDC97B}">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D0627EAE-FE7F-4761-AC33-10206F8D021F}">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FCA9D292-4F74-4116-B25F-B11D38507C33}">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931642A4-6C8F-4CF1-AA1A-6669B4EDD163}">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2C7D41E4-C6F5-493C-B808-DE9348717911}">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BC5270CB-647B-4825-AECC-148E16C1C573}">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88AFAC34-649C-4471-A69F-8B9988990A1A}">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F3BF63B5-523D-4AB9-8D98-CBDF1318F3D1}">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B231288D-5A62-4B9D-95B7-59036806FB6B}">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E507ED15-1167-47B7-B698-E2C5D5A84B04}">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31F7F371-BC8C-4919-AE8C-8105EA965F29}">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C6002D7F-BB29-47BF-AC53-0DE286FDA0DD}">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6B525C49-C429-40DC-A751-FAE5DFEAB60B}">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07ACF143-D928-4804-9441-6933EBC807BA}">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39F25C7E-2403-45AA-953D-9A23E5287869}">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795E0889-E493-4128-8247-5E883FAC5AC4}">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075F9A95-230B-49E1-ADA7-32F0E19D6ABC}">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2B520C11-7A01-49A8-BA3A-F527F1893217}">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4CCF7FD7-5A91-4244-BE22-76494F99F6DF}">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E5628B9E-AF4B-4021-9CFD-7AAF0D24BED7}">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5A9AF3BD-5335-4339-813C-82ADF65FB224}">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9F3425FC-3999-4770-B9F3-F3AE9AF99350}">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AE52C53C-8ED5-49A2-8C49-F6A5619BA120}">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3338CBF9-9968-4D68-B27A-954D6CB04DBD}">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6F595A3A-C7C1-4068-9A15-203A16C061BA}">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D1E87AC8-2693-4BDA-AC9A-5C281C82DBA5}">
            <x14:dataBar minLength="0" maxLength="100" gradient="0">
              <x14:cfvo type="autoMin"/>
              <x14:cfvo type="autoMax"/>
              <x14:negativeFillColor rgb="FFFF0000"/>
              <x14:axisColor rgb="FF000000"/>
            </x14:dataBar>
          </x14:cfRule>
          <xm:sqref>C36:D36</xm:sqref>
        </x14:conditionalFormatting>
        <x14:conditionalFormatting xmlns:xm="http://schemas.microsoft.com/office/excel/2006/main">
          <x14:cfRule type="dataBar" id="{F3471E27-7E44-49DA-AD3F-EA1D12C8CE47}">
            <x14:dataBar minLength="0" maxLength="100" gradient="0">
              <x14:cfvo type="autoMin"/>
              <x14:cfvo type="autoMax"/>
              <x14:negativeFillColor rgb="FFFF0000"/>
              <x14:axisColor rgb="FF000000"/>
            </x14:dataBar>
          </x14:cfRule>
          <xm:sqref>C37:D37</xm:sqref>
        </x14:conditionalFormatting>
        <x14:conditionalFormatting xmlns:xm="http://schemas.microsoft.com/office/excel/2006/main">
          <x14:cfRule type="dataBar" id="{81DC85BF-6AE3-4FF0-8E29-100443C21DD3}">
            <x14:dataBar minLength="0" maxLength="100" gradient="0">
              <x14:cfvo type="autoMin"/>
              <x14:cfvo type="autoMax"/>
              <x14:negativeFillColor rgb="FFFF0000"/>
              <x14:axisColor rgb="FF000000"/>
            </x14:dataBar>
          </x14:cfRule>
          <xm:sqref>C38:D38</xm:sqref>
        </x14:conditionalFormatting>
        <x14:conditionalFormatting xmlns:xm="http://schemas.microsoft.com/office/excel/2006/main">
          <x14:cfRule type="dataBar" id="{7FD88553-1D92-47E0-8013-EDC74754409E}">
            <x14:dataBar minLength="0" maxLength="100" gradient="0">
              <x14:cfvo type="autoMin"/>
              <x14:cfvo type="autoMax"/>
              <x14:negativeFillColor rgb="FFFF0000"/>
              <x14:axisColor rgb="FF000000"/>
            </x14:dataBar>
          </x14:cfRule>
          <xm:sqref>D3:D10</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39"/>
  <sheetViews>
    <sheetView topLeftCell="B1" zoomScale="60" zoomScaleNormal="60" workbookViewId="0">
      <selection activeCell="O6" sqref="O6"/>
    </sheetView>
  </sheetViews>
  <sheetFormatPr baseColWidth="10" defaultColWidth="11.42578125" defaultRowHeight="15" x14ac:dyDescent="0.25"/>
  <cols>
    <col min="1" max="1" width="6.140625" style="1" customWidth="1"/>
    <col min="2" max="2" width="105.85546875" style="1" customWidth="1"/>
    <col min="3" max="3" width="11.42578125" style="1"/>
    <col min="4" max="4" width="22.42578125" style="1" customWidth="1"/>
    <col min="5" max="9" width="17.28515625" style="1" customWidth="1"/>
    <col min="10" max="16384" width="11.42578125" style="1"/>
  </cols>
  <sheetData>
    <row r="1" spans="1:16" ht="61.5" customHeight="1" x14ac:dyDescent="0.25">
      <c r="A1" s="44" t="s">
        <v>1</v>
      </c>
      <c r="B1" s="22" t="s">
        <v>35</v>
      </c>
      <c r="C1" s="6" t="s">
        <v>2</v>
      </c>
      <c r="D1" s="6" t="s">
        <v>3</v>
      </c>
      <c r="E1" s="6" t="s">
        <v>4</v>
      </c>
      <c r="F1" s="6" t="s">
        <v>5</v>
      </c>
      <c r="G1" s="6" t="s">
        <v>6</v>
      </c>
      <c r="H1" s="6" t="s">
        <v>7</v>
      </c>
      <c r="I1" s="6" t="s">
        <v>8</v>
      </c>
      <c r="J1" s="6" t="s">
        <v>9</v>
      </c>
      <c r="K1" s="6" t="s">
        <v>10</v>
      </c>
      <c r="L1" s="6" t="s">
        <v>11</v>
      </c>
      <c r="M1" s="6" t="s">
        <v>12</v>
      </c>
      <c r="N1" s="6" t="s">
        <v>13</v>
      </c>
      <c r="O1" s="6" t="s">
        <v>14</v>
      </c>
      <c r="P1" s="6" t="s">
        <v>15</v>
      </c>
    </row>
    <row r="2" spans="1:16" s="2" customFormat="1" ht="15.75" thickBot="1" x14ac:dyDescent="0.3">
      <c r="A2" s="45"/>
      <c r="B2" s="22"/>
      <c r="C2" s="11">
        <v>2026</v>
      </c>
      <c r="D2" s="11" t="s">
        <v>16</v>
      </c>
      <c r="E2" s="26"/>
      <c r="F2" s="26"/>
      <c r="G2" s="26"/>
      <c r="H2" s="26"/>
      <c r="I2" s="26"/>
      <c r="J2" s="26"/>
      <c r="K2" s="26"/>
      <c r="L2" s="26"/>
      <c r="M2" s="26"/>
      <c r="N2" s="26"/>
      <c r="O2" s="26"/>
      <c r="P2" s="26"/>
    </row>
    <row r="3" spans="1:16" ht="81" customHeight="1" thickBot="1" x14ac:dyDescent="0.3">
      <c r="A3" s="27" t="s">
        <v>18</v>
      </c>
      <c r="B3" s="13" t="s">
        <v>17</v>
      </c>
      <c r="C3" s="14">
        <v>2</v>
      </c>
      <c r="D3" s="23">
        <f t="shared" ref="D3:D9" si="0">SUM(E3:P3)</f>
        <v>1</v>
      </c>
      <c r="E3" s="28"/>
      <c r="F3" s="28">
        <v>1</v>
      </c>
      <c r="G3" s="28"/>
      <c r="H3" s="28"/>
      <c r="I3" s="28"/>
      <c r="J3" s="28"/>
      <c r="K3" s="28"/>
      <c r="L3" s="28"/>
      <c r="M3" s="28"/>
      <c r="N3" s="28"/>
      <c r="O3" s="28"/>
      <c r="P3" s="28"/>
    </row>
    <row r="4" spans="1:16" ht="81" customHeight="1" thickBot="1" x14ac:dyDescent="0.3">
      <c r="A4" s="29" t="s">
        <v>20</v>
      </c>
      <c r="B4" s="15" t="s">
        <v>19</v>
      </c>
      <c r="C4" s="30">
        <v>2</v>
      </c>
      <c r="D4" s="23">
        <f t="shared" si="0"/>
        <v>2</v>
      </c>
      <c r="E4" s="28">
        <v>0</v>
      </c>
      <c r="F4" s="28">
        <v>0</v>
      </c>
      <c r="G4" s="28">
        <v>0</v>
      </c>
      <c r="H4" s="28">
        <v>1</v>
      </c>
      <c r="I4" s="28">
        <v>1</v>
      </c>
      <c r="J4" s="28"/>
      <c r="K4" s="28"/>
      <c r="L4" s="28"/>
      <c r="M4" s="28"/>
      <c r="N4" s="28"/>
      <c r="O4" s="28"/>
      <c r="P4" s="28"/>
    </row>
    <row r="5" spans="1:16" ht="81" customHeight="1" thickBot="1" x14ac:dyDescent="0.3">
      <c r="A5" s="27" t="s">
        <v>18</v>
      </c>
      <c r="B5" s="13" t="s">
        <v>36</v>
      </c>
      <c r="C5" s="33">
        <v>2</v>
      </c>
      <c r="D5" s="23">
        <f t="shared" si="0"/>
        <v>1</v>
      </c>
      <c r="E5" s="28"/>
      <c r="F5" s="28"/>
      <c r="G5" s="28">
        <v>1</v>
      </c>
      <c r="H5" s="28"/>
      <c r="I5" s="28"/>
      <c r="J5" s="28"/>
      <c r="K5" s="28"/>
      <c r="L5" s="28"/>
      <c r="M5" s="28"/>
      <c r="N5" s="28"/>
      <c r="O5" s="28"/>
      <c r="P5" s="28"/>
    </row>
    <row r="6" spans="1:16" ht="81" customHeight="1" thickBot="1" x14ac:dyDescent="0.3">
      <c r="A6" s="27" t="s">
        <v>18</v>
      </c>
      <c r="B6" s="13" t="s">
        <v>37</v>
      </c>
      <c r="C6" s="33">
        <v>1</v>
      </c>
      <c r="D6" s="23">
        <f t="shared" si="0"/>
        <v>0</v>
      </c>
      <c r="E6" s="28"/>
      <c r="F6" s="28"/>
      <c r="G6" s="28"/>
      <c r="H6" s="28"/>
      <c r="I6" s="28"/>
      <c r="J6" s="28"/>
      <c r="K6" s="28"/>
      <c r="L6" s="28"/>
      <c r="M6" s="28"/>
      <c r="N6" s="28"/>
      <c r="O6" s="28"/>
      <c r="P6" s="28"/>
    </row>
    <row r="7" spans="1:16" ht="81" customHeight="1" thickBot="1" x14ac:dyDescent="0.3">
      <c r="A7" s="27" t="s">
        <v>18</v>
      </c>
      <c r="B7" s="13" t="s">
        <v>27</v>
      </c>
      <c r="C7" s="33">
        <v>1</v>
      </c>
      <c r="D7" s="23">
        <f t="shared" si="0"/>
        <v>1</v>
      </c>
      <c r="E7" s="28"/>
      <c r="F7" s="28"/>
      <c r="G7" s="28">
        <v>1</v>
      </c>
      <c r="H7" s="28"/>
      <c r="I7" s="28"/>
      <c r="J7" s="28"/>
      <c r="K7" s="28"/>
      <c r="L7" s="28"/>
      <c r="M7" s="28"/>
      <c r="N7" s="28"/>
      <c r="O7" s="28"/>
      <c r="P7" s="28"/>
    </row>
    <row r="8" spans="1:16" ht="81" customHeight="1" thickBot="1" x14ac:dyDescent="0.3">
      <c r="A8" s="27" t="s">
        <v>18</v>
      </c>
      <c r="B8" s="13" t="s">
        <v>38</v>
      </c>
      <c r="C8" s="33">
        <v>1</v>
      </c>
      <c r="D8" s="23">
        <f t="shared" si="0"/>
        <v>2</v>
      </c>
      <c r="E8" s="28"/>
      <c r="F8" s="28"/>
      <c r="G8" s="28">
        <v>1</v>
      </c>
      <c r="H8" s="28">
        <v>1</v>
      </c>
      <c r="I8" s="28"/>
      <c r="J8" s="28"/>
      <c r="K8" s="28"/>
      <c r="L8" s="28"/>
      <c r="M8" s="28"/>
      <c r="N8" s="28"/>
      <c r="O8" s="28"/>
      <c r="P8" s="28"/>
    </row>
    <row r="9" spans="1:16" ht="81" customHeight="1" thickBot="1" x14ac:dyDescent="0.3">
      <c r="A9" s="27" t="s">
        <v>18</v>
      </c>
      <c r="B9" s="13" t="s">
        <v>39</v>
      </c>
      <c r="C9" s="33">
        <v>1</v>
      </c>
      <c r="D9" s="23">
        <f t="shared" si="0"/>
        <v>0</v>
      </c>
      <c r="E9" s="28"/>
      <c r="F9" s="28"/>
      <c r="G9" s="28"/>
      <c r="H9" s="28"/>
      <c r="I9" s="28"/>
      <c r="J9" s="28"/>
      <c r="K9" s="28"/>
      <c r="L9" s="28"/>
      <c r="M9" s="28"/>
      <c r="N9" s="28"/>
      <c r="O9" s="28"/>
      <c r="P9" s="28"/>
    </row>
    <row r="10" spans="1:16" ht="28.5" customHeight="1" x14ac:dyDescent="0.25">
      <c r="A10" s="46" t="s">
        <v>51</v>
      </c>
      <c r="B10" s="34" t="s">
        <v>52</v>
      </c>
      <c r="C10" s="33">
        <v>3</v>
      </c>
      <c r="D10" s="23">
        <f t="shared" ref="D10:D37" si="1">SUM(E10:O10)</f>
        <v>0</v>
      </c>
      <c r="E10" s="28"/>
      <c r="F10" s="28"/>
      <c r="G10" s="28"/>
      <c r="H10" s="28"/>
      <c r="I10" s="28"/>
      <c r="J10" s="28"/>
      <c r="K10" s="28"/>
      <c r="L10" s="28"/>
      <c r="M10" s="28"/>
      <c r="N10" s="28"/>
      <c r="O10" s="28"/>
      <c r="P10" s="35"/>
    </row>
    <row r="11" spans="1:16" ht="28.5" customHeight="1" x14ac:dyDescent="0.25">
      <c r="A11" s="47"/>
      <c r="B11" s="34" t="s">
        <v>53</v>
      </c>
      <c r="C11" s="33">
        <v>3</v>
      </c>
      <c r="D11" s="23">
        <f t="shared" si="1"/>
        <v>0</v>
      </c>
      <c r="E11" s="28"/>
      <c r="F11" s="28"/>
      <c r="G11" s="28"/>
      <c r="H11" s="28"/>
      <c r="I11" s="28"/>
      <c r="J11" s="28"/>
      <c r="K11" s="28"/>
      <c r="L11" s="28"/>
      <c r="M11" s="28"/>
      <c r="N11" s="28"/>
      <c r="O11" s="28"/>
      <c r="P11" s="35"/>
    </row>
    <row r="12" spans="1:16" ht="28.5" customHeight="1" x14ac:dyDescent="0.25">
      <c r="A12" s="47"/>
      <c r="B12" s="34" t="s">
        <v>54</v>
      </c>
      <c r="C12" s="33">
        <v>96</v>
      </c>
      <c r="D12" s="23">
        <f t="shared" si="1"/>
        <v>67</v>
      </c>
      <c r="E12" s="28"/>
      <c r="F12" s="28">
        <v>24</v>
      </c>
      <c r="G12" s="28">
        <v>24</v>
      </c>
      <c r="H12" s="28">
        <v>19</v>
      </c>
      <c r="I12" s="28"/>
      <c r="J12" s="28"/>
      <c r="K12" s="28"/>
      <c r="L12" s="28"/>
      <c r="M12" s="28"/>
      <c r="N12" s="28"/>
      <c r="O12" s="28"/>
      <c r="P12" s="35"/>
    </row>
    <row r="13" spans="1:16" ht="28.5" customHeight="1" x14ac:dyDescent="0.25">
      <c r="A13" s="47"/>
      <c r="B13" s="34" t="s">
        <v>55</v>
      </c>
      <c r="C13" s="33">
        <v>102</v>
      </c>
      <c r="D13" s="23">
        <f t="shared" si="1"/>
        <v>0</v>
      </c>
      <c r="E13" s="28"/>
      <c r="F13" s="28"/>
      <c r="G13" s="28"/>
      <c r="H13" s="28"/>
      <c r="I13" s="28"/>
      <c r="J13" s="28"/>
      <c r="K13" s="28"/>
      <c r="L13" s="28"/>
      <c r="M13" s="28"/>
      <c r="N13" s="28"/>
      <c r="O13" s="28"/>
      <c r="P13" s="35"/>
    </row>
    <row r="14" spans="1:16" ht="28.5" customHeight="1" x14ac:dyDescent="0.25">
      <c r="A14" s="47"/>
      <c r="B14" s="34" t="s">
        <v>56</v>
      </c>
      <c r="C14" s="33">
        <v>0</v>
      </c>
      <c r="D14" s="23">
        <f t="shared" si="1"/>
        <v>0</v>
      </c>
      <c r="E14" s="28"/>
      <c r="F14" s="28"/>
      <c r="G14" s="28"/>
      <c r="H14" s="28"/>
      <c r="I14" s="28"/>
      <c r="J14" s="28"/>
      <c r="K14" s="28"/>
      <c r="L14" s="28"/>
      <c r="M14" s="28"/>
      <c r="N14" s="28"/>
      <c r="O14" s="28"/>
      <c r="P14" s="35"/>
    </row>
    <row r="15" spans="1:16" ht="28.5" customHeight="1" x14ac:dyDescent="0.25">
      <c r="A15" s="47"/>
      <c r="B15" s="34" t="s">
        <v>57</v>
      </c>
      <c r="C15" s="33">
        <v>3</v>
      </c>
      <c r="D15" s="23">
        <f t="shared" si="1"/>
        <v>0</v>
      </c>
      <c r="E15" s="28"/>
      <c r="F15" s="28"/>
      <c r="G15" s="28"/>
      <c r="H15" s="28"/>
      <c r="I15" s="28"/>
      <c r="J15" s="28"/>
      <c r="K15" s="28"/>
      <c r="L15" s="28"/>
      <c r="M15" s="28"/>
      <c r="N15" s="28"/>
      <c r="O15" s="28"/>
      <c r="P15" s="35"/>
    </row>
    <row r="16" spans="1:16" ht="28.5" customHeight="1" x14ac:dyDescent="0.25">
      <c r="A16" s="47"/>
      <c r="B16" s="34" t="s">
        <v>58</v>
      </c>
      <c r="C16" s="33">
        <v>0</v>
      </c>
      <c r="D16" s="23">
        <f t="shared" si="1"/>
        <v>0</v>
      </c>
      <c r="E16" s="28"/>
      <c r="F16" s="28"/>
      <c r="G16" s="28"/>
      <c r="H16" s="28"/>
      <c r="I16" s="28"/>
      <c r="J16" s="28"/>
      <c r="K16" s="28"/>
      <c r="L16" s="28"/>
      <c r="M16" s="28"/>
      <c r="N16" s="28"/>
      <c r="O16" s="28"/>
      <c r="P16" s="35"/>
    </row>
    <row r="17" spans="1:16" ht="28.5" customHeight="1" x14ac:dyDescent="0.25">
      <c r="A17" s="47"/>
      <c r="B17" s="34" t="s">
        <v>59</v>
      </c>
      <c r="C17" s="33">
        <v>5</v>
      </c>
      <c r="D17" s="23">
        <f t="shared" si="1"/>
        <v>0</v>
      </c>
      <c r="E17" s="28"/>
      <c r="F17" s="28"/>
      <c r="G17" s="28"/>
      <c r="H17" s="28"/>
      <c r="I17" s="28"/>
      <c r="J17" s="28"/>
      <c r="K17" s="28"/>
      <c r="L17" s="28"/>
      <c r="M17" s="28"/>
      <c r="N17" s="28"/>
      <c r="O17" s="28"/>
      <c r="P17" s="35"/>
    </row>
    <row r="18" spans="1:16" ht="28.5" customHeight="1" x14ac:dyDescent="0.25">
      <c r="A18" s="47"/>
      <c r="B18" s="34" t="s">
        <v>60</v>
      </c>
      <c r="C18" s="33">
        <v>0</v>
      </c>
      <c r="D18" s="23">
        <f t="shared" si="1"/>
        <v>0</v>
      </c>
      <c r="E18" s="28"/>
      <c r="F18" s="28"/>
      <c r="G18" s="28"/>
      <c r="H18" s="28"/>
      <c r="I18" s="28"/>
      <c r="J18" s="28"/>
      <c r="K18" s="28"/>
      <c r="L18" s="28"/>
      <c r="M18" s="28"/>
      <c r="N18" s="28"/>
      <c r="O18" s="28"/>
      <c r="P18" s="35"/>
    </row>
    <row r="19" spans="1:16" ht="28.5" customHeight="1" x14ac:dyDescent="0.25">
      <c r="A19" s="47"/>
      <c r="B19" s="34" t="s">
        <v>61</v>
      </c>
      <c r="C19" s="33">
        <v>0</v>
      </c>
      <c r="D19" s="23">
        <f t="shared" si="1"/>
        <v>0</v>
      </c>
      <c r="E19" s="28"/>
      <c r="F19" s="28"/>
      <c r="G19" s="28"/>
      <c r="H19" s="28"/>
      <c r="I19" s="28"/>
      <c r="J19" s="28"/>
      <c r="K19" s="28"/>
      <c r="L19" s="28"/>
      <c r="M19" s="28"/>
      <c r="N19" s="28"/>
      <c r="O19" s="28"/>
      <c r="P19" s="35"/>
    </row>
    <row r="20" spans="1:16" ht="28.5" customHeight="1" x14ac:dyDescent="0.25">
      <c r="A20" s="47"/>
      <c r="B20" s="34" t="s">
        <v>62</v>
      </c>
      <c r="C20" s="33">
        <v>2</v>
      </c>
      <c r="D20" s="23">
        <f t="shared" si="1"/>
        <v>0</v>
      </c>
      <c r="E20" s="28"/>
      <c r="F20" s="28"/>
      <c r="G20" s="28"/>
      <c r="H20" s="28"/>
      <c r="I20" s="28"/>
      <c r="J20" s="28"/>
      <c r="K20" s="28"/>
      <c r="L20" s="28"/>
      <c r="M20" s="28"/>
      <c r="N20" s="28"/>
      <c r="O20" s="28"/>
      <c r="P20" s="35"/>
    </row>
    <row r="21" spans="1:16" ht="28.5" customHeight="1" x14ac:dyDescent="0.25">
      <c r="A21" s="47"/>
      <c r="B21" s="34" t="s">
        <v>63</v>
      </c>
      <c r="C21" s="33">
        <v>0</v>
      </c>
      <c r="D21" s="23">
        <f t="shared" si="1"/>
        <v>0</v>
      </c>
      <c r="E21" s="28"/>
      <c r="F21" s="28"/>
      <c r="G21" s="28"/>
      <c r="H21" s="28"/>
      <c r="I21" s="28"/>
      <c r="J21" s="28"/>
      <c r="K21" s="28"/>
      <c r="L21" s="28"/>
      <c r="M21" s="28"/>
      <c r="N21" s="28"/>
      <c r="O21" s="28"/>
      <c r="P21" s="35"/>
    </row>
    <row r="22" spans="1:16" ht="28.5" customHeight="1" x14ac:dyDescent="0.25">
      <c r="A22" s="47"/>
      <c r="B22" s="34" t="s">
        <v>64</v>
      </c>
      <c r="C22" s="33">
        <v>0</v>
      </c>
      <c r="D22" s="23">
        <f t="shared" si="1"/>
        <v>0</v>
      </c>
      <c r="E22" s="28"/>
      <c r="F22" s="28"/>
      <c r="G22" s="28"/>
      <c r="H22" s="28"/>
      <c r="I22" s="28"/>
      <c r="J22" s="28"/>
      <c r="K22" s="28"/>
      <c r="L22" s="28"/>
      <c r="M22" s="28"/>
      <c r="N22" s="28"/>
      <c r="O22" s="28"/>
      <c r="P22" s="35"/>
    </row>
    <row r="23" spans="1:16" ht="28.5" customHeight="1" x14ac:dyDescent="0.25">
      <c r="A23" s="47"/>
      <c r="B23" s="34" t="s">
        <v>65</v>
      </c>
      <c r="C23" s="33">
        <v>0</v>
      </c>
      <c r="D23" s="23">
        <f t="shared" si="1"/>
        <v>0</v>
      </c>
      <c r="E23" s="28"/>
      <c r="F23" s="28"/>
      <c r="G23" s="28"/>
      <c r="H23" s="28"/>
      <c r="I23" s="28"/>
      <c r="J23" s="28"/>
      <c r="K23" s="28"/>
      <c r="L23" s="28"/>
      <c r="M23" s="28"/>
      <c r="N23" s="28"/>
      <c r="O23" s="28"/>
      <c r="P23" s="35"/>
    </row>
    <row r="24" spans="1:16" ht="28.5" customHeight="1" x14ac:dyDescent="0.25">
      <c r="A24" s="47"/>
      <c r="B24" s="34" t="s">
        <v>66</v>
      </c>
      <c r="C24" s="33">
        <v>35</v>
      </c>
      <c r="D24" s="23">
        <f t="shared" si="1"/>
        <v>17</v>
      </c>
      <c r="E24" s="28"/>
      <c r="F24" s="28">
        <v>17</v>
      </c>
      <c r="G24" s="28"/>
      <c r="H24" s="28"/>
      <c r="I24" s="28"/>
      <c r="J24" s="28"/>
      <c r="K24" s="28"/>
      <c r="L24" s="28"/>
      <c r="M24" s="28"/>
      <c r="N24" s="28"/>
      <c r="O24" s="28"/>
      <c r="P24" s="35"/>
    </row>
    <row r="25" spans="1:16" ht="28.5" customHeight="1" x14ac:dyDescent="0.25">
      <c r="A25" s="47"/>
      <c r="B25" s="34" t="s">
        <v>67</v>
      </c>
      <c r="C25" s="33">
        <v>15</v>
      </c>
      <c r="D25" s="23">
        <f t="shared" si="1"/>
        <v>0</v>
      </c>
      <c r="E25" s="28"/>
      <c r="F25" s="28"/>
      <c r="G25" s="28"/>
      <c r="H25" s="28"/>
      <c r="I25" s="28"/>
      <c r="J25" s="28"/>
      <c r="K25" s="28"/>
      <c r="L25" s="28"/>
      <c r="M25" s="28"/>
      <c r="N25" s="28"/>
      <c r="O25" s="28"/>
      <c r="P25" s="35"/>
    </row>
    <row r="26" spans="1:16" ht="24" customHeight="1" x14ac:dyDescent="0.25">
      <c r="A26" s="47"/>
      <c r="B26" s="36" t="s">
        <v>68</v>
      </c>
      <c r="C26" s="33">
        <v>5</v>
      </c>
      <c r="D26" s="23">
        <f t="shared" si="1"/>
        <v>4</v>
      </c>
      <c r="E26" s="28"/>
      <c r="F26" s="28"/>
      <c r="G26" s="28">
        <v>4</v>
      </c>
      <c r="H26" s="28"/>
      <c r="I26" s="28"/>
      <c r="J26" s="28"/>
      <c r="K26" s="28"/>
      <c r="L26" s="28"/>
      <c r="M26" s="28"/>
      <c r="N26" s="28"/>
      <c r="O26" s="28"/>
      <c r="P26" s="35"/>
    </row>
    <row r="27" spans="1:16" ht="24" customHeight="1" x14ac:dyDescent="0.25">
      <c r="A27" s="47"/>
      <c r="B27" s="36" t="s">
        <v>69</v>
      </c>
      <c r="C27" s="33">
        <v>5</v>
      </c>
      <c r="D27" s="23">
        <f t="shared" si="1"/>
        <v>4</v>
      </c>
      <c r="E27" s="28"/>
      <c r="F27" s="28"/>
      <c r="G27" s="28"/>
      <c r="H27" s="28">
        <v>2</v>
      </c>
      <c r="I27" s="28">
        <v>2</v>
      </c>
      <c r="J27" s="28"/>
      <c r="K27" s="28"/>
      <c r="L27" s="28"/>
      <c r="M27" s="28"/>
      <c r="N27" s="28"/>
      <c r="O27" s="28"/>
      <c r="P27" s="35"/>
    </row>
    <row r="28" spans="1:16" ht="24" customHeight="1" x14ac:dyDescent="0.25">
      <c r="A28" s="47"/>
      <c r="B28" s="36" t="s">
        <v>70</v>
      </c>
      <c r="C28" s="33">
        <v>5</v>
      </c>
      <c r="D28" s="23">
        <f t="shared" si="1"/>
        <v>4</v>
      </c>
      <c r="E28" s="28"/>
      <c r="F28" s="28"/>
      <c r="G28" s="28"/>
      <c r="H28" s="28"/>
      <c r="I28" s="28">
        <v>4</v>
      </c>
      <c r="J28" s="28"/>
      <c r="K28" s="28"/>
      <c r="L28" s="28"/>
      <c r="M28" s="28"/>
      <c r="N28" s="28"/>
      <c r="O28" s="28"/>
      <c r="P28" s="35"/>
    </row>
    <row r="29" spans="1:16" ht="24" customHeight="1" x14ac:dyDescent="0.25">
      <c r="A29" s="47"/>
      <c r="B29" s="36" t="s">
        <v>71</v>
      </c>
      <c r="C29" s="33">
        <v>5</v>
      </c>
      <c r="D29" s="23">
        <f t="shared" si="1"/>
        <v>0</v>
      </c>
      <c r="E29" s="28"/>
      <c r="F29" s="28"/>
      <c r="G29" s="28"/>
      <c r="H29" s="28"/>
      <c r="I29" s="28"/>
      <c r="J29" s="28"/>
      <c r="K29" s="28"/>
      <c r="L29" s="28"/>
      <c r="M29" s="28"/>
      <c r="N29" s="28"/>
      <c r="O29" s="28"/>
      <c r="P29" s="35"/>
    </row>
    <row r="30" spans="1:16" ht="24" customHeight="1" x14ac:dyDescent="0.25">
      <c r="A30" s="47"/>
      <c r="B30" s="36" t="s">
        <v>72</v>
      </c>
      <c r="C30" s="33">
        <v>5</v>
      </c>
      <c r="D30" s="23">
        <f t="shared" si="1"/>
        <v>0</v>
      </c>
      <c r="E30" s="28"/>
      <c r="F30" s="28"/>
      <c r="G30" s="28"/>
      <c r="H30" s="28"/>
      <c r="I30" s="28"/>
      <c r="J30" s="28"/>
      <c r="K30" s="28"/>
      <c r="L30" s="28"/>
      <c r="M30" s="28"/>
      <c r="N30" s="28"/>
      <c r="O30" s="28"/>
      <c r="P30" s="35"/>
    </row>
    <row r="31" spans="1:16" ht="24" customHeight="1" x14ac:dyDescent="0.25">
      <c r="A31" s="47"/>
      <c r="B31" s="36" t="s">
        <v>73</v>
      </c>
      <c r="C31" s="33">
        <v>1</v>
      </c>
      <c r="D31" s="23">
        <f t="shared" si="1"/>
        <v>0</v>
      </c>
      <c r="E31" s="28"/>
      <c r="F31" s="28"/>
      <c r="G31" s="28"/>
      <c r="H31" s="28"/>
      <c r="I31" s="28"/>
      <c r="J31" s="28"/>
      <c r="K31" s="28"/>
      <c r="L31" s="28"/>
      <c r="M31" s="28"/>
      <c r="N31" s="28"/>
      <c r="O31" s="28"/>
      <c r="P31" s="35"/>
    </row>
    <row r="32" spans="1:16" ht="24" customHeight="1" x14ac:dyDescent="0.25">
      <c r="A32" s="47"/>
      <c r="B32" s="36" t="s">
        <v>74</v>
      </c>
      <c r="C32" s="33">
        <v>1</v>
      </c>
      <c r="D32" s="23">
        <f t="shared" si="1"/>
        <v>0</v>
      </c>
      <c r="E32" s="28"/>
      <c r="F32" s="28"/>
      <c r="G32" s="28"/>
      <c r="H32" s="28"/>
      <c r="I32" s="28"/>
      <c r="J32" s="28"/>
      <c r="K32" s="28"/>
      <c r="L32" s="28"/>
      <c r="M32" s="28"/>
      <c r="N32" s="28"/>
      <c r="O32" s="28"/>
      <c r="P32" s="35"/>
    </row>
    <row r="33" spans="1:16" ht="24" customHeight="1" x14ac:dyDescent="0.25">
      <c r="A33" s="47"/>
      <c r="B33" s="36" t="s">
        <v>75</v>
      </c>
      <c r="C33" s="33">
        <v>1</v>
      </c>
      <c r="D33" s="23">
        <f t="shared" si="1"/>
        <v>0</v>
      </c>
      <c r="E33" s="28"/>
      <c r="F33" s="28"/>
      <c r="G33" s="28"/>
      <c r="H33" s="28"/>
      <c r="I33" s="28"/>
      <c r="J33" s="28"/>
      <c r="K33" s="28"/>
      <c r="L33" s="28"/>
      <c r="M33" s="28"/>
      <c r="N33" s="28"/>
      <c r="O33" s="28"/>
      <c r="P33" s="35"/>
    </row>
    <row r="34" spans="1:16" ht="24" customHeight="1" x14ac:dyDescent="0.25">
      <c r="A34" s="47"/>
      <c r="B34" s="36" t="s">
        <v>76</v>
      </c>
      <c r="C34" s="33">
        <v>1</v>
      </c>
      <c r="D34" s="23">
        <f t="shared" si="1"/>
        <v>0</v>
      </c>
      <c r="E34" s="28"/>
      <c r="F34" s="28"/>
      <c r="G34" s="28"/>
      <c r="H34" s="28"/>
      <c r="I34" s="28"/>
      <c r="J34" s="28"/>
      <c r="K34" s="28"/>
      <c r="L34" s="28"/>
      <c r="M34" s="28"/>
      <c r="N34" s="28"/>
      <c r="O34" s="28"/>
      <c r="P34" s="35"/>
    </row>
    <row r="35" spans="1:16" ht="24" customHeight="1" x14ac:dyDescent="0.25">
      <c r="A35" s="47"/>
      <c r="B35" s="36" t="s">
        <v>77</v>
      </c>
      <c r="C35" s="33">
        <v>1</v>
      </c>
      <c r="D35" s="23">
        <f t="shared" si="1"/>
        <v>0</v>
      </c>
      <c r="E35" s="28"/>
      <c r="F35" s="28"/>
      <c r="G35" s="28"/>
      <c r="H35" s="28"/>
      <c r="I35" s="28"/>
      <c r="J35" s="28"/>
      <c r="K35" s="28"/>
      <c r="L35" s="28"/>
      <c r="M35" s="28"/>
      <c r="N35" s="28"/>
      <c r="O35" s="28"/>
      <c r="P35" s="35"/>
    </row>
    <row r="36" spans="1:16" ht="24" customHeight="1" x14ac:dyDescent="0.25">
      <c r="A36" s="47"/>
      <c r="B36" s="36" t="s">
        <v>78</v>
      </c>
      <c r="C36" s="33">
        <v>1</v>
      </c>
      <c r="D36" s="23">
        <f t="shared" si="1"/>
        <v>0</v>
      </c>
      <c r="E36" s="28"/>
      <c r="F36" s="28"/>
      <c r="G36" s="28"/>
      <c r="H36" s="28"/>
      <c r="I36" s="28"/>
      <c r="J36" s="28"/>
      <c r="K36" s="28"/>
      <c r="L36" s="28"/>
      <c r="M36" s="28"/>
      <c r="N36" s="28"/>
      <c r="O36" s="28"/>
      <c r="P36" s="35"/>
    </row>
    <row r="37" spans="1:16" ht="24" customHeight="1" thickBot="1" x14ac:dyDescent="0.3">
      <c r="A37" s="48"/>
      <c r="B37" s="37" t="s">
        <v>79</v>
      </c>
      <c r="C37" s="33">
        <v>1</v>
      </c>
      <c r="D37" s="23">
        <f t="shared" si="1"/>
        <v>0</v>
      </c>
      <c r="E37" s="28"/>
      <c r="F37" s="28"/>
      <c r="G37" s="28"/>
      <c r="H37" s="28"/>
      <c r="I37" s="28"/>
      <c r="J37" s="28"/>
      <c r="K37" s="28"/>
      <c r="L37" s="28"/>
      <c r="M37" s="28"/>
      <c r="N37" s="28"/>
      <c r="O37" s="28"/>
      <c r="P37" s="35"/>
    </row>
    <row r="38" spans="1:16" x14ac:dyDescent="0.25">
      <c r="C38" s="38">
        <f>SUM(C3:C37)</f>
        <v>306</v>
      </c>
      <c r="D38" s="39">
        <f>SUM(D3:D37)</f>
        <v>103</v>
      </c>
    </row>
    <row r="39" spans="1:16" x14ac:dyDescent="0.25">
      <c r="C39" s="40"/>
      <c r="D39" s="41">
        <f>D38/C38</f>
        <v>0.33660130718954251</v>
      </c>
    </row>
  </sheetData>
  <sheetProtection algorithmName="SHA-512" hashValue="Caxxa5fuzI+veZ+lVOvZfYUo7I6nA3/ToeKlykcHd5fU0Vxw+vqrkE8xhy9cH5cLv1dLCoKyGRdVGjtijkZgdg==" saltValue="22FtJhWYcAFd5LQGzmILwg==" spinCount="100000" sheet="1" objects="1" scenarios="1" autoFilter="0"/>
  <mergeCells count="2">
    <mergeCell ref="A1:A2"/>
    <mergeCell ref="A10:A37"/>
  </mergeCells>
  <conditionalFormatting sqref="C9">
    <cfRule type="dataBar" priority="2">
      <dataBar>
        <cfvo type="min"/>
        <cfvo type="max"/>
        <color rgb="FF008AEF"/>
      </dataBar>
      <extLst>
        <ext xmlns:x14="http://schemas.microsoft.com/office/spreadsheetml/2009/9/main" uri="{B025F937-C7B1-47D3-B67F-A62EFF666E3E}">
          <x14:id>{94255004-F0DB-44AC-BCD5-B1944C96486B}</x14:id>
        </ext>
      </extLst>
    </cfRule>
  </conditionalFormatting>
  <conditionalFormatting sqref="C3:D3 D4:D9">
    <cfRule type="dataBar" priority="48">
      <dataBar>
        <cfvo type="min"/>
        <cfvo type="max"/>
        <color rgb="FF008AEF"/>
      </dataBar>
      <extLst>
        <ext xmlns:x14="http://schemas.microsoft.com/office/spreadsheetml/2009/9/main" uri="{B025F937-C7B1-47D3-B67F-A62EFF666E3E}">
          <x14:id>{2F88BEA5-22C4-4886-92A3-7D0D391C8029}</x14:id>
        </ext>
      </extLst>
    </cfRule>
  </conditionalFormatting>
  <conditionalFormatting sqref="C4:D4">
    <cfRule type="dataBar" priority="6">
      <dataBar>
        <cfvo type="min"/>
        <cfvo type="max"/>
        <color rgb="FF008AEF"/>
      </dataBar>
      <extLst>
        <ext xmlns:x14="http://schemas.microsoft.com/office/spreadsheetml/2009/9/main" uri="{B025F937-C7B1-47D3-B67F-A62EFF666E3E}">
          <x14:id>{945360BC-4C8A-4C61-B862-EC5D5958A725}</x14:id>
        </ext>
      </extLst>
    </cfRule>
  </conditionalFormatting>
  <conditionalFormatting sqref="C5:D5">
    <cfRule type="dataBar" priority="8">
      <dataBar>
        <cfvo type="min"/>
        <cfvo type="max"/>
        <color rgb="FF008AEF"/>
      </dataBar>
      <extLst>
        <ext xmlns:x14="http://schemas.microsoft.com/office/spreadsheetml/2009/9/main" uri="{B025F937-C7B1-47D3-B67F-A62EFF666E3E}">
          <x14:id>{FFB79689-AFCC-4101-A92C-C36A1F43684D}</x14:id>
        </ext>
      </extLst>
    </cfRule>
  </conditionalFormatting>
  <conditionalFormatting sqref="C6:D6">
    <cfRule type="dataBar" priority="9">
      <dataBar>
        <cfvo type="min"/>
        <cfvo type="max"/>
        <color rgb="FF008AEF"/>
      </dataBar>
      <extLst>
        <ext xmlns:x14="http://schemas.microsoft.com/office/spreadsheetml/2009/9/main" uri="{B025F937-C7B1-47D3-B67F-A62EFF666E3E}">
          <x14:id>{D295EEBB-CED5-467B-98A0-221903B07B3E}</x14:id>
        </ext>
      </extLst>
    </cfRule>
  </conditionalFormatting>
  <conditionalFormatting sqref="C7:D7">
    <cfRule type="dataBar" priority="10">
      <dataBar>
        <cfvo type="min"/>
        <cfvo type="max"/>
        <color rgb="FF008AEF"/>
      </dataBar>
      <extLst>
        <ext xmlns:x14="http://schemas.microsoft.com/office/spreadsheetml/2009/9/main" uri="{B025F937-C7B1-47D3-B67F-A62EFF666E3E}">
          <x14:id>{473DFBE9-7FBF-405F-9E6C-8460A8246962}</x14:id>
        </ext>
      </extLst>
    </cfRule>
  </conditionalFormatting>
  <conditionalFormatting sqref="C8:D8">
    <cfRule type="dataBar" priority="11">
      <dataBar>
        <cfvo type="min"/>
        <cfvo type="max"/>
        <color rgb="FF008AEF"/>
      </dataBar>
      <extLst>
        <ext xmlns:x14="http://schemas.microsoft.com/office/spreadsheetml/2009/9/main" uri="{B025F937-C7B1-47D3-B67F-A62EFF666E3E}">
          <x14:id>{3E702EC9-0893-492B-B573-AC67512DC9B7}</x14:id>
        </ext>
      </extLst>
    </cfRule>
  </conditionalFormatting>
  <conditionalFormatting sqref="C10:D10">
    <cfRule type="dataBar" priority="13">
      <dataBar>
        <cfvo type="min"/>
        <cfvo type="max"/>
        <color rgb="FF008AEF"/>
      </dataBar>
      <extLst>
        <ext xmlns:x14="http://schemas.microsoft.com/office/spreadsheetml/2009/9/main" uri="{B025F937-C7B1-47D3-B67F-A62EFF666E3E}">
          <x14:id>{70953812-E2E9-4327-B69C-887A0EC89CF7}</x14:id>
        </ext>
      </extLst>
    </cfRule>
  </conditionalFormatting>
  <conditionalFormatting sqref="C11:D11">
    <cfRule type="dataBar" priority="40">
      <dataBar>
        <cfvo type="min"/>
        <cfvo type="max"/>
        <color rgb="FF008AEF"/>
      </dataBar>
      <extLst>
        <ext xmlns:x14="http://schemas.microsoft.com/office/spreadsheetml/2009/9/main" uri="{B025F937-C7B1-47D3-B67F-A62EFF666E3E}">
          <x14:id>{5F667698-4953-4BE7-A8F9-3D94FD2B597E}</x14:id>
        </ext>
      </extLst>
    </cfRule>
  </conditionalFormatting>
  <conditionalFormatting sqref="C12:D12">
    <cfRule type="dataBar" priority="39">
      <dataBar>
        <cfvo type="min"/>
        <cfvo type="max"/>
        <color rgb="FF008AEF"/>
      </dataBar>
      <extLst>
        <ext xmlns:x14="http://schemas.microsoft.com/office/spreadsheetml/2009/9/main" uri="{B025F937-C7B1-47D3-B67F-A62EFF666E3E}">
          <x14:id>{0DDFDDF9-0B28-468B-B141-D4DC5B6D0D11}</x14:id>
        </ext>
      </extLst>
    </cfRule>
  </conditionalFormatting>
  <conditionalFormatting sqref="C13:D13">
    <cfRule type="dataBar" priority="38">
      <dataBar>
        <cfvo type="min"/>
        <cfvo type="max"/>
        <color rgb="FF008AEF"/>
      </dataBar>
      <extLst>
        <ext xmlns:x14="http://schemas.microsoft.com/office/spreadsheetml/2009/9/main" uri="{B025F937-C7B1-47D3-B67F-A62EFF666E3E}">
          <x14:id>{FB8B0A52-D262-40C1-967B-A12F32DBD1BC}</x14:id>
        </ext>
      </extLst>
    </cfRule>
  </conditionalFormatting>
  <conditionalFormatting sqref="C14:D14">
    <cfRule type="dataBar" priority="37">
      <dataBar>
        <cfvo type="min"/>
        <cfvo type="max"/>
        <color rgb="FF008AEF"/>
      </dataBar>
      <extLst>
        <ext xmlns:x14="http://schemas.microsoft.com/office/spreadsheetml/2009/9/main" uri="{B025F937-C7B1-47D3-B67F-A62EFF666E3E}">
          <x14:id>{4FDA27DF-898E-41CA-9223-263F2BD56EFE}</x14:id>
        </ext>
      </extLst>
    </cfRule>
  </conditionalFormatting>
  <conditionalFormatting sqref="C15:D15">
    <cfRule type="dataBar" priority="36">
      <dataBar>
        <cfvo type="min"/>
        <cfvo type="max"/>
        <color rgb="FF008AEF"/>
      </dataBar>
      <extLst>
        <ext xmlns:x14="http://schemas.microsoft.com/office/spreadsheetml/2009/9/main" uri="{B025F937-C7B1-47D3-B67F-A62EFF666E3E}">
          <x14:id>{69694F79-494B-4C89-94B5-E71927028F4B}</x14:id>
        </ext>
      </extLst>
    </cfRule>
  </conditionalFormatting>
  <conditionalFormatting sqref="C16:D16">
    <cfRule type="dataBar" priority="35">
      <dataBar>
        <cfvo type="min"/>
        <cfvo type="max"/>
        <color rgb="FF008AEF"/>
      </dataBar>
      <extLst>
        <ext xmlns:x14="http://schemas.microsoft.com/office/spreadsheetml/2009/9/main" uri="{B025F937-C7B1-47D3-B67F-A62EFF666E3E}">
          <x14:id>{2C0DEEE9-B36B-43DC-A1BE-8A0DE2E58A41}</x14:id>
        </ext>
      </extLst>
    </cfRule>
  </conditionalFormatting>
  <conditionalFormatting sqref="C17:D17">
    <cfRule type="dataBar" priority="34">
      <dataBar>
        <cfvo type="min"/>
        <cfvo type="max"/>
        <color rgb="FF008AEF"/>
      </dataBar>
      <extLst>
        <ext xmlns:x14="http://schemas.microsoft.com/office/spreadsheetml/2009/9/main" uri="{B025F937-C7B1-47D3-B67F-A62EFF666E3E}">
          <x14:id>{4E96B08E-582E-40CA-AFBB-14CCBEA14A60}</x14:id>
        </ext>
      </extLst>
    </cfRule>
  </conditionalFormatting>
  <conditionalFormatting sqref="C18:D18">
    <cfRule type="dataBar" priority="33">
      <dataBar>
        <cfvo type="min"/>
        <cfvo type="max"/>
        <color rgb="FF008AEF"/>
      </dataBar>
      <extLst>
        <ext xmlns:x14="http://schemas.microsoft.com/office/spreadsheetml/2009/9/main" uri="{B025F937-C7B1-47D3-B67F-A62EFF666E3E}">
          <x14:id>{743A3C5C-9403-46FD-AB88-EEDAF822B91F}</x14:id>
        </ext>
      </extLst>
    </cfRule>
  </conditionalFormatting>
  <conditionalFormatting sqref="C19:D19">
    <cfRule type="dataBar" priority="32">
      <dataBar>
        <cfvo type="min"/>
        <cfvo type="max"/>
        <color rgb="FF008AEF"/>
      </dataBar>
      <extLst>
        <ext xmlns:x14="http://schemas.microsoft.com/office/spreadsheetml/2009/9/main" uri="{B025F937-C7B1-47D3-B67F-A62EFF666E3E}">
          <x14:id>{30FCB962-9D31-49AB-B61C-6094123DFE7D}</x14:id>
        </ext>
      </extLst>
    </cfRule>
  </conditionalFormatting>
  <conditionalFormatting sqref="C20:D20">
    <cfRule type="dataBar" priority="31">
      <dataBar>
        <cfvo type="min"/>
        <cfvo type="max"/>
        <color rgb="FF008AEF"/>
      </dataBar>
      <extLst>
        <ext xmlns:x14="http://schemas.microsoft.com/office/spreadsheetml/2009/9/main" uri="{B025F937-C7B1-47D3-B67F-A62EFF666E3E}">
          <x14:id>{79D14C71-5D52-45A3-B310-20DCCDCED8D4}</x14:id>
        </ext>
      </extLst>
    </cfRule>
  </conditionalFormatting>
  <conditionalFormatting sqref="C21:D21">
    <cfRule type="dataBar" priority="30">
      <dataBar>
        <cfvo type="min"/>
        <cfvo type="max"/>
        <color rgb="FF008AEF"/>
      </dataBar>
      <extLst>
        <ext xmlns:x14="http://schemas.microsoft.com/office/spreadsheetml/2009/9/main" uri="{B025F937-C7B1-47D3-B67F-A62EFF666E3E}">
          <x14:id>{B7FE0AE1-0058-4E3C-A800-038A404612FE}</x14:id>
        </ext>
      </extLst>
    </cfRule>
  </conditionalFormatting>
  <conditionalFormatting sqref="C22:D22">
    <cfRule type="dataBar" priority="29">
      <dataBar>
        <cfvo type="min"/>
        <cfvo type="max"/>
        <color rgb="FF008AEF"/>
      </dataBar>
      <extLst>
        <ext xmlns:x14="http://schemas.microsoft.com/office/spreadsheetml/2009/9/main" uri="{B025F937-C7B1-47D3-B67F-A62EFF666E3E}">
          <x14:id>{40AF78B2-E917-4366-B73C-200B66DEFB1D}</x14:id>
        </ext>
      </extLst>
    </cfRule>
  </conditionalFormatting>
  <conditionalFormatting sqref="C23:D23">
    <cfRule type="dataBar" priority="28">
      <dataBar>
        <cfvo type="min"/>
        <cfvo type="max"/>
        <color rgb="FF008AEF"/>
      </dataBar>
      <extLst>
        <ext xmlns:x14="http://schemas.microsoft.com/office/spreadsheetml/2009/9/main" uri="{B025F937-C7B1-47D3-B67F-A62EFF666E3E}">
          <x14:id>{CE65AFAB-AC12-4B2F-AC67-AF9C3E529C2E}</x14:id>
        </ext>
      </extLst>
    </cfRule>
  </conditionalFormatting>
  <conditionalFormatting sqref="C24:D24">
    <cfRule type="dataBar" priority="27">
      <dataBar>
        <cfvo type="min"/>
        <cfvo type="max"/>
        <color rgb="FF008AEF"/>
      </dataBar>
      <extLst>
        <ext xmlns:x14="http://schemas.microsoft.com/office/spreadsheetml/2009/9/main" uri="{B025F937-C7B1-47D3-B67F-A62EFF666E3E}">
          <x14:id>{844E7AF8-F93A-4598-8B3B-4F61BAE03187}</x14:id>
        </ext>
      </extLst>
    </cfRule>
  </conditionalFormatting>
  <conditionalFormatting sqref="C25:D25">
    <cfRule type="dataBar" priority="26">
      <dataBar>
        <cfvo type="min"/>
        <cfvo type="max"/>
        <color rgb="FF008AEF"/>
      </dataBar>
      <extLst>
        <ext xmlns:x14="http://schemas.microsoft.com/office/spreadsheetml/2009/9/main" uri="{B025F937-C7B1-47D3-B67F-A62EFF666E3E}">
          <x14:id>{F43387DA-CB6F-4866-BB92-08BDDF783E7C}</x14:id>
        </ext>
      </extLst>
    </cfRule>
  </conditionalFormatting>
  <conditionalFormatting sqref="C26:D26">
    <cfRule type="dataBar" priority="25">
      <dataBar>
        <cfvo type="min"/>
        <cfvo type="max"/>
        <color rgb="FF008AEF"/>
      </dataBar>
      <extLst>
        <ext xmlns:x14="http://schemas.microsoft.com/office/spreadsheetml/2009/9/main" uri="{B025F937-C7B1-47D3-B67F-A62EFF666E3E}">
          <x14:id>{8E9EBECF-61C6-4538-813B-D3ADFAB2DF79}</x14:id>
        </ext>
      </extLst>
    </cfRule>
  </conditionalFormatting>
  <conditionalFormatting sqref="C27:D27">
    <cfRule type="dataBar" priority="24">
      <dataBar>
        <cfvo type="min"/>
        <cfvo type="max"/>
        <color rgb="FF008AEF"/>
      </dataBar>
      <extLst>
        <ext xmlns:x14="http://schemas.microsoft.com/office/spreadsheetml/2009/9/main" uri="{B025F937-C7B1-47D3-B67F-A62EFF666E3E}">
          <x14:id>{C4EA2310-DFD6-4656-BBE2-B3E0ACABCF07}</x14:id>
        </ext>
      </extLst>
    </cfRule>
  </conditionalFormatting>
  <conditionalFormatting sqref="C28:D28">
    <cfRule type="dataBar" priority="23">
      <dataBar>
        <cfvo type="min"/>
        <cfvo type="max"/>
        <color rgb="FF008AEF"/>
      </dataBar>
      <extLst>
        <ext xmlns:x14="http://schemas.microsoft.com/office/spreadsheetml/2009/9/main" uri="{B025F937-C7B1-47D3-B67F-A62EFF666E3E}">
          <x14:id>{A038871B-D9A6-49C6-8843-EC520FEA702C}</x14:id>
        </ext>
      </extLst>
    </cfRule>
  </conditionalFormatting>
  <conditionalFormatting sqref="C29:D29">
    <cfRule type="dataBar" priority="22">
      <dataBar>
        <cfvo type="min"/>
        <cfvo type="max"/>
        <color rgb="FF008AEF"/>
      </dataBar>
      <extLst>
        <ext xmlns:x14="http://schemas.microsoft.com/office/spreadsheetml/2009/9/main" uri="{B025F937-C7B1-47D3-B67F-A62EFF666E3E}">
          <x14:id>{366E1C54-5EB6-4A8A-AE4F-B1583B8D5F1D}</x14:id>
        </ext>
      </extLst>
    </cfRule>
  </conditionalFormatting>
  <conditionalFormatting sqref="C30:D30">
    <cfRule type="dataBar" priority="21">
      <dataBar>
        <cfvo type="min"/>
        <cfvo type="max"/>
        <color rgb="FF008AEF"/>
      </dataBar>
      <extLst>
        <ext xmlns:x14="http://schemas.microsoft.com/office/spreadsheetml/2009/9/main" uri="{B025F937-C7B1-47D3-B67F-A62EFF666E3E}">
          <x14:id>{3836376B-528B-4383-A256-1C05F90F91BA}</x14:id>
        </ext>
      </extLst>
    </cfRule>
  </conditionalFormatting>
  <conditionalFormatting sqref="C31:D31">
    <cfRule type="dataBar" priority="20">
      <dataBar>
        <cfvo type="min"/>
        <cfvo type="max"/>
        <color rgb="FF008AEF"/>
      </dataBar>
      <extLst>
        <ext xmlns:x14="http://schemas.microsoft.com/office/spreadsheetml/2009/9/main" uri="{B025F937-C7B1-47D3-B67F-A62EFF666E3E}">
          <x14:id>{5FD17820-7904-493B-A310-A04468DC8EB4}</x14:id>
        </ext>
      </extLst>
    </cfRule>
  </conditionalFormatting>
  <conditionalFormatting sqref="C32:D32">
    <cfRule type="dataBar" priority="19">
      <dataBar>
        <cfvo type="min"/>
        <cfvo type="max"/>
        <color rgb="FF008AEF"/>
      </dataBar>
      <extLst>
        <ext xmlns:x14="http://schemas.microsoft.com/office/spreadsheetml/2009/9/main" uri="{B025F937-C7B1-47D3-B67F-A62EFF666E3E}">
          <x14:id>{BE5C18B2-66F5-4945-BB7E-3A0E6BB68FFA}</x14:id>
        </ext>
      </extLst>
    </cfRule>
  </conditionalFormatting>
  <conditionalFormatting sqref="C33:D33">
    <cfRule type="dataBar" priority="18">
      <dataBar>
        <cfvo type="min"/>
        <cfvo type="max"/>
        <color rgb="FF008AEF"/>
      </dataBar>
      <extLst>
        <ext xmlns:x14="http://schemas.microsoft.com/office/spreadsheetml/2009/9/main" uri="{B025F937-C7B1-47D3-B67F-A62EFF666E3E}">
          <x14:id>{C1D5B695-2132-4ECC-B618-843F950E340A}</x14:id>
        </ext>
      </extLst>
    </cfRule>
  </conditionalFormatting>
  <conditionalFormatting sqref="C34:D34">
    <cfRule type="dataBar" priority="17">
      <dataBar>
        <cfvo type="min"/>
        <cfvo type="max"/>
        <color rgb="FF008AEF"/>
      </dataBar>
      <extLst>
        <ext xmlns:x14="http://schemas.microsoft.com/office/spreadsheetml/2009/9/main" uri="{B025F937-C7B1-47D3-B67F-A62EFF666E3E}">
          <x14:id>{CFE9539A-A76B-44B8-B60C-05893F8371CA}</x14:id>
        </ext>
      </extLst>
    </cfRule>
  </conditionalFormatting>
  <conditionalFormatting sqref="C35:D35">
    <cfRule type="dataBar" priority="16">
      <dataBar>
        <cfvo type="min"/>
        <cfvo type="max"/>
        <color rgb="FF008AEF"/>
      </dataBar>
      <extLst>
        <ext xmlns:x14="http://schemas.microsoft.com/office/spreadsheetml/2009/9/main" uri="{B025F937-C7B1-47D3-B67F-A62EFF666E3E}">
          <x14:id>{6A854123-9560-44AF-B023-F5AC9EF69CA3}</x14:id>
        </ext>
      </extLst>
    </cfRule>
  </conditionalFormatting>
  <conditionalFormatting sqref="C36:D36">
    <cfRule type="dataBar" priority="15">
      <dataBar>
        <cfvo type="min"/>
        <cfvo type="max"/>
        <color rgb="FF008AEF"/>
      </dataBar>
      <extLst>
        <ext xmlns:x14="http://schemas.microsoft.com/office/spreadsheetml/2009/9/main" uri="{B025F937-C7B1-47D3-B67F-A62EFF666E3E}">
          <x14:id>{72AC33C3-8108-4351-9519-2BCDF5ECE16C}</x14:id>
        </ext>
      </extLst>
    </cfRule>
  </conditionalFormatting>
  <conditionalFormatting sqref="C37:D37">
    <cfRule type="dataBar" priority="14">
      <dataBar>
        <cfvo type="min"/>
        <cfvo type="max"/>
        <color rgb="FF008AEF"/>
      </dataBar>
      <extLst>
        <ext xmlns:x14="http://schemas.microsoft.com/office/spreadsheetml/2009/9/main" uri="{B025F937-C7B1-47D3-B67F-A62EFF666E3E}">
          <x14:id>{22A34C82-8E28-40D3-B0A2-CD5E0B7C0CAC}</x14:id>
        </ext>
      </extLst>
    </cfRule>
  </conditionalFormatting>
  <conditionalFormatting sqref="G10:O33">
    <cfRule type="cellIs" dxfId="6" priority="12" operator="greaterThan">
      <formula>0</formula>
    </cfRule>
  </conditionalFormatting>
  <conditionalFormatting sqref="G3:P9 E3:F33 E34:O37">
    <cfRule type="cellIs" dxfId="5" priority="3"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94255004-F0DB-44AC-BCD5-B1944C96486B}">
            <x14:dataBar minLength="0" maxLength="100" gradient="0">
              <x14:cfvo type="autoMin"/>
              <x14:cfvo type="autoMax"/>
              <x14:negativeFillColor rgb="FFFF0000"/>
              <x14:axisColor rgb="FF000000"/>
            </x14:dataBar>
          </x14:cfRule>
          <xm:sqref>C9</xm:sqref>
        </x14:conditionalFormatting>
        <x14:conditionalFormatting xmlns:xm="http://schemas.microsoft.com/office/excel/2006/main">
          <x14:cfRule type="dataBar" id="{2F88BEA5-22C4-4886-92A3-7D0D391C8029}">
            <x14:dataBar minLength="0" maxLength="100" gradient="0">
              <x14:cfvo type="autoMin"/>
              <x14:cfvo type="autoMax"/>
              <x14:negativeFillColor rgb="FFFF0000"/>
              <x14:axisColor rgb="FF000000"/>
            </x14:dataBar>
          </x14:cfRule>
          <xm:sqref>C3:D3 D4:D9</xm:sqref>
        </x14:conditionalFormatting>
        <x14:conditionalFormatting xmlns:xm="http://schemas.microsoft.com/office/excel/2006/main">
          <x14:cfRule type="dataBar" id="{945360BC-4C8A-4C61-B862-EC5D5958A725}">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FFB79689-AFCC-4101-A92C-C36A1F43684D}">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D295EEBB-CED5-467B-98A0-221903B07B3E}">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473DFBE9-7FBF-405F-9E6C-8460A8246962}">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3E702EC9-0893-492B-B573-AC67512DC9B7}">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70953812-E2E9-4327-B69C-887A0EC89CF7}">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5F667698-4953-4BE7-A8F9-3D94FD2B597E}">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0DDFDDF9-0B28-468B-B141-D4DC5B6D0D11}">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FB8B0A52-D262-40C1-967B-A12F32DBD1BC}">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4FDA27DF-898E-41CA-9223-263F2BD56EFE}">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69694F79-494B-4C89-94B5-E71927028F4B}">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2C0DEEE9-B36B-43DC-A1BE-8A0DE2E58A41}">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4E96B08E-582E-40CA-AFBB-14CCBEA14A60}">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743A3C5C-9403-46FD-AB88-EEDAF822B91F}">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30FCB962-9D31-49AB-B61C-6094123DFE7D}">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79D14C71-5D52-45A3-B310-20DCCDCED8D4}">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B7FE0AE1-0058-4E3C-A800-038A404612FE}">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40AF78B2-E917-4366-B73C-200B66DEFB1D}">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CE65AFAB-AC12-4B2F-AC67-AF9C3E529C2E}">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844E7AF8-F93A-4598-8B3B-4F61BAE03187}">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F43387DA-CB6F-4866-BB92-08BDDF783E7C}">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8E9EBECF-61C6-4538-813B-D3ADFAB2DF79}">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C4EA2310-DFD6-4656-BBE2-B3E0ACABCF07}">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A038871B-D9A6-49C6-8843-EC520FEA702C}">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366E1C54-5EB6-4A8A-AE4F-B1583B8D5F1D}">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3836376B-528B-4383-A256-1C05F90F91BA}">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5FD17820-7904-493B-A310-A04468DC8EB4}">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BE5C18B2-66F5-4945-BB7E-3A0E6BB68FFA}">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C1D5B695-2132-4ECC-B618-843F950E340A}">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CFE9539A-A76B-44B8-B60C-05893F8371CA}">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6A854123-9560-44AF-B023-F5AC9EF69CA3}">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72AC33C3-8108-4351-9519-2BCDF5ECE16C}">
            <x14:dataBar minLength="0" maxLength="100" gradient="0">
              <x14:cfvo type="autoMin"/>
              <x14:cfvo type="autoMax"/>
              <x14:negativeFillColor rgb="FFFF0000"/>
              <x14:axisColor rgb="FF000000"/>
            </x14:dataBar>
          </x14:cfRule>
          <xm:sqref>C36:D36</xm:sqref>
        </x14:conditionalFormatting>
        <x14:conditionalFormatting xmlns:xm="http://schemas.microsoft.com/office/excel/2006/main">
          <x14:cfRule type="dataBar" id="{22A34C82-8E28-40D3-B0A2-CD5E0B7C0CAC}">
            <x14:dataBar minLength="0" maxLength="100" gradient="0">
              <x14:cfvo type="autoMin"/>
              <x14:cfvo type="autoMax"/>
              <x14:negativeFillColor rgb="FFFF0000"/>
              <x14:axisColor rgb="FF000000"/>
            </x14:dataBar>
          </x14:cfRule>
          <xm:sqref>C37:D37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P42"/>
  <sheetViews>
    <sheetView topLeftCell="B1" zoomScale="60" zoomScaleNormal="60" workbookViewId="0">
      <selection activeCell="L7" sqref="L7"/>
    </sheetView>
  </sheetViews>
  <sheetFormatPr baseColWidth="10" defaultColWidth="11.42578125" defaultRowHeight="15" x14ac:dyDescent="0.25"/>
  <cols>
    <col min="1" max="1" width="4.7109375" style="1" customWidth="1"/>
    <col min="2" max="2" width="107" style="1" customWidth="1"/>
    <col min="3" max="3" width="11.42578125" style="1"/>
    <col min="4" max="4" width="22.42578125" style="1" customWidth="1"/>
    <col min="5" max="9" width="17.28515625" style="1" customWidth="1"/>
    <col min="10" max="16384" width="11.42578125" style="1"/>
  </cols>
  <sheetData>
    <row r="1" spans="1:16" ht="61.5" customHeight="1" x14ac:dyDescent="0.25">
      <c r="A1" s="44" t="s">
        <v>1</v>
      </c>
      <c r="B1" s="22" t="s">
        <v>81</v>
      </c>
      <c r="C1" s="6" t="s">
        <v>2</v>
      </c>
      <c r="D1" s="6" t="s">
        <v>3</v>
      </c>
      <c r="E1" s="6" t="s">
        <v>4</v>
      </c>
      <c r="F1" s="6" t="s">
        <v>5</v>
      </c>
      <c r="G1" s="6" t="s">
        <v>6</v>
      </c>
      <c r="H1" s="6" t="s">
        <v>7</v>
      </c>
      <c r="I1" s="6" t="s">
        <v>8</v>
      </c>
      <c r="J1" s="6" t="s">
        <v>9</v>
      </c>
      <c r="K1" s="6" t="s">
        <v>10</v>
      </c>
      <c r="L1" s="6" t="s">
        <v>11</v>
      </c>
      <c r="M1" s="6" t="s">
        <v>12</v>
      </c>
      <c r="N1" s="6" t="s">
        <v>13</v>
      </c>
      <c r="O1" s="6" t="s">
        <v>14</v>
      </c>
      <c r="P1" s="6" t="s">
        <v>15</v>
      </c>
    </row>
    <row r="2" spans="1:16" s="2" customFormat="1" ht="15.75" thickBot="1" x14ac:dyDescent="0.3">
      <c r="A2" s="45"/>
      <c r="B2" s="22"/>
      <c r="C2" s="11">
        <v>2026</v>
      </c>
      <c r="D2" s="11" t="s">
        <v>16</v>
      </c>
      <c r="E2" s="26"/>
      <c r="F2" s="26"/>
      <c r="G2" s="26"/>
      <c r="H2" s="26"/>
      <c r="I2" s="26"/>
      <c r="J2" s="26"/>
      <c r="K2" s="26"/>
      <c r="L2" s="26"/>
      <c r="M2" s="26"/>
      <c r="N2" s="26"/>
      <c r="O2" s="26"/>
      <c r="P2" s="26"/>
    </row>
    <row r="3" spans="1:16" ht="81" customHeight="1" x14ac:dyDescent="0.25">
      <c r="A3" s="27" t="s">
        <v>18</v>
      </c>
      <c r="B3" s="7" t="s">
        <v>17</v>
      </c>
      <c r="C3" s="14">
        <v>2</v>
      </c>
      <c r="D3" s="23">
        <f t="shared" ref="D3:D10" si="0">SUM(E3:P3)</f>
        <v>1</v>
      </c>
      <c r="E3" s="28"/>
      <c r="F3" s="28"/>
      <c r="G3" s="28">
        <v>1</v>
      </c>
      <c r="H3" s="28"/>
      <c r="I3" s="28"/>
      <c r="J3" s="28"/>
      <c r="K3" s="28"/>
      <c r="L3" s="28"/>
      <c r="M3" s="28"/>
      <c r="N3" s="28"/>
      <c r="O3" s="28"/>
      <c r="P3" s="28"/>
    </row>
    <row r="4" spans="1:16" ht="81" customHeight="1" x14ac:dyDescent="0.25">
      <c r="A4" s="29" t="s">
        <v>20</v>
      </c>
      <c r="B4" s="8" t="s">
        <v>19</v>
      </c>
      <c r="C4" s="30">
        <v>2</v>
      </c>
      <c r="D4" s="23">
        <f t="shared" si="0"/>
        <v>2</v>
      </c>
      <c r="E4" s="28">
        <v>0</v>
      </c>
      <c r="F4" s="28">
        <v>0</v>
      </c>
      <c r="G4" s="28">
        <v>0</v>
      </c>
      <c r="H4" s="28">
        <v>0</v>
      </c>
      <c r="I4" s="28">
        <v>2</v>
      </c>
      <c r="J4" s="28"/>
      <c r="K4" s="28"/>
      <c r="L4" s="28"/>
      <c r="M4" s="28"/>
      <c r="N4" s="28"/>
      <c r="O4" s="28"/>
      <c r="P4" s="28"/>
    </row>
    <row r="5" spans="1:16" ht="81" customHeight="1" x14ac:dyDescent="0.25">
      <c r="A5" s="31" t="s">
        <v>22</v>
      </c>
      <c r="B5" s="9" t="s">
        <v>21</v>
      </c>
      <c r="C5" s="32">
        <v>2</v>
      </c>
      <c r="D5" s="23">
        <f t="shared" si="0"/>
        <v>1</v>
      </c>
      <c r="E5" s="28">
        <v>0</v>
      </c>
      <c r="F5" s="28">
        <v>0</v>
      </c>
      <c r="G5" s="28">
        <v>0</v>
      </c>
      <c r="H5" s="28">
        <v>1</v>
      </c>
      <c r="I5" s="28"/>
      <c r="J5" s="28"/>
      <c r="K5" s="28"/>
      <c r="L5" s="28"/>
      <c r="M5" s="28"/>
      <c r="N5" s="28"/>
      <c r="O5" s="28"/>
      <c r="P5" s="28"/>
    </row>
    <row r="6" spans="1:16" ht="81" customHeight="1" x14ac:dyDescent="0.25">
      <c r="A6" s="27" t="s">
        <v>18</v>
      </c>
      <c r="B6" s="7" t="s">
        <v>23</v>
      </c>
      <c r="C6" s="33">
        <v>2</v>
      </c>
      <c r="D6" s="23">
        <f t="shared" si="0"/>
        <v>0</v>
      </c>
      <c r="E6" s="28"/>
      <c r="F6" s="28"/>
      <c r="G6" s="28"/>
      <c r="H6" s="28"/>
      <c r="I6" s="28"/>
      <c r="J6" s="28"/>
      <c r="K6" s="28"/>
      <c r="L6" s="28"/>
      <c r="M6" s="28"/>
      <c r="N6" s="28"/>
      <c r="O6" s="28"/>
      <c r="P6" s="28"/>
    </row>
    <row r="7" spans="1:16" ht="81" customHeight="1" x14ac:dyDescent="0.25">
      <c r="A7" s="27" t="s">
        <v>18</v>
      </c>
      <c r="B7" s="7" t="s">
        <v>25</v>
      </c>
      <c r="C7" s="33">
        <v>2</v>
      </c>
      <c r="D7" s="23">
        <f t="shared" si="0"/>
        <v>0</v>
      </c>
      <c r="E7" s="28"/>
      <c r="F7" s="28"/>
      <c r="G7" s="28"/>
      <c r="H7" s="28"/>
      <c r="I7" s="28"/>
      <c r="J7" s="28"/>
      <c r="K7" s="28"/>
      <c r="L7" s="28"/>
      <c r="M7" s="28"/>
      <c r="N7" s="28"/>
      <c r="O7" s="28"/>
      <c r="P7" s="28"/>
    </row>
    <row r="8" spans="1:16" ht="81" customHeight="1" x14ac:dyDescent="0.25">
      <c r="A8" s="27" t="s">
        <v>18</v>
      </c>
      <c r="B8" s="7" t="s">
        <v>24</v>
      </c>
      <c r="C8" s="33">
        <v>1</v>
      </c>
      <c r="D8" s="23">
        <f t="shared" si="0"/>
        <v>0</v>
      </c>
      <c r="E8" s="28"/>
      <c r="F8" s="28"/>
      <c r="G8" s="28"/>
      <c r="H8" s="28"/>
      <c r="I8" s="28"/>
      <c r="J8" s="28"/>
      <c r="K8" s="28"/>
      <c r="L8" s="28"/>
      <c r="M8" s="28"/>
      <c r="N8" s="28"/>
      <c r="O8" s="28"/>
      <c r="P8" s="28"/>
    </row>
    <row r="9" spans="1:16" ht="81" customHeight="1" x14ac:dyDescent="0.25">
      <c r="A9" s="27" t="s">
        <v>18</v>
      </c>
      <c r="B9" s="10" t="s">
        <v>26</v>
      </c>
      <c r="C9" s="33">
        <v>2</v>
      </c>
      <c r="D9" s="23">
        <f t="shared" si="0"/>
        <v>0</v>
      </c>
      <c r="E9" s="28"/>
      <c r="F9" s="28"/>
      <c r="G9" s="28"/>
      <c r="H9" s="28"/>
      <c r="I9" s="28"/>
      <c r="J9" s="28"/>
      <c r="K9" s="28"/>
      <c r="L9" s="28"/>
      <c r="M9" s="28"/>
      <c r="N9" s="28"/>
      <c r="O9" s="28"/>
      <c r="P9" s="28"/>
    </row>
    <row r="10" spans="1:16" ht="81" customHeight="1" x14ac:dyDescent="0.25">
      <c r="A10" s="27" t="s">
        <v>18</v>
      </c>
      <c r="B10" s="10" t="s">
        <v>27</v>
      </c>
      <c r="C10" s="33">
        <v>1</v>
      </c>
      <c r="D10" s="23">
        <f t="shared" si="0"/>
        <v>0</v>
      </c>
      <c r="E10" s="28"/>
      <c r="F10" s="28"/>
      <c r="G10" s="28"/>
      <c r="H10" s="28"/>
      <c r="I10" s="28"/>
      <c r="J10" s="28"/>
      <c r="K10" s="28"/>
      <c r="L10" s="28"/>
      <c r="M10" s="28"/>
      <c r="N10" s="28"/>
      <c r="O10" s="28"/>
      <c r="P10" s="28"/>
    </row>
    <row r="11" spans="1:16" ht="81" customHeight="1" x14ac:dyDescent="0.25">
      <c r="A11" s="27" t="s">
        <v>18</v>
      </c>
      <c r="B11" s="10" t="s">
        <v>28</v>
      </c>
      <c r="C11" s="33">
        <v>2</v>
      </c>
      <c r="D11" s="23">
        <f>SUM(E11:P11)</f>
        <v>1</v>
      </c>
      <c r="E11" s="28"/>
      <c r="F11" s="28"/>
      <c r="G11" s="28"/>
      <c r="H11" s="28"/>
      <c r="I11" s="28">
        <v>1</v>
      </c>
      <c r="J11" s="28"/>
      <c r="K11" s="28"/>
      <c r="L11" s="28"/>
      <c r="M11" s="28"/>
      <c r="N11" s="28"/>
      <c r="O11" s="28"/>
      <c r="P11" s="28"/>
    </row>
    <row r="12" spans="1:16" ht="81" customHeight="1" x14ac:dyDescent="0.25">
      <c r="A12" s="27" t="s">
        <v>18</v>
      </c>
      <c r="B12" s="10" t="s">
        <v>29</v>
      </c>
      <c r="C12" s="33">
        <v>1</v>
      </c>
      <c r="D12" s="23">
        <f>SUM(E12:P12)</f>
        <v>1</v>
      </c>
      <c r="E12" s="28"/>
      <c r="F12" s="28"/>
      <c r="G12" s="28"/>
      <c r="H12" s="28"/>
      <c r="I12" s="28">
        <v>1</v>
      </c>
      <c r="J12" s="28"/>
      <c r="K12" s="28"/>
      <c r="L12" s="28"/>
      <c r="M12" s="28"/>
      <c r="N12" s="28"/>
      <c r="O12" s="28"/>
      <c r="P12" s="28"/>
    </row>
    <row r="13" spans="1:16" ht="28.5" customHeight="1" x14ac:dyDescent="0.25">
      <c r="A13" s="46" t="s">
        <v>51</v>
      </c>
      <c r="B13" s="34" t="s">
        <v>52</v>
      </c>
      <c r="C13" s="33">
        <v>3</v>
      </c>
      <c r="D13" s="23">
        <f t="shared" ref="D13:D40" si="1">SUM(E13:O13)</f>
        <v>0</v>
      </c>
      <c r="E13" s="28"/>
      <c r="F13" s="28"/>
      <c r="G13" s="28"/>
      <c r="H13" s="28"/>
      <c r="I13" s="28"/>
      <c r="J13" s="28"/>
      <c r="K13" s="28"/>
      <c r="L13" s="28"/>
      <c r="M13" s="28"/>
      <c r="N13" s="28"/>
      <c r="O13" s="28"/>
      <c r="P13" s="35"/>
    </row>
    <row r="14" spans="1:16" ht="28.5" customHeight="1" x14ac:dyDescent="0.25">
      <c r="A14" s="47"/>
      <c r="B14" s="34" t="s">
        <v>53</v>
      </c>
      <c r="C14" s="33">
        <v>3</v>
      </c>
      <c r="D14" s="23">
        <f t="shared" si="1"/>
        <v>0</v>
      </c>
      <c r="E14" s="28"/>
      <c r="F14" s="28"/>
      <c r="G14" s="28"/>
      <c r="H14" s="28"/>
      <c r="I14" s="28"/>
      <c r="J14" s="28"/>
      <c r="K14" s="28"/>
      <c r="L14" s="28"/>
      <c r="M14" s="28"/>
      <c r="N14" s="28"/>
      <c r="O14" s="28"/>
      <c r="P14" s="35"/>
    </row>
    <row r="15" spans="1:16" ht="28.5" customHeight="1" x14ac:dyDescent="0.25">
      <c r="A15" s="47"/>
      <c r="B15" s="34" t="s">
        <v>54</v>
      </c>
      <c r="C15" s="33">
        <v>112</v>
      </c>
      <c r="D15" s="23">
        <f t="shared" si="1"/>
        <v>54</v>
      </c>
      <c r="E15" s="28"/>
      <c r="F15" s="28">
        <v>13</v>
      </c>
      <c r="G15" s="28">
        <v>13</v>
      </c>
      <c r="H15" s="28">
        <v>28</v>
      </c>
      <c r="I15" s="28"/>
      <c r="J15" s="28"/>
      <c r="K15" s="28"/>
      <c r="L15" s="28"/>
      <c r="M15" s="28"/>
      <c r="N15" s="28"/>
      <c r="O15" s="28"/>
      <c r="P15" s="35"/>
    </row>
    <row r="16" spans="1:16" ht="28.5" customHeight="1" x14ac:dyDescent="0.25">
      <c r="A16" s="47"/>
      <c r="B16" s="34" t="s">
        <v>55</v>
      </c>
      <c r="C16" s="33">
        <v>33</v>
      </c>
      <c r="D16" s="23">
        <f t="shared" si="1"/>
        <v>14</v>
      </c>
      <c r="E16" s="28"/>
      <c r="F16" s="28">
        <v>11</v>
      </c>
      <c r="G16" s="28">
        <v>3</v>
      </c>
      <c r="H16" s="28"/>
      <c r="I16" s="28"/>
      <c r="J16" s="28"/>
      <c r="K16" s="28"/>
      <c r="L16" s="28"/>
      <c r="M16" s="28"/>
      <c r="N16" s="28"/>
      <c r="O16" s="28"/>
      <c r="P16" s="35"/>
    </row>
    <row r="17" spans="1:16" ht="28.5" customHeight="1" x14ac:dyDescent="0.25">
      <c r="A17" s="47"/>
      <c r="B17" s="34" t="s">
        <v>56</v>
      </c>
      <c r="C17" s="33">
        <v>20</v>
      </c>
      <c r="D17" s="23">
        <f t="shared" si="1"/>
        <v>4</v>
      </c>
      <c r="E17" s="28"/>
      <c r="F17" s="28"/>
      <c r="G17" s="28"/>
      <c r="H17" s="28">
        <v>4</v>
      </c>
      <c r="I17" s="28"/>
      <c r="J17" s="28"/>
      <c r="K17" s="28"/>
      <c r="L17" s="28"/>
      <c r="M17" s="28"/>
      <c r="N17" s="28"/>
      <c r="O17" s="28"/>
      <c r="P17" s="35"/>
    </row>
    <row r="18" spans="1:16" ht="28.5" customHeight="1" x14ac:dyDescent="0.25">
      <c r="A18" s="47"/>
      <c r="B18" s="34" t="s">
        <v>57</v>
      </c>
      <c r="C18" s="33">
        <v>18</v>
      </c>
      <c r="D18" s="23">
        <f t="shared" si="1"/>
        <v>1</v>
      </c>
      <c r="E18" s="28"/>
      <c r="F18" s="28"/>
      <c r="G18" s="28"/>
      <c r="H18" s="28"/>
      <c r="I18" s="28">
        <v>1</v>
      </c>
      <c r="J18" s="28"/>
      <c r="K18" s="28"/>
      <c r="L18" s="28"/>
      <c r="M18" s="28"/>
      <c r="N18" s="28"/>
      <c r="O18" s="28"/>
      <c r="P18" s="35"/>
    </row>
    <row r="19" spans="1:16" ht="28.5" customHeight="1" x14ac:dyDescent="0.25">
      <c r="A19" s="47"/>
      <c r="B19" s="34" t="s">
        <v>58</v>
      </c>
      <c r="C19" s="33">
        <v>0</v>
      </c>
      <c r="D19" s="23">
        <f t="shared" si="1"/>
        <v>0</v>
      </c>
      <c r="E19" s="28"/>
      <c r="F19" s="28"/>
      <c r="G19" s="28"/>
      <c r="H19" s="28"/>
      <c r="I19" s="28"/>
      <c r="J19" s="28"/>
      <c r="K19" s="28"/>
      <c r="L19" s="28"/>
      <c r="M19" s="28"/>
      <c r="N19" s="28"/>
      <c r="O19" s="28"/>
      <c r="P19" s="35"/>
    </row>
    <row r="20" spans="1:16" ht="28.5" customHeight="1" x14ac:dyDescent="0.25">
      <c r="A20" s="47"/>
      <c r="B20" s="34" t="s">
        <v>59</v>
      </c>
      <c r="C20" s="33">
        <v>0</v>
      </c>
      <c r="D20" s="23">
        <f t="shared" si="1"/>
        <v>0</v>
      </c>
      <c r="E20" s="28"/>
      <c r="F20" s="28"/>
      <c r="G20" s="28"/>
      <c r="H20" s="28"/>
      <c r="I20" s="28"/>
      <c r="J20" s="28"/>
      <c r="K20" s="28"/>
      <c r="L20" s="28"/>
      <c r="M20" s="28"/>
      <c r="N20" s="28"/>
      <c r="O20" s="28"/>
      <c r="P20" s="35"/>
    </row>
    <row r="21" spans="1:16" ht="28.5" customHeight="1" x14ac:dyDescent="0.25">
      <c r="A21" s="47"/>
      <c r="B21" s="34" t="s">
        <v>60</v>
      </c>
      <c r="C21" s="33">
        <v>4</v>
      </c>
      <c r="D21" s="23">
        <f t="shared" si="1"/>
        <v>1</v>
      </c>
      <c r="E21" s="28"/>
      <c r="F21" s="28"/>
      <c r="G21" s="28"/>
      <c r="H21" s="28">
        <v>1</v>
      </c>
      <c r="I21" s="28"/>
      <c r="J21" s="28"/>
      <c r="K21" s="28"/>
      <c r="L21" s="28"/>
      <c r="M21" s="28"/>
      <c r="N21" s="28"/>
      <c r="O21" s="28"/>
      <c r="P21" s="35"/>
    </row>
    <row r="22" spans="1:16" ht="28.5" customHeight="1" x14ac:dyDescent="0.25">
      <c r="A22" s="47"/>
      <c r="B22" s="34" t="s">
        <v>61</v>
      </c>
      <c r="C22" s="33">
        <v>1</v>
      </c>
      <c r="D22" s="23">
        <f t="shared" si="1"/>
        <v>0</v>
      </c>
      <c r="E22" s="28"/>
      <c r="F22" s="28"/>
      <c r="G22" s="28"/>
      <c r="H22" s="28"/>
      <c r="I22" s="28"/>
      <c r="J22" s="28"/>
      <c r="K22" s="28"/>
      <c r="L22" s="28"/>
      <c r="M22" s="28"/>
      <c r="N22" s="28"/>
      <c r="O22" s="28"/>
      <c r="P22" s="35"/>
    </row>
    <row r="23" spans="1:16" ht="28.5" customHeight="1" x14ac:dyDescent="0.25">
      <c r="A23" s="47"/>
      <c r="B23" s="34" t="s">
        <v>62</v>
      </c>
      <c r="C23" s="33">
        <v>0</v>
      </c>
      <c r="D23" s="23">
        <f t="shared" si="1"/>
        <v>0</v>
      </c>
      <c r="E23" s="28"/>
      <c r="F23" s="28"/>
      <c r="G23" s="28"/>
      <c r="H23" s="28"/>
      <c r="I23" s="28"/>
      <c r="J23" s="28"/>
      <c r="K23" s="28"/>
      <c r="L23" s="28"/>
      <c r="M23" s="28"/>
      <c r="N23" s="28"/>
      <c r="O23" s="28"/>
      <c r="P23" s="35"/>
    </row>
    <row r="24" spans="1:16" ht="28.5" customHeight="1" x14ac:dyDescent="0.25">
      <c r="A24" s="47"/>
      <c r="B24" s="34" t="s">
        <v>63</v>
      </c>
      <c r="C24" s="33">
        <v>2</v>
      </c>
      <c r="D24" s="23">
        <f t="shared" si="1"/>
        <v>0</v>
      </c>
      <c r="E24" s="28"/>
      <c r="F24" s="28"/>
      <c r="G24" s="28"/>
      <c r="H24" s="28"/>
      <c r="I24" s="28"/>
      <c r="J24" s="28"/>
      <c r="K24" s="28"/>
      <c r="L24" s="28"/>
      <c r="M24" s="28"/>
      <c r="N24" s="28"/>
      <c r="O24" s="28"/>
      <c r="P24" s="35"/>
    </row>
    <row r="25" spans="1:16" ht="28.5" customHeight="1" x14ac:dyDescent="0.25">
      <c r="A25" s="47"/>
      <c r="B25" s="34" t="s">
        <v>64</v>
      </c>
      <c r="C25" s="33">
        <v>0</v>
      </c>
      <c r="D25" s="23">
        <f t="shared" si="1"/>
        <v>0</v>
      </c>
      <c r="E25" s="28"/>
      <c r="F25" s="28"/>
      <c r="G25" s="28"/>
      <c r="H25" s="28"/>
      <c r="I25" s="28"/>
      <c r="J25" s="28"/>
      <c r="K25" s="28"/>
      <c r="L25" s="28"/>
      <c r="M25" s="28"/>
      <c r="N25" s="28"/>
      <c r="O25" s="28"/>
      <c r="P25" s="35"/>
    </row>
    <row r="26" spans="1:16" ht="28.5" customHeight="1" x14ac:dyDescent="0.25">
      <c r="A26" s="47"/>
      <c r="B26" s="34" t="s">
        <v>65</v>
      </c>
      <c r="C26" s="33">
        <v>12</v>
      </c>
      <c r="D26" s="23">
        <f t="shared" si="1"/>
        <v>0</v>
      </c>
      <c r="E26" s="28"/>
      <c r="F26" s="28"/>
      <c r="G26" s="28"/>
      <c r="H26" s="28"/>
      <c r="I26" s="28"/>
      <c r="J26" s="28"/>
      <c r="K26" s="28"/>
      <c r="L26" s="28"/>
      <c r="M26" s="28"/>
      <c r="N26" s="28"/>
      <c r="O26" s="28"/>
      <c r="P26" s="35"/>
    </row>
    <row r="27" spans="1:16" ht="28.5" customHeight="1" x14ac:dyDescent="0.25">
      <c r="A27" s="47"/>
      <c r="B27" s="34" t="s">
        <v>66</v>
      </c>
      <c r="C27" s="33">
        <v>20</v>
      </c>
      <c r="D27" s="23">
        <f t="shared" si="1"/>
        <v>13</v>
      </c>
      <c r="E27" s="28"/>
      <c r="F27" s="28"/>
      <c r="G27" s="28">
        <v>13</v>
      </c>
      <c r="H27" s="28"/>
      <c r="I27" s="28"/>
      <c r="J27" s="28"/>
      <c r="K27" s="28"/>
      <c r="L27" s="28"/>
      <c r="M27" s="28"/>
      <c r="N27" s="28"/>
      <c r="O27" s="28"/>
      <c r="P27" s="35"/>
    </row>
    <row r="28" spans="1:16" ht="28.5" customHeight="1" x14ac:dyDescent="0.25">
      <c r="A28" s="47"/>
      <c r="B28" s="34" t="s">
        <v>67</v>
      </c>
      <c r="C28" s="33">
        <v>2</v>
      </c>
      <c r="D28" s="23">
        <f t="shared" si="1"/>
        <v>0</v>
      </c>
      <c r="E28" s="28"/>
      <c r="F28" s="28"/>
      <c r="G28" s="28"/>
      <c r="H28" s="28"/>
      <c r="I28" s="28"/>
      <c r="J28" s="28"/>
      <c r="K28" s="28"/>
      <c r="L28" s="28"/>
      <c r="M28" s="28"/>
      <c r="N28" s="28"/>
      <c r="O28" s="28"/>
      <c r="P28" s="35"/>
    </row>
    <row r="29" spans="1:16" ht="24" customHeight="1" x14ac:dyDescent="0.25">
      <c r="A29" s="47"/>
      <c r="B29" s="36" t="s">
        <v>68</v>
      </c>
      <c r="C29" s="33">
        <v>3</v>
      </c>
      <c r="D29" s="23">
        <f t="shared" si="1"/>
        <v>2</v>
      </c>
      <c r="E29" s="28"/>
      <c r="F29" s="28"/>
      <c r="G29" s="28">
        <v>1</v>
      </c>
      <c r="H29" s="28">
        <v>1</v>
      </c>
      <c r="I29" s="28"/>
      <c r="J29" s="28"/>
      <c r="K29" s="28"/>
      <c r="L29" s="28"/>
      <c r="M29" s="28"/>
      <c r="N29" s="28"/>
      <c r="O29" s="28"/>
      <c r="P29" s="35"/>
    </row>
    <row r="30" spans="1:16" ht="24" customHeight="1" x14ac:dyDescent="0.25">
      <c r="A30" s="47"/>
      <c r="B30" s="36" t="s">
        <v>69</v>
      </c>
      <c r="C30" s="33">
        <v>3</v>
      </c>
      <c r="D30" s="23">
        <f t="shared" si="1"/>
        <v>1</v>
      </c>
      <c r="E30" s="28"/>
      <c r="F30" s="28"/>
      <c r="G30" s="28"/>
      <c r="H30" s="28"/>
      <c r="I30" s="28">
        <v>1</v>
      </c>
      <c r="J30" s="28"/>
      <c r="K30" s="28"/>
      <c r="L30" s="28"/>
      <c r="M30" s="28"/>
      <c r="N30" s="28"/>
      <c r="O30" s="28"/>
      <c r="P30" s="35"/>
    </row>
    <row r="31" spans="1:16" ht="24" customHeight="1" x14ac:dyDescent="0.25">
      <c r="A31" s="47"/>
      <c r="B31" s="36" t="s">
        <v>70</v>
      </c>
      <c r="C31" s="33">
        <v>3</v>
      </c>
      <c r="D31" s="23">
        <f t="shared" si="1"/>
        <v>1</v>
      </c>
      <c r="E31" s="28"/>
      <c r="F31" s="28"/>
      <c r="G31" s="28"/>
      <c r="H31" s="28"/>
      <c r="I31" s="28">
        <v>1</v>
      </c>
      <c r="J31" s="28"/>
      <c r="K31" s="28"/>
      <c r="L31" s="28"/>
      <c r="M31" s="28"/>
      <c r="N31" s="28"/>
      <c r="O31" s="28"/>
      <c r="P31" s="35"/>
    </row>
    <row r="32" spans="1:16" ht="24" customHeight="1" x14ac:dyDescent="0.25">
      <c r="A32" s="47"/>
      <c r="B32" s="36" t="s">
        <v>71</v>
      </c>
      <c r="C32" s="33">
        <v>3</v>
      </c>
      <c r="D32" s="23">
        <f t="shared" si="1"/>
        <v>0</v>
      </c>
      <c r="E32" s="28"/>
      <c r="F32" s="28"/>
      <c r="G32" s="28"/>
      <c r="H32" s="28"/>
      <c r="I32" s="28"/>
      <c r="J32" s="28"/>
      <c r="K32" s="28"/>
      <c r="L32" s="28"/>
      <c r="M32" s="28"/>
      <c r="N32" s="28"/>
      <c r="O32" s="28"/>
      <c r="P32" s="35"/>
    </row>
    <row r="33" spans="1:16" ht="24" customHeight="1" x14ac:dyDescent="0.25">
      <c r="A33" s="47"/>
      <c r="B33" s="36" t="s">
        <v>72</v>
      </c>
      <c r="C33" s="33">
        <v>3</v>
      </c>
      <c r="D33" s="23">
        <f t="shared" si="1"/>
        <v>0</v>
      </c>
      <c r="E33" s="28"/>
      <c r="F33" s="28"/>
      <c r="G33" s="28"/>
      <c r="H33" s="28"/>
      <c r="I33" s="28"/>
      <c r="J33" s="28"/>
      <c r="K33" s="28"/>
      <c r="L33" s="28"/>
      <c r="M33" s="28"/>
      <c r="N33" s="28"/>
      <c r="O33" s="28"/>
      <c r="P33" s="35"/>
    </row>
    <row r="34" spans="1:16" ht="24" customHeight="1" x14ac:dyDescent="0.25">
      <c r="A34" s="47"/>
      <c r="B34" s="36" t="s">
        <v>73</v>
      </c>
      <c r="C34" s="33">
        <v>1</v>
      </c>
      <c r="D34" s="23">
        <f t="shared" si="1"/>
        <v>0</v>
      </c>
      <c r="E34" s="28"/>
      <c r="F34" s="28"/>
      <c r="G34" s="28"/>
      <c r="H34" s="28"/>
      <c r="I34" s="28"/>
      <c r="J34" s="28"/>
      <c r="K34" s="28"/>
      <c r="L34" s="28"/>
      <c r="M34" s="28"/>
      <c r="N34" s="28"/>
      <c r="O34" s="28"/>
      <c r="P34" s="35"/>
    </row>
    <row r="35" spans="1:16" ht="24" customHeight="1" x14ac:dyDescent="0.25">
      <c r="A35" s="47"/>
      <c r="B35" s="36" t="s">
        <v>74</v>
      </c>
      <c r="C35" s="33">
        <v>1</v>
      </c>
      <c r="D35" s="23">
        <f t="shared" si="1"/>
        <v>0</v>
      </c>
      <c r="E35" s="28"/>
      <c r="F35" s="28"/>
      <c r="G35" s="28"/>
      <c r="H35" s="28"/>
      <c r="I35" s="28"/>
      <c r="J35" s="28"/>
      <c r="K35" s="28"/>
      <c r="L35" s="28"/>
      <c r="M35" s="28"/>
      <c r="N35" s="28"/>
      <c r="O35" s="28"/>
      <c r="P35" s="35"/>
    </row>
    <row r="36" spans="1:16" ht="24" customHeight="1" x14ac:dyDescent="0.25">
      <c r="A36" s="47"/>
      <c r="B36" s="36" t="s">
        <v>75</v>
      </c>
      <c r="C36" s="33">
        <v>1</v>
      </c>
      <c r="D36" s="23">
        <f t="shared" si="1"/>
        <v>0</v>
      </c>
      <c r="E36" s="28"/>
      <c r="F36" s="28"/>
      <c r="G36" s="28"/>
      <c r="H36" s="28"/>
      <c r="I36" s="28"/>
      <c r="J36" s="28"/>
      <c r="K36" s="28"/>
      <c r="L36" s="28"/>
      <c r="M36" s="28"/>
      <c r="N36" s="28"/>
      <c r="O36" s="28"/>
      <c r="P36" s="35"/>
    </row>
    <row r="37" spans="1:16" ht="24" customHeight="1" x14ac:dyDescent="0.25">
      <c r="A37" s="47"/>
      <c r="B37" s="36" t="s">
        <v>76</v>
      </c>
      <c r="C37" s="33">
        <v>1</v>
      </c>
      <c r="D37" s="23">
        <f t="shared" si="1"/>
        <v>0</v>
      </c>
      <c r="E37" s="28"/>
      <c r="F37" s="28"/>
      <c r="G37" s="28"/>
      <c r="H37" s="28"/>
      <c r="I37" s="28"/>
      <c r="J37" s="28"/>
      <c r="K37" s="28"/>
      <c r="L37" s="28"/>
      <c r="M37" s="28"/>
      <c r="N37" s="28"/>
      <c r="O37" s="28"/>
      <c r="P37" s="35"/>
    </row>
    <row r="38" spans="1:16" ht="24" customHeight="1" x14ac:dyDescent="0.25">
      <c r="A38" s="47"/>
      <c r="B38" s="36" t="s">
        <v>77</v>
      </c>
      <c r="C38" s="33">
        <v>1</v>
      </c>
      <c r="D38" s="23">
        <f t="shared" si="1"/>
        <v>0</v>
      </c>
      <c r="E38" s="28"/>
      <c r="F38" s="28"/>
      <c r="G38" s="28"/>
      <c r="H38" s="28"/>
      <c r="I38" s="28"/>
      <c r="J38" s="28"/>
      <c r="K38" s="28"/>
      <c r="L38" s="28"/>
      <c r="M38" s="28"/>
      <c r="N38" s="28"/>
      <c r="O38" s="28"/>
      <c r="P38" s="35"/>
    </row>
    <row r="39" spans="1:16" ht="24" customHeight="1" x14ac:dyDescent="0.25">
      <c r="A39" s="47"/>
      <c r="B39" s="36" t="s">
        <v>78</v>
      </c>
      <c r="C39" s="33">
        <v>1</v>
      </c>
      <c r="D39" s="23">
        <f t="shared" si="1"/>
        <v>0</v>
      </c>
      <c r="E39" s="28"/>
      <c r="F39" s="28"/>
      <c r="G39" s="28"/>
      <c r="H39" s="28"/>
      <c r="I39" s="28"/>
      <c r="J39" s="28"/>
      <c r="K39" s="28"/>
      <c r="L39" s="28"/>
      <c r="M39" s="28"/>
      <c r="N39" s="28"/>
      <c r="O39" s="28"/>
      <c r="P39" s="35"/>
    </row>
    <row r="40" spans="1:16" ht="24" customHeight="1" thickBot="1" x14ac:dyDescent="0.3">
      <c r="A40" s="48"/>
      <c r="B40" s="37" t="s">
        <v>79</v>
      </c>
      <c r="C40" s="33">
        <v>1</v>
      </c>
      <c r="D40" s="23">
        <f t="shared" si="1"/>
        <v>0</v>
      </c>
      <c r="E40" s="28"/>
      <c r="F40" s="28"/>
      <c r="G40" s="28"/>
      <c r="H40" s="28"/>
      <c r="I40" s="28"/>
      <c r="J40" s="28"/>
      <c r="K40" s="28"/>
      <c r="L40" s="28"/>
      <c r="M40" s="28"/>
      <c r="N40" s="28"/>
      <c r="O40" s="28"/>
      <c r="P40" s="35"/>
    </row>
    <row r="41" spans="1:16" x14ac:dyDescent="0.25">
      <c r="C41" s="38">
        <f>SUM(C3:C40)</f>
        <v>269</v>
      </c>
      <c r="D41" s="39">
        <f>SUM(D3:D40)</f>
        <v>97</v>
      </c>
    </row>
    <row r="42" spans="1:16" x14ac:dyDescent="0.25">
      <c r="C42" s="40"/>
      <c r="D42" s="41">
        <f>D41/C41</f>
        <v>0.36059479553903345</v>
      </c>
    </row>
  </sheetData>
  <sheetProtection algorithmName="SHA-512" hashValue="+IAlKTFcqbCJJVEkgsiB7w9WfQN3JDiGrLXGETC2NzZ54z226bKwuqfxbvW2z67yFVeY6/imZCmMM0P0eyVUoA==" saltValue="5rr/p9s3OLaGlHFaPdMTbw==" spinCount="100000" sheet="1" objects="1" scenarios="1" autoFilter="0"/>
  <mergeCells count="2">
    <mergeCell ref="A1:A2"/>
    <mergeCell ref="A13:A40"/>
  </mergeCells>
  <conditionalFormatting sqref="C10">
    <cfRule type="dataBar" priority="2">
      <dataBar>
        <cfvo type="min"/>
        <cfvo type="max"/>
        <color rgb="FF008AEF"/>
      </dataBar>
      <extLst>
        <ext xmlns:x14="http://schemas.microsoft.com/office/spreadsheetml/2009/9/main" uri="{B025F937-C7B1-47D3-B67F-A62EFF666E3E}">
          <x14:id>{362596EE-1D44-4A60-AE9B-9B964AE3CFCF}</x14:id>
        </ext>
      </extLst>
    </cfRule>
  </conditionalFormatting>
  <conditionalFormatting sqref="C3:D3 D4:D12">
    <cfRule type="dataBar" priority="7">
      <dataBar>
        <cfvo type="min"/>
        <cfvo type="max"/>
        <color rgb="FF008AEF"/>
      </dataBar>
      <extLst>
        <ext xmlns:x14="http://schemas.microsoft.com/office/spreadsheetml/2009/9/main" uri="{B025F937-C7B1-47D3-B67F-A62EFF666E3E}">
          <x14:id>{ED167159-3AD0-4DBC-92DB-5F76B7E40B48}</x14:id>
        </ext>
      </extLst>
    </cfRule>
  </conditionalFormatting>
  <conditionalFormatting sqref="C4:D4">
    <cfRule type="dataBar" priority="8">
      <dataBar>
        <cfvo type="min"/>
        <cfvo type="max"/>
        <color rgb="FF008AEF"/>
      </dataBar>
      <extLst>
        <ext xmlns:x14="http://schemas.microsoft.com/office/spreadsheetml/2009/9/main" uri="{B025F937-C7B1-47D3-B67F-A62EFF666E3E}">
          <x14:id>{0A803B8E-756D-4681-9C94-EEB829C26B45}</x14:id>
        </ext>
      </extLst>
    </cfRule>
  </conditionalFormatting>
  <conditionalFormatting sqref="C5:D5">
    <cfRule type="dataBar" priority="9">
      <dataBar>
        <cfvo type="min"/>
        <cfvo type="max"/>
        <color rgb="FF008AEF"/>
      </dataBar>
      <extLst>
        <ext xmlns:x14="http://schemas.microsoft.com/office/spreadsheetml/2009/9/main" uri="{B025F937-C7B1-47D3-B67F-A62EFF666E3E}">
          <x14:id>{B884B3CB-1DB9-42FB-A8D0-D94482AA2977}</x14:id>
        </ext>
      </extLst>
    </cfRule>
  </conditionalFormatting>
  <conditionalFormatting sqref="C6:D6">
    <cfRule type="dataBar" priority="10">
      <dataBar>
        <cfvo type="min"/>
        <cfvo type="max"/>
        <color rgb="FF008AEF"/>
      </dataBar>
      <extLst>
        <ext xmlns:x14="http://schemas.microsoft.com/office/spreadsheetml/2009/9/main" uri="{B025F937-C7B1-47D3-B67F-A62EFF666E3E}">
          <x14:id>{62E3C5B5-959F-4EB9-B285-92F6D0769047}</x14:id>
        </ext>
      </extLst>
    </cfRule>
  </conditionalFormatting>
  <conditionalFormatting sqref="C7:D7">
    <cfRule type="dataBar" priority="11">
      <dataBar>
        <cfvo type="min"/>
        <cfvo type="max"/>
        <color rgb="FF008AEF"/>
      </dataBar>
      <extLst>
        <ext xmlns:x14="http://schemas.microsoft.com/office/spreadsheetml/2009/9/main" uri="{B025F937-C7B1-47D3-B67F-A62EFF666E3E}">
          <x14:id>{F1BB435B-E88D-4746-AB16-C86BD8108D0F}</x14:id>
        </ext>
      </extLst>
    </cfRule>
  </conditionalFormatting>
  <conditionalFormatting sqref="C8:D8">
    <cfRule type="dataBar" priority="12">
      <dataBar>
        <cfvo type="min"/>
        <cfvo type="max"/>
        <color rgb="FF008AEF"/>
      </dataBar>
      <extLst>
        <ext xmlns:x14="http://schemas.microsoft.com/office/spreadsheetml/2009/9/main" uri="{B025F937-C7B1-47D3-B67F-A62EFF666E3E}">
          <x14:id>{AE9894C5-4144-41F0-814C-E8A4DB2B0578}</x14:id>
        </ext>
      </extLst>
    </cfRule>
  </conditionalFormatting>
  <conditionalFormatting sqref="C9:D9">
    <cfRule type="dataBar" priority="13">
      <dataBar>
        <cfvo type="min"/>
        <cfvo type="max"/>
        <color rgb="FF008AEF"/>
      </dataBar>
      <extLst>
        <ext xmlns:x14="http://schemas.microsoft.com/office/spreadsheetml/2009/9/main" uri="{B025F937-C7B1-47D3-B67F-A62EFF666E3E}">
          <x14:id>{DB773B07-A937-42FC-8726-AFC2B9517945}</x14:id>
        </ext>
      </extLst>
    </cfRule>
  </conditionalFormatting>
  <conditionalFormatting sqref="C11:D11">
    <cfRule type="dataBar" priority="1">
      <dataBar>
        <cfvo type="min"/>
        <cfvo type="max"/>
        <color rgb="FF008AEF"/>
      </dataBar>
      <extLst>
        <ext xmlns:x14="http://schemas.microsoft.com/office/spreadsheetml/2009/9/main" uri="{B025F937-C7B1-47D3-B67F-A62EFF666E3E}">
          <x14:id>{B1C9B5B6-3591-4B4C-86BE-49D043ECA695}</x14:id>
        </ext>
      </extLst>
    </cfRule>
  </conditionalFormatting>
  <conditionalFormatting sqref="C12:D12">
    <cfRule type="dataBar" priority="3">
      <dataBar>
        <cfvo type="min"/>
        <cfvo type="max"/>
        <color rgb="FF008AEF"/>
      </dataBar>
      <extLst>
        <ext xmlns:x14="http://schemas.microsoft.com/office/spreadsheetml/2009/9/main" uri="{B025F937-C7B1-47D3-B67F-A62EFF666E3E}">
          <x14:id>{8832A2E2-29B6-4AFE-9005-CF874279F6F8}</x14:id>
        </ext>
      </extLst>
    </cfRule>
  </conditionalFormatting>
  <conditionalFormatting sqref="C13:D13">
    <cfRule type="dataBar" priority="15">
      <dataBar>
        <cfvo type="min"/>
        <cfvo type="max"/>
        <color rgb="FF008AEF"/>
      </dataBar>
      <extLst>
        <ext xmlns:x14="http://schemas.microsoft.com/office/spreadsheetml/2009/9/main" uri="{B025F937-C7B1-47D3-B67F-A62EFF666E3E}">
          <x14:id>{0D1E50E5-3FCE-4A5E-B1A7-6BA9566A6562}</x14:id>
        </ext>
      </extLst>
    </cfRule>
  </conditionalFormatting>
  <conditionalFormatting sqref="C14:D14">
    <cfRule type="dataBar" priority="42">
      <dataBar>
        <cfvo type="min"/>
        <cfvo type="max"/>
        <color rgb="FF008AEF"/>
      </dataBar>
      <extLst>
        <ext xmlns:x14="http://schemas.microsoft.com/office/spreadsheetml/2009/9/main" uri="{B025F937-C7B1-47D3-B67F-A62EFF666E3E}">
          <x14:id>{0339C248-24F9-4F7D-82BF-D171485D7F49}</x14:id>
        </ext>
      </extLst>
    </cfRule>
  </conditionalFormatting>
  <conditionalFormatting sqref="C15:D15">
    <cfRule type="dataBar" priority="41">
      <dataBar>
        <cfvo type="min"/>
        <cfvo type="max"/>
        <color rgb="FF008AEF"/>
      </dataBar>
      <extLst>
        <ext xmlns:x14="http://schemas.microsoft.com/office/spreadsheetml/2009/9/main" uri="{B025F937-C7B1-47D3-B67F-A62EFF666E3E}">
          <x14:id>{C78505D9-4BF7-4B3B-A6BA-71E1E521D0FB}</x14:id>
        </ext>
      </extLst>
    </cfRule>
  </conditionalFormatting>
  <conditionalFormatting sqref="C16:D16">
    <cfRule type="dataBar" priority="40">
      <dataBar>
        <cfvo type="min"/>
        <cfvo type="max"/>
        <color rgb="FF008AEF"/>
      </dataBar>
      <extLst>
        <ext xmlns:x14="http://schemas.microsoft.com/office/spreadsheetml/2009/9/main" uri="{B025F937-C7B1-47D3-B67F-A62EFF666E3E}">
          <x14:id>{45FBE163-0468-4CDA-8BE9-CF43587CA617}</x14:id>
        </ext>
      </extLst>
    </cfRule>
  </conditionalFormatting>
  <conditionalFormatting sqref="C17:D17">
    <cfRule type="dataBar" priority="39">
      <dataBar>
        <cfvo type="min"/>
        <cfvo type="max"/>
        <color rgb="FF008AEF"/>
      </dataBar>
      <extLst>
        <ext xmlns:x14="http://schemas.microsoft.com/office/spreadsheetml/2009/9/main" uri="{B025F937-C7B1-47D3-B67F-A62EFF666E3E}">
          <x14:id>{329335C1-998B-4B14-A553-0B4135A956BA}</x14:id>
        </ext>
      </extLst>
    </cfRule>
  </conditionalFormatting>
  <conditionalFormatting sqref="C18:D18">
    <cfRule type="dataBar" priority="38">
      <dataBar>
        <cfvo type="min"/>
        <cfvo type="max"/>
        <color rgb="FF008AEF"/>
      </dataBar>
      <extLst>
        <ext xmlns:x14="http://schemas.microsoft.com/office/spreadsheetml/2009/9/main" uri="{B025F937-C7B1-47D3-B67F-A62EFF666E3E}">
          <x14:id>{C9F63079-9319-4238-A649-8AC5BF05B2CB}</x14:id>
        </ext>
      </extLst>
    </cfRule>
  </conditionalFormatting>
  <conditionalFormatting sqref="C19:D19">
    <cfRule type="dataBar" priority="37">
      <dataBar>
        <cfvo type="min"/>
        <cfvo type="max"/>
        <color rgb="FF008AEF"/>
      </dataBar>
      <extLst>
        <ext xmlns:x14="http://schemas.microsoft.com/office/spreadsheetml/2009/9/main" uri="{B025F937-C7B1-47D3-B67F-A62EFF666E3E}">
          <x14:id>{7BC1D410-6081-4218-BF8D-FFD80CD1056C}</x14:id>
        </ext>
      </extLst>
    </cfRule>
  </conditionalFormatting>
  <conditionalFormatting sqref="C20:D20">
    <cfRule type="dataBar" priority="36">
      <dataBar>
        <cfvo type="min"/>
        <cfvo type="max"/>
        <color rgb="FF008AEF"/>
      </dataBar>
      <extLst>
        <ext xmlns:x14="http://schemas.microsoft.com/office/spreadsheetml/2009/9/main" uri="{B025F937-C7B1-47D3-B67F-A62EFF666E3E}">
          <x14:id>{A8776A26-C4E3-4DFF-BFCA-174419010987}</x14:id>
        </ext>
      </extLst>
    </cfRule>
  </conditionalFormatting>
  <conditionalFormatting sqref="C21:D21">
    <cfRule type="dataBar" priority="35">
      <dataBar>
        <cfvo type="min"/>
        <cfvo type="max"/>
        <color rgb="FF008AEF"/>
      </dataBar>
      <extLst>
        <ext xmlns:x14="http://schemas.microsoft.com/office/spreadsheetml/2009/9/main" uri="{B025F937-C7B1-47D3-B67F-A62EFF666E3E}">
          <x14:id>{2238D1DA-1BD5-417C-9A8E-D45A790AB657}</x14:id>
        </ext>
      </extLst>
    </cfRule>
  </conditionalFormatting>
  <conditionalFormatting sqref="C22:D22">
    <cfRule type="dataBar" priority="34">
      <dataBar>
        <cfvo type="min"/>
        <cfvo type="max"/>
        <color rgb="FF008AEF"/>
      </dataBar>
      <extLst>
        <ext xmlns:x14="http://schemas.microsoft.com/office/spreadsheetml/2009/9/main" uri="{B025F937-C7B1-47D3-B67F-A62EFF666E3E}">
          <x14:id>{9F115DAB-B5AE-45F5-B608-CE586A67D6AB}</x14:id>
        </ext>
      </extLst>
    </cfRule>
  </conditionalFormatting>
  <conditionalFormatting sqref="C23:D23">
    <cfRule type="dataBar" priority="33">
      <dataBar>
        <cfvo type="min"/>
        <cfvo type="max"/>
        <color rgb="FF008AEF"/>
      </dataBar>
      <extLst>
        <ext xmlns:x14="http://schemas.microsoft.com/office/spreadsheetml/2009/9/main" uri="{B025F937-C7B1-47D3-B67F-A62EFF666E3E}">
          <x14:id>{2F145EA8-CE43-4A64-A4A6-B863E833A81F}</x14:id>
        </ext>
      </extLst>
    </cfRule>
  </conditionalFormatting>
  <conditionalFormatting sqref="C24:D24">
    <cfRule type="dataBar" priority="32">
      <dataBar>
        <cfvo type="min"/>
        <cfvo type="max"/>
        <color rgb="FF008AEF"/>
      </dataBar>
      <extLst>
        <ext xmlns:x14="http://schemas.microsoft.com/office/spreadsheetml/2009/9/main" uri="{B025F937-C7B1-47D3-B67F-A62EFF666E3E}">
          <x14:id>{90DE7EBC-803D-43F7-BB55-AD98859FED6B}</x14:id>
        </ext>
      </extLst>
    </cfRule>
  </conditionalFormatting>
  <conditionalFormatting sqref="C25:D25">
    <cfRule type="dataBar" priority="31">
      <dataBar>
        <cfvo type="min"/>
        <cfvo type="max"/>
        <color rgb="FF008AEF"/>
      </dataBar>
      <extLst>
        <ext xmlns:x14="http://schemas.microsoft.com/office/spreadsheetml/2009/9/main" uri="{B025F937-C7B1-47D3-B67F-A62EFF666E3E}">
          <x14:id>{1270720A-69D0-41DC-A872-FA64A4D3F8B7}</x14:id>
        </ext>
      </extLst>
    </cfRule>
  </conditionalFormatting>
  <conditionalFormatting sqref="C26:D26">
    <cfRule type="dataBar" priority="30">
      <dataBar>
        <cfvo type="min"/>
        <cfvo type="max"/>
        <color rgb="FF008AEF"/>
      </dataBar>
      <extLst>
        <ext xmlns:x14="http://schemas.microsoft.com/office/spreadsheetml/2009/9/main" uri="{B025F937-C7B1-47D3-B67F-A62EFF666E3E}">
          <x14:id>{E7B89B0B-D786-421A-A596-3C75F70D2A99}</x14:id>
        </ext>
      </extLst>
    </cfRule>
  </conditionalFormatting>
  <conditionalFormatting sqref="C27:D27">
    <cfRule type="dataBar" priority="29">
      <dataBar>
        <cfvo type="min"/>
        <cfvo type="max"/>
        <color rgb="FF008AEF"/>
      </dataBar>
      <extLst>
        <ext xmlns:x14="http://schemas.microsoft.com/office/spreadsheetml/2009/9/main" uri="{B025F937-C7B1-47D3-B67F-A62EFF666E3E}">
          <x14:id>{8A390242-B6D8-4D92-8E69-C3874C146E35}</x14:id>
        </ext>
      </extLst>
    </cfRule>
  </conditionalFormatting>
  <conditionalFormatting sqref="C28:D28">
    <cfRule type="dataBar" priority="28">
      <dataBar>
        <cfvo type="min"/>
        <cfvo type="max"/>
        <color rgb="FF008AEF"/>
      </dataBar>
      <extLst>
        <ext xmlns:x14="http://schemas.microsoft.com/office/spreadsheetml/2009/9/main" uri="{B025F937-C7B1-47D3-B67F-A62EFF666E3E}">
          <x14:id>{831F4151-085F-4372-8A5E-1CD2AB7E8DED}</x14:id>
        </ext>
      </extLst>
    </cfRule>
  </conditionalFormatting>
  <conditionalFormatting sqref="C29:D29">
    <cfRule type="dataBar" priority="27">
      <dataBar>
        <cfvo type="min"/>
        <cfvo type="max"/>
        <color rgb="FF008AEF"/>
      </dataBar>
      <extLst>
        <ext xmlns:x14="http://schemas.microsoft.com/office/spreadsheetml/2009/9/main" uri="{B025F937-C7B1-47D3-B67F-A62EFF666E3E}">
          <x14:id>{FE4ED672-6F59-4EE3-9BC3-6D1AE24F2F91}</x14:id>
        </ext>
      </extLst>
    </cfRule>
  </conditionalFormatting>
  <conditionalFormatting sqref="C30:D30">
    <cfRule type="dataBar" priority="26">
      <dataBar>
        <cfvo type="min"/>
        <cfvo type="max"/>
        <color rgb="FF008AEF"/>
      </dataBar>
      <extLst>
        <ext xmlns:x14="http://schemas.microsoft.com/office/spreadsheetml/2009/9/main" uri="{B025F937-C7B1-47D3-B67F-A62EFF666E3E}">
          <x14:id>{1F0457E4-FB1B-45B0-A182-CE9783170947}</x14:id>
        </ext>
      </extLst>
    </cfRule>
  </conditionalFormatting>
  <conditionalFormatting sqref="C31:D31">
    <cfRule type="dataBar" priority="25">
      <dataBar>
        <cfvo type="min"/>
        <cfvo type="max"/>
        <color rgb="FF008AEF"/>
      </dataBar>
      <extLst>
        <ext xmlns:x14="http://schemas.microsoft.com/office/spreadsheetml/2009/9/main" uri="{B025F937-C7B1-47D3-B67F-A62EFF666E3E}">
          <x14:id>{D1570F34-7A1F-4AB7-B315-0FE51ECC890D}</x14:id>
        </ext>
      </extLst>
    </cfRule>
  </conditionalFormatting>
  <conditionalFormatting sqref="C32:D32">
    <cfRule type="dataBar" priority="24">
      <dataBar>
        <cfvo type="min"/>
        <cfvo type="max"/>
        <color rgb="FF008AEF"/>
      </dataBar>
      <extLst>
        <ext xmlns:x14="http://schemas.microsoft.com/office/spreadsheetml/2009/9/main" uri="{B025F937-C7B1-47D3-B67F-A62EFF666E3E}">
          <x14:id>{31FF76AE-A969-4093-B4A0-F16CBEDF36DA}</x14:id>
        </ext>
      </extLst>
    </cfRule>
  </conditionalFormatting>
  <conditionalFormatting sqref="C33:D33">
    <cfRule type="dataBar" priority="23">
      <dataBar>
        <cfvo type="min"/>
        <cfvo type="max"/>
        <color rgb="FF008AEF"/>
      </dataBar>
      <extLst>
        <ext xmlns:x14="http://schemas.microsoft.com/office/spreadsheetml/2009/9/main" uri="{B025F937-C7B1-47D3-B67F-A62EFF666E3E}">
          <x14:id>{1FA388F6-5019-4606-8001-9AF109FD4CBC}</x14:id>
        </ext>
      </extLst>
    </cfRule>
  </conditionalFormatting>
  <conditionalFormatting sqref="C34:D34">
    <cfRule type="dataBar" priority="22">
      <dataBar>
        <cfvo type="min"/>
        <cfvo type="max"/>
        <color rgb="FF008AEF"/>
      </dataBar>
      <extLst>
        <ext xmlns:x14="http://schemas.microsoft.com/office/spreadsheetml/2009/9/main" uri="{B025F937-C7B1-47D3-B67F-A62EFF666E3E}">
          <x14:id>{7C3D86C2-77C3-4C7F-A688-3DCBC7E0CF45}</x14:id>
        </ext>
      </extLst>
    </cfRule>
  </conditionalFormatting>
  <conditionalFormatting sqref="C35:D35">
    <cfRule type="dataBar" priority="21">
      <dataBar>
        <cfvo type="min"/>
        <cfvo type="max"/>
        <color rgb="FF008AEF"/>
      </dataBar>
      <extLst>
        <ext xmlns:x14="http://schemas.microsoft.com/office/spreadsheetml/2009/9/main" uri="{B025F937-C7B1-47D3-B67F-A62EFF666E3E}">
          <x14:id>{95714B0B-F87B-4B83-8CA6-EAAFCACE68C4}</x14:id>
        </ext>
      </extLst>
    </cfRule>
  </conditionalFormatting>
  <conditionalFormatting sqref="C36:D36">
    <cfRule type="dataBar" priority="20">
      <dataBar>
        <cfvo type="min"/>
        <cfvo type="max"/>
        <color rgb="FF008AEF"/>
      </dataBar>
      <extLst>
        <ext xmlns:x14="http://schemas.microsoft.com/office/spreadsheetml/2009/9/main" uri="{B025F937-C7B1-47D3-B67F-A62EFF666E3E}">
          <x14:id>{C1D6BF5A-C9A6-41CB-B8E4-428C7401B141}</x14:id>
        </ext>
      </extLst>
    </cfRule>
  </conditionalFormatting>
  <conditionalFormatting sqref="C37:D37">
    <cfRule type="dataBar" priority="19">
      <dataBar>
        <cfvo type="min"/>
        <cfvo type="max"/>
        <color rgb="FF008AEF"/>
      </dataBar>
      <extLst>
        <ext xmlns:x14="http://schemas.microsoft.com/office/spreadsheetml/2009/9/main" uri="{B025F937-C7B1-47D3-B67F-A62EFF666E3E}">
          <x14:id>{6AAABB24-8F62-4404-917D-0479D4C6C20D}</x14:id>
        </ext>
      </extLst>
    </cfRule>
  </conditionalFormatting>
  <conditionalFormatting sqref="C38:D38">
    <cfRule type="dataBar" priority="18">
      <dataBar>
        <cfvo type="min"/>
        <cfvo type="max"/>
        <color rgb="FF008AEF"/>
      </dataBar>
      <extLst>
        <ext xmlns:x14="http://schemas.microsoft.com/office/spreadsheetml/2009/9/main" uri="{B025F937-C7B1-47D3-B67F-A62EFF666E3E}">
          <x14:id>{77E5E5A4-C061-4524-9063-E226002884B1}</x14:id>
        </ext>
      </extLst>
    </cfRule>
  </conditionalFormatting>
  <conditionalFormatting sqref="C39:D39">
    <cfRule type="dataBar" priority="17">
      <dataBar>
        <cfvo type="min"/>
        <cfvo type="max"/>
        <color rgb="FF008AEF"/>
      </dataBar>
      <extLst>
        <ext xmlns:x14="http://schemas.microsoft.com/office/spreadsheetml/2009/9/main" uri="{B025F937-C7B1-47D3-B67F-A62EFF666E3E}">
          <x14:id>{67D7EDAB-C80F-4BDC-B9DA-F24A68DCD33A}</x14:id>
        </ext>
      </extLst>
    </cfRule>
  </conditionalFormatting>
  <conditionalFormatting sqref="C40:D40">
    <cfRule type="dataBar" priority="16">
      <dataBar>
        <cfvo type="min"/>
        <cfvo type="max"/>
        <color rgb="FF008AEF"/>
      </dataBar>
      <extLst>
        <ext xmlns:x14="http://schemas.microsoft.com/office/spreadsheetml/2009/9/main" uri="{B025F937-C7B1-47D3-B67F-A62EFF666E3E}">
          <x14:id>{A48F59E2-A476-4C6D-9D5A-915A832C4FA2}</x14:id>
        </ext>
      </extLst>
    </cfRule>
  </conditionalFormatting>
  <conditionalFormatting sqref="E3:F36 E37:O40">
    <cfRule type="cellIs" dxfId="4" priority="5" operator="greaterThan">
      <formula>0</formula>
    </cfRule>
  </conditionalFormatting>
  <conditionalFormatting sqref="G13:O36">
    <cfRule type="cellIs" dxfId="3" priority="14" operator="greaterThan">
      <formula>0</formula>
    </cfRule>
  </conditionalFormatting>
  <conditionalFormatting sqref="G3:P12">
    <cfRule type="cellIs" dxfId="2" priority="6"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362596EE-1D44-4A60-AE9B-9B964AE3CFCF}">
            <x14:dataBar minLength="0" maxLength="100" gradient="0">
              <x14:cfvo type="autoMin"/>
              <x14:cfvo type="autoMax"/>
              <x14:negativeFillColor rgb="FFFF0000"/>
              <x14:axisColor rgb="FF000000"/>
            </x14:dataBar>
          </x14:cfRule>
          <xm:sqref>C10</xm:sqref>
        </x14:conditionalFormatting>
        <x14:conditionalFormatting xmlns:xm="http://schemas.microsoft.com/office/excel/2006/main">
          <x14:cfRule type="dataBar" id="{ED167159-3AD0-4DBC-92DB-5F76B7E40B48}">
            <x14:dataBar minLength="0" maxLength="100" gradient="0">
              <x14:cfvo type="autoMin"/>
              <x14:cfvo type="autoMax"/>
              <x14:negativeFillColor rgb="FFFF0000"/>
              <x14:axisColor rgb="FF000000"/>
            </x14:dataBar>
          </x14:cfRule>
          <xm:sqref>C3:D3 D4:D12</xm:sqref>
        </x14:conditionalFormatting>
        <x14:conditionalFormatting xmlns:xm="http://schemas.microsoft.com/office/excel/2006/main">
          <x14:cfRule type="dataBar" id="{0A803B8E-756D-4681-9C94-EEB829C26B45}">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B884B3CB-1DB9-42FB-A8D0-D94482AA2977}">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62E3C5B5-959F-4EB9-B285-92F6D0769047}">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F1BB435B-E88D-4746-AB16-C86BD8108D0F}">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AE9894C5-4144-41F0-814C-E8A4DB2B0578}">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DB773B07-A937-42FC-8726-AFC2B9517945}">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B1C9B5B6-3591-4B4C-86BE-49D043ECA695}">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8832A2E2-29B6-4AFE-9005-CF874279F6F8}">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0D1E50E5-3FCE-4A5E-B1A7-6BA9566A6562}">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0339C248-24F9-4F7D-82BF-D171485D7F49}">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C78505D9-4BF7-4B3B-A6BA-71E1E521D0FB}">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45FBE163-0468-4CDA-8BE9-CF43587CA617}">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329335C1-998B-4B14-A553-0B4135A956BA}">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C9F63079-9319-4238-A649-8AC5BF05B2CB}">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7BC1D410-6081-4218-BF8D-FFD80CD1056C}">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A8776A26-C4E3-4DFF-BFCA-174419010987}">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2238D1DA-1BD5-417C-9A8E-D45A790AB657}">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9F115DAB-B5AE-45F5-B608-CE586A67D6AB}">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2F145EA8-CE43-4A64-A4A6-B863E833A81F}">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90DE7EBC-803D-43F7-BB55-AD98859FED6B}">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1270720A-69D0-41DC-A872-FA64A4D3F8B7}">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E7B89B0B-D786-421A-A596-3C75F70D2A99}">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8A390242-B6D8-4D92-8E69-C3874C146E35}">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831F4151-085F-4372-8A5E-1CD2AB7E8DED}">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FE4ED672-6F59-4EE3-9BC3-6D1AE24F2F91}">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1F0457E4-FB1B-45B0-A182-CE9783170947}">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D1570F34-7A1F-4AB7-B315-0FE51ECC890D}">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31FF76AE-A969-4093-B4A0-F16CBEDF36DA}">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1FA388F6-5019-4606-8001-9AF109FD4CBC}">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7C3D86C2-77C3-4C7F-A688-3DCBC7E0CF45}">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95714B0B-F87B-4B83-8CA6-EAAFCACE68C4}">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C1D6BF5A-C9A6-41CB-B8E4-428C7401B141}">
            <x14:dataBar minLength="0" maxLength="100" gradient="0">
              <x14:cfvo type="autoMin"/>
              <x14:cfvo type="autoMax"/>
              <x14:negativeFillColor rgb="FFFF0000"/>
              <x14:axisColor rgb="FF000000"/>
            </x14:dataBar>
          </x14:cfRule>
          <xm:sqref>C36:D36</xm:sqref>
        </x14:conditionalFormatting>
        <x14:conditionalFormatting xmlns:xm="http://schemas.microsoft.com/office/excel/2006/main">
          <x14:cfRule type="dataBar" id="{6AAABB24-8F62-4404-917D-0479D4C6C20D}">
            <x14:dataBar minLength="0" maxLength="100" gradient="0">
              <x14:cfvo type="autoMin"/>
              <x14:cfvo type="autoMax"/>
              <x14:negativeFillColor rgb="FFFF0000"/>
              <x14:axisColor rgb="FF000000"/>
            </x14:dataBar>
          </x14:cfRule>
          <xm:sqref>C37:D37</xm:sqref>
        </x14:conditionalFormatting>
        <x14:conditionalFormatting xmlns:xm="http://schemas.microsoft.com/office/excel/2006/main">
          <x14:cfRule type="dataBar" id="{77E5E5A4-C061-4524-9063-E226002884B1}">
            <x14:dataBar minLength="0" maxLength="100" gradient="0">
              <x14:cfvo type="autoMin"/>
              <x14:cfvo type="autoMax"/>
              <x14:negativeFillColor rgb="FFFF0000"/>
              <x14:axisColor rgb="FF000000"/>
            </x14:dataBar>
          </x14:cfRule>
          <xm:sqref>C38:D38</xm:sqref>
        </x14:conditionalFormatting>
        <x14:conditionalFormatting xmlns:xm="http://schemas.microsoft.com/office/excel/2006/main">
          <x14:cfRule type="dataBar" id="{67D7EDAB-C80F-4BDC-B9DA-F24A68DCD33A}">
            <x14:dataBar minLength="0" maxLength="100" gradient="0">
              <x14:cfvo type="autoMin"/>
              <x14:cfvo type="autoMax"/>
              <x14:negativeFillColor rgb="FFFF0000"/>
              <x14:axisColor rgb="FF000000"/>
            </x14:dataBar>
          </x14:cfRule>
          <xm:sqref>C39:D39</xm:sqref>
        </x14:conditionalFormatting>
        <x14:conditionalFormatting xmlns:xm="http://schemas.microsoft.com/office/excel/2006/main">
          <x14:cfRule type="dataBar" id="{A48F59E2-A476-4C6D-9D5A-915A832C4FA2}">
            <x14:dataBar minLength="0" maxLength="100" gradient="0">
              <x14:cfvo type="autoMin"/>
              <x14:cfvo type="autoMax"/>
              <x14:negativeFillColor rgb="FFFF0000"/>
              <x14:axisColor rgb="FF000000"/>
            </x14:dataBar>
          </x14:cfRule>
          <xm:sqref>C40:D40</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E6"/>
  <sheetViews>
    <sheetView tabSelected="1" workbookViewId="0">
      <selection activeCell="G5" sqref="G5"/>
    </sheetView>
  </sheetViews>
  <sheetFormatPr baseColWidth="10" defaultRowHeight="15" x14ac:dyDescent="0.25"/>
  <cols>
    <col min="1" max="1" width="11.28515625" customWidth="1"/>
    <col min="2" max="2" width="24" customWidth="1"/>
    <col min="3" max="3" width="11.85546875" bestFit="1" customWidth="1"/>
  </cols>
  <sheetData>
    <row r="1" spans="1:5" x14ac:dyDescent="0.25">
      <c r="A1" s="49" t="s">
        <v>40</v>
      </c>
      <c r="B1" s="49"/>
      <c r="C1" s="18" t="s">
        <v>2</v>
      </c>
      <c r="D1" s="18" t="s">
        <v>49</v>
      </c>
      <c r="E1" s="18" t="s">
        <v>82</v>
      </c>
    </row>
    <row r="2" spans="1:5" x14ac:dyDescent="0.25">
      <c r="A2" s="16" t="s">
        <v>46</v>
      </c>
      <c r="B2" s="25" t="s">
        <v>42</v>
      </c>
      <c r="C2" s="19">
        <f>'D58 Sarapiquí'!C37</f>
        <v>412</v>
      </c>
      <c r="D2" s="24">
        <f>'D58 Sarapiquí'!D37</f>
        <v>164</v>
      </c>
      <c r="E2" s="43">
        <f>D2/C2</f>
        <v>0.39805825242718446</v>
      </c>
    </row>
    <row r="3" spans="1:5" x14ac:dyDescent="0.25">
      <c r="A3" s="16" t="s">
        <v>47</v>
      </c>
      <c r="B3" s="25" t="s">
        <v>43</v>
      </c>
      <c r="C3" s="20">
        <f>'D89 Pococí Sur'!C39</f>
        <v>303</v>
      </c>
      <c r="D3" s="20">
        <f>'D89 Pococí Sur'!D39</f>
        <v>136</v>
      </c>
      <c r="E3" s="43">
        <f>D3/C3</f>
        <v>0.44884488448844884</v>
      </c>
    </row>
    <row r="4" spans="1:5" x14ac:dyDescent="0.25">
      <c r="A4" s="16" t="s">
        <v>41</v>
      </c>
      <c r="B4" s="25" t="s">
        <v>44</v>
      </c>
      <c r="C4" s="19">
        <f>'D93 Guácimo'!C38</f>
        <v>306</v>
      </c>
      <c r="D4" s="24">
        <f>'D93 Guácimo'!D38</f>
        <v>103</v>
      </c>
      <c r="E4" s="43">
        <f>D4/C4</f>
        <v>0.33660130718954251</v>
      </c>
    </row>
    <row r="5" spans="1:5" x14ac:dyDescent="0.25">
      <c r="A5" s="16" t="s">
        <v>48</v>
      </c>
      <c r="B5" s="25" t="s">
        <v>45</v>
      </c>
      <c r="C5" s="19">
        <f>'D98 Pococí Norte'!C41</f>
        <v>269</v>
      </c>
      <c r="D5" s="24">
        <f>'D98 Pococí Norte'!D41</f>
        <v>97</v>
      </c>
      <c r="E5" s="43">
        <f>D5/C5</f>
        <v>0.36059479553903345</v>
      </c>
    </row>
    <row r="6" spans="1:5" x14ac:dyDescent="0.25">
      <c r="B6" s="17" t="s">
        <v>50</v>
      </c>
      <c r="C6" s="21">
        <f>SUM(C2:C5)</f>
        <v>1290</v>
      </c>
      <c r="D6" s="42">
        <f>SUM(D2:D5)</f>
        <v>500</v>
      </c>
      <c r="E6" s="43">
        <f>D6/C6</f>
        <v>0.38759689922480622</v>
      </c>
    </row>
  </sheetData>
  <sheetProtection autoFilter="0"/>
  <mergeCells count="1">
    <mergeCell ref="A1:B1"/>
  </mergeCells>
  <conditionalFormatting sqref="C2:D2">
    <cfRule type="dataBar" priority="17">
      <dataBar>
        <cfvo type="min"/>
        <cfvo type="max"/>
        <color rgb="FF008AEF"/>
      </dataBar>
      <extLst>
        <ext xmlns:x14="http://schemas.microsoft.com/office/spreadsheetml/2009/9/main" uri="{B025F937-C7B1-47D3-B67F-A62EFF666E3E}">
          <x14:id>{C2508644-D3BB-44AB-9CC2-9D5D6778FEF6}</x14:id>
        </ext>
      </extLst>
    </cfRule>
  </conditionalFormatting>
  <conditionalFormatting sqref="C3:D3">
    <cfRule type="dataBar" priority="16">
      <dataBar>
        <cfvo type="min"/>
        <cfvo type="max"/>
        <color rgb="FF008AEF"/>
      </dataBar>
      <extLst>
        <ext xmlns:x14="http://schemas.microsoft.com/office/spreadsheetml/2009/9/main" uri="{B025F937-C7B1-47D3-B67F-A62EFF666E3E}">
          <x14:id>{4DE11653-F9F6-47DD-830F-BBB86E465914}</x14:id>
        </ext>
      </extLst>
    </cfRule>
  </conditionalFormatting>
  <conditionalFormatting sqref="C4:D4">
    <cfRule type="dataBar" priority="15">
      <dataBar>
        <cfvo type="min"/>
        <cfvo type="max"/>
        <color rgb="FF008AEF"/>
      </dataBar>
      <extLst>
        <ext xmlns:x14="http://schemas.microsoft.com/office/spreadsheetml/2009/9/main" uri="{B025F937-C7B1-47D3-B67F-A62EFF666E3E}">
          <x14:id>{F23D9466-7971-43F2-9949-85A71F572CA3}</x14:id>
        </ext>
      </extLst>
    </cfRule>
  </conditionalFormatting>
  <conditionalFormatting sqref="C5:D5">
    <cfRule type="dataBar" priority="14">
      <dataBar>
        <cfvo type="min"/>
        <cfvo type="max"/>
        <color rgb="FF008AEF"/>
      </dataBar>
      <extLst>
        <ext xmlns:x14="http://schemas.microsoft.com/office/spreadsheetml/2009/9/main" uri="{B025F937-C7B1-47D3-B67F-A62EFF666E3E}">
          <x14:id>{D3C6F343-8372-465D-B933-7E3E9DB571D7}</x14:id>
        </ext>
      </extLst>
    </cfRule>
  </conditionalFormatting>
  <conditionalFormatting sqref="E2:E6">
    <cfRule type="cellIs" dxfId="1" priority="1" operator="greaterThan">
      <formula>0.2499</formula>
    </cfRule>
    <cfRule type="cellIs" dxfId="0" priority="2" operator="lessThan">
      <formula>0.24999999</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C2508644-D3BB-44AB-9CC2-9D5D6778FEF6}">
            <x14:dataBar minLength="0" maxLength="100" gradient="0">
              <x14:cfvo type="autoMin"/>
              <x14:cfvo type="autoMax"/>
              <x14:negativeFillColor rgb="FFFF0000"/>
              <x14:axisColor rgb="FF000000"/>
            </x14:dataBar>
          </x14:cfRule>
          <xm:sqref>C2:D2</xm:sqref>
        </x14:conditionalFormatting>
        <x14:conditionalFormatting xmlns:xm="http://schemas.microsoft.com/office/excel/2006/main">
          <x14:cfRule type="dataBar" id="{4DE11653-F9F6-47DD-830F-BBB86E465914}">
            <x14:dataBar minLength="0" maxLength="100" gradient="0">
              <x14:cfvo type="autoMin"/>
              <x14:cfvo type="autoMax"/>
              <x14:negativeFillColor rgb="FFFF0000"/>
              <x14:axisColor rgb="FF000000"/>
            </x14:dataBar>
          </x14:cfRule>
          <xm:sqref>C3:D3</xm:sqref>
        </x14:conditionalFormatting>
        <x14:conditionalFormatting xmlns:xm="http://schemas.microsoft.com/office/excel/2006/main">
          <x14:cfRule type="dataBar" id="{F23D9466-7971-43F2-9949-85A71F572CA3}">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D3C6F343-8372-465D-B933-7E3E9DB571D7}">
            <x14:dataBar minLength="0" maxLength="100" gradient="0">
              <x14:cfvo type="autoMin"/>
              <x14:cfvo type="autoMax"/>
              <x14:negativeFillColor rgb="FFFF0000"/>
              <x14:axisColor rgb="FF000000"/>
            </x14:dataBar>
          </x14:cfRule>
          <xm:sqref>C5:D5</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D58 Sarapiquí</vt:lpstr>
      <vt:lpstr>D89 Pococí Sur</vt:lpstr>
      <vt:lpstr>D93 Guácimo</vt:lpstr>
      <vt:lpstr>D98 Pococí Norte</vt:lpstr>
      <vt:lpstr>Total Región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Manuel Alb Cartin</dc:creator>
  <cp:lastModifiedBy>Manuel Alberto Cartin Sequeira</cp:lastModifiedBy>
  <dcterms:created xsi:type="dcterms:W3CDTF">2025-07-06T21:04:36Z</dcterms:created>
  <dcterms:modified xsi:type="dcterms:W3CDTF">2026-06-20T01:27:52Z</dcterms:modified>
</cp:coreProperties>
</file>