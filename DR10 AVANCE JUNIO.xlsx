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23C35FC5-6F2E-437B-A86F-98C728C77515}" xr6:coauthVersionLast="47" xr6:coauthVersionMax="47" xr10:uidLastSave="{00000000-0000-0000-0000-000000000000}"/>
  <bookViews>
    <workbookView xWindow="-120" yWindow="-120" windowWidth="29040" windowHeight="15720" activeTab="4" xr2:uid="{00000000-000D-0000-FFFF-FFFF00000000}"/>
  </bookViews>
  <sheets>
    <sheet name="D94 Golfito" sheetId="1" r:id="rId1"/>
    <sheet name="D95 Coto Brus" sheetId="2" r:id="rId2"/>
    <sheet name="D96 Corredores" sheetId="4" r:id="rId3"/>
    <sheet name="D97 Puerto Jiménez" sheetId="5" r:id="rId4"/>
    <sheet name="Total Región" sheetId="6" r:id="rId5"/>
  </sheets>
  <externalReferences>
    <externalReference r:id="rId6"/>
    <externalReference r:id="rId7"/>
    <externalReference r:id="rId8"/>
    <externalReference r:id="rId9"/>
  </externalReferences>
  <definedNames>
    <definedName name="ABANG" localSheetId="2">[1]DAT2!#REF!</definedName>
    <definedName name="ABANG" localSheetId="3">[2]DAT2!#REF!</definedName>
    <definedName name="ABANG" localSheetId="4">[3]DAT2!#REF!</definedName>
    <definedName name="ABANG">[4]DAT2!#REF!</definedName>
    <definedName name="ACOS" localSheetId="2">[1]DAT2!#REF!</definedName>
    <definedName name="ACOS" localSheetId="3">[2]DAT2!#REF!</definedName>
    <definedName name="ACOS" localSheetId="4">[3]DAT2!#REF!</definedName>
    <definedName name="ACOS">[4]DAT2!#REF!</definedName>
    <definedName name="ALAJU" localSheetId="2">[1]DAT2!#REF!</definedName>
    <definedName name="ALAJU" localSheetId="3">[2]DAT2!#REF!</definedName>
    <definedName name="ALAJU" localSheetId="4">[3]DAT2!#REF!</definedName>
    <definedName name="ALAJU">[4]DAT2!#REF!</definedName>
    <definedName name="ALAJUE" localSheetId="2">[1]DAT2!#REF!</definedName>
    <definedName name="ALAJUE" localSheetId="3">[2]DAT2!#REF!</definedName>
    <definedName name="ALAJUE" localSheetId="4">[3]DAT2!#REF!</definedName>
    <definedName name="ALAJUE">[4]DAT2!#REF!</definedName>
    <definedName name="ALVA" localSheetId="2">[1]DAT2!#REF!</definedName>
    <definedName name="ALVA" localSheetId="3">[2]DAT2!#REF!</definedName>
    <definedName name="ALVA" localSheetId="4">[3]DAT2!#REF!</definedName>
    <definedName name="ALVA">[4]DAT2!#REF!</definedName>
    <definedName name="ASERR" localSheetId="2">[1]DAT2!#REF!</definedName>
    <definedName name="ASERR" localSheetId="3">[2]DAT2!#REF!</definedName>
    <definedName name="ASERR" localSheetId="4">[3]DAT2!#REF!</definedName>
    <definedName name="ASERR">[4]DAT2!#REF!</definedName>
    <definedName name="ATE" localSheetId="2">[1]DAT2!#REF!</definedName>
    <definedName name="ATE" localSheetId="3">[2]DAT2!#REF!</definedName>
    <definedName name="ATE" localSheetId="4">[3]DAT2!#REF!</definedName>
    <definedName name="ATE">[4]DAT2!#REF!</definedName>
    <definedName name="BAGAC" localSheetId="2">[1]DAT2!#REF!</definedName>
    <definedName name="BAGAC" localSheetId="3">[2]DAT2!#REF!</definedName>
    <definedName name="BAGAC" localSheetId="4">[3]DAT2!#REF!</definedName>
    <definedName name="BAGAC">[4]DAT2!#REF!</definedName>
    <definedName name="BARV" localSheetId="2">[1]DAT2!#REF!</definedName>
    <definedName name="BARV" localSheetId="3">[2]DAT2!#REF!</definedName>
    <definedName name="BARV" localSheetId="4">[3]DAT2!#REF!</definedName>
    <definedName name="BARV">[4]DAT2!#REF!</definedName>
    <definedName name="BEL" localSheetId="2">[1]DAT2!#REF!</definedName>
    <definedName name="BEL" localSheetId="3">[2]DAT2!#REF!</definedName>
    <definedName name="BEL" localSheetId="4">[3]DAT2!#REF!</definedName>
    <definedName name="BEL">[4]DAT2!#REF!</definedName>
    <definedName name="BUEN" localSheetId="2">[1]DAT2!#REF!</definedName>
    <definedName name="BUEN" localSheetId="3">[2]DAT2!#REF!</definedName>
    <definedName name="BUEN" localSheetId="4">[3]DAT2!#REF!</definedName>
    <definedName name="BUEN">[4]DAT2!#REF!</definedName>
    <definedName name="CANTÓNN">[4]!Tabla103[#All]</definedName>
    <definedName name="CAÑ" localSheetId="2">[1]DAT2!#REF!</definedName>
    <definedName name="CAÑ" localSheetId="3">[2]DAT2!#REF!</definedName>
    <definedName name="CAÑ" localSheetId="4">[3]DAT2!#REF!</definedName>
    <definedName name="CAÑ">[4]DAT2!#REF!</definedName>
    <definedName name="CARR" localSheetId="2">[1]DAT2!#REF!</definedName>
    <definedName name="CARR" localSheetId="3">[2]DAT2!#REF!</definedName>
    <definedName name="CARR" localSheetId="4">[3]DAT2!#REF!</definedName>
    <definedName name="CARR">[4]DAT2!#REF!</definedName>
    <definedName name="CARTAG" localSheetId="2">[1]DAT2!#REF!</definedName>
    <definedName name="CARTAG" localSheetId="3">[2]DAT2!#REF!</definedName>
    <definedName name="CARTAG" localSheetId="4">[3]DAT2!#REF!</definedName>
    <definedName name="CARTAG">[4]DAT2!#REF!</definedName>
    <definedName name="CORR" localSheetId="2">[1]DAT2!#REF!</definedName>
    <definedName name="CORR" localSheetId="3">[2]DAT2!#REF!</definedName>
    <definedName name="CORR" localSheetId="4">[3]DAT2!#REF!</definedName>
    <definedName name="CORR">[4]DAT2!#REF!</definedName>
    <definedName name="COTB" localSheetId="2">[1]DAT2!#REF!</definedName>
    <definedName name="COTB" localSheetId="3">[2]DAT2!#REF!</definedName>
    <definedName name="COTB" localSheetId="4">[3]DAT2!#REF!</definedName>
    <definedName name="COTB">[4]DAT2!#REF!</definedName>
    <definedName name="CURRI" localSheetId="2">[1]DAT2!#REF!</definedName>
    <definedName name="CURRI" localSheetId="3">[2]DAT2!#REF!</definedName>
    <definedName name="CURRI" localSheetId="4">[3]DAT2!#REF!</definedName>
    <definedName name="CURRI">[4]DAT2!#REF!</definedName>
    <definedName name="DESAMP" localSheetId="2">[1]DAT2!#REF!</definedName>
    <definedName name="DESAMP" localSheetId="3">[2]DAT2!#REF!</definedName>
    <definedName name="DESAMP" localSheetId="4">[3]DAT2!#REF!</definedName>
    <definedName name="DESAMP">[4]DAT2!#REF!</definedName>
    <definedName name="DISTRI" localSheetId="1">#REF!</definedName>
    <definedName name="DISTRI" localSheetId="2">#REF!</definedName>
    <definedName name="DISTRI" localSheetId="3">#REF!</definedName>
    <definedName name="DISTRI" localSheetId="4">#REF!</definedName>
    <definedName name="DISTRI">#REF!</definedName>
    <definedName name="DOTA" localSheetId="2">[1]DAT2!#REF!</definedName>
    <definedName name="DOTA" localSheetId="3">[2]DAT2!#REF!</definedName>
    <definedName name="DOTA" localSheetId="4">[3]DAT2!#REF!</definedName>
    <definedName name="DOTA">[4]DAT2!#REF!</definedName>
    <definedName name="ELGUA" localSheetId="2">[1]DAT2!#REF!</definedName>
    <definedName name="ELGUA" localSheetId="3">[2]DAT2!#REF!</definedName>
    <definedName name="ELGUA" localSheetId="4">[3]DAT2!#REF!</definedName>
    <definedName name="ELGUA">[4]DAT2!#REF!</definedName>
    <definedName name="ESCAZ" localSheetId="2">[1]DAT2!#REF!</definedName>
    <definedName name="ESCAZ" localSheetId="3">[2]DAT2!#REF!</definedName>
    <definedName name="ESCAZ" localSheetId="4">[3]DAT2!#REF!</definedName>
    <definedName name="ESCAZ">[4]DAT2!#REF!</definedName>
    <definedName name="ESPA" localSheetId="2">[1]DAT2!#REF!</definedName>
    <definedName name="ESPA" localSheetId="3">[2]DAT2!#REF!</definedName>
    <definedName name="ESPA" localSheetId="4">[3]DAT2!#REF!</definedName>
    <definedName name="ESPA">[4]DAT2!#REF!</definedName>
    <definedName name="FLOR" localSheetId="2">[1]DAT2!#REF!</definedName>
    <definedName name="FLOR" localSheetId="3">[2]DAT2!#REF!</definedName>
    <definedName name="FLOR" localSheetId="4">[3]DAT2!#REF!</definedName>
    <definedName name="FLOR">[4]DAT2!#REF!</definedName>
    <definedName name="GARAB" localSheetId="2">[1]DAT2!#REF!</definedName>
    <definedName name="GARAB" localSheetId="3">[2]DAT2!#REF!</definedName>
    <definedName name="GARAB" localSheetId="4">[3]DAT2!#REF!</definedName>
    <definedName name="GARAB">[4]DAT2!#REF!</definedName>
    <definedName name="GOIC" localSheetId="2">[1]DAT2!#REF!</definedName>
    <definedName name="GOIC" localSheetId="3">[2]DAT2!#REF!</definedName>
    <definedName name="GOIC" localSheetId="4">[3]DAT2!#REF!</definedName>
    <definedName name="GOIC">[4]DAT2!#REF!</definedName>
    <definedName name="GOLF" localSheetId="2">[1]DAT2!#REF!</definedName>
    <definedName name="GOLF" localSheetId="3">[2]DAT2!#REF!</definedName>
    <definedName name="GOLF" localSheetId="4">[3]DAT2!#REF!</definedName>
    <definedName name="GOLF">[4]DAT2!#REF!</definedName>
    <definedName name="GREC" localSheetId="2">[1]DAT2!#REF!</definedName>
    <definedName name="GREC" localSheetId="3">[2]DAT2!#REF!</definedName>
    <definedName name="GREC" localSheetId="4">[3]DAT2!#REF!</definedName>
    <definedName name="GREC">[4]DAT2!#REF!</definedName>
    <definedName name="GUAC" localSheetId="2">[1]DAT2!#REF!</definedName>
    <definedName name="GUAC" localSheetId="3">[2]DAT2!#REF!</definedName>
    <definedName name="GUAC" localSheetId="4">[3]DAT2!#REF!</definedName>
    <definedName name="GUAC">[4]DAT2!#REF!</definedName>
    <definedName name="GUATU" localSheetId="2">[1]DAT2!#REF!</definedName>
    <definedName name="GUATU" localSheetId="3">[2]DAT2!#REF!</definedName>
    <definedName name="GUATU" localSheetId="4">[3]DAT2!#REF!</definedName>
    <definedName name="GUATU">[4]DAT2!#REF!</definedName>
    <definedName name="HERED" localSheetId="2">[1]DAT2!#REF!</definedName>
    <definedName name="HERED" localSheetId="3">[2]DAT2!#REF!</definedName>
    <definedName name="HERED" localSheetId="4">[3]DAT2!#REF!</definedName>
    <definedName name="HERED">[4]DAT2!#REF!</definedName>
    <definedName name="HOJA" localSheetId="2">[1]DAT2!#REF!</definedName>
    <definedName name="HOJA" localSheetId="3">[2]DAT2!#REF!</definedName>
    <definedName name="HOJA" localSheetId="4">[3]DAT2!#REF!</definedName>
    <definedName name="HOJA">[4]DAT2!#REF!</definedName>
    <definedName name="JE">[4]!Tabla103[#All]</definedName>
    <definedName name="jes">[4]!Tabla103[#All]</definedName>
    <definedName name="JIME" localSheetId="2">[1]DAT2!#REF!</definedName>
    <definedName name="JIME" localSheetId="3">[2]DAT2!#REF!</definedName>
    <definedName name="JIME" localSheetId="4">[3]DAT2!#REF!</definedName>
    <definedName name="JIME">[4]DAT2!#REF!</definedName>
    <definedName name="LACRU" localSheetId="2">[1]DAT2!#REF!</definedName>
    <definedName name="LACRU" localSheetId="3">[2]DAT2!#REF!</definedName>
    <definedName name="LACRU" localSheetId="4">[3]DAT2!#REF!</definedName>
    <definedName name="LACRU">[4]DAT2!#REF!</definedName>
    <definedName name="LAUN" localSheetId="2">[1]DAT2!#REF!</definedName>
    <definedName name="LAUN" localSheetId="3">[2]DAT2!#REF!</definedName>
    <definedName name="LAUN" localSheetId="4">[3]DAT2!#REF!</definedName>
    <definedName name="LAUN">[4]DAT2!#REF!</definedName>
    <definedName name="LEO" localSheetId="2">[1]DAT1!#REF!</definedName>
    <definedName name="LEO" localSheetId="3">[2]DAT1!#REF!</definedName>
    <definedName name="LEO" localSheetId="4">[3]DAT1!#REF!</definedName>
    <definedName name="LEO">[4]DAT1!#REF!</definedName>
    <definedName name="LIB" localSheetId="2">[1]DAT2!#REF!</definedName>
    <definedName name="LIB" localSheetId="3">[2]DAT2!#REF!</definedName>
    <definedName name="LIB" localSheetId="4">[3]DAT2!#REF!</definedName>
    <definedName name="LIB">[4]DAT2!#REF!</definedName>
    <definedName name="LIM" localSheetId="2">[1]DAT2!#REF!</definedName>
    <definedName name="LIM" localSheetId="3">[2]DAT2!#REF!</definedName>
    <definedName name="LIM" localSheetId="4">[3]DAT2!#REF!</definedName>
    <definedName name="LIM">[4]DAT2!#REF!</definedName>
    <definedName name="LOSCHI" localSheetId="2">[1]DAT2!#REF!</definedName>
    <definedName name="LOSCHI" localSheetId="3">[2]DAT2!#REF!</definedName>
    <definedName name="LOSCHI" localSheetId="4">[3]DAT2!#REF!</definedName>
    <definedName name="LOSCHI">[4]DAT2!#REF!</definedName>
    <definedName name="MAT" localSheetId="2">[1]DAT2!#REF!</definedName>
    <definedName name="MAT" localSheetId="3">[2]DAT2!#REF!</definedName>
    <definedName name="MAT" localSheetId="4">[3]DAT2!#REF!</definedName>
    <definedName name="MAT">[4]DAT2!#REF!</definedName>
    <definedName name="MONTEV" localSheetId="2">[1]DAT2!#REF!</definedName>
    <definedName name="MONTEV" localSheetId="3">[2]DAT2!#REF!</definedName>
    <definedName name="MONTEV" localSheetId="4">[3]DAT2!#REF!</definedName>
    <definedName name="MONTEV">[4]DAT2!#REF!</definedName>
    <definedName name="MONTOC" localSheetId="2">[1]DAT2!#REF!</definedName>
    <definedName name="MONTOC" localSheetId="3">[2]DAT2!#REF!</definedName>
    <definedName name="MONTOC" localSheetId="4">[3]DAT2!#REF!</definedName>
    <definedName name="MONTOC">[4]DAT2!#REF!</definedName>
    <definedName name="MONTOR" localSheetId="2">[1]DAT2!#REF!</definedName>
    <definedName name="MONTOR" localSheetId="3">[2]DAT2!#REF!</definedName>
    <definedName name="MONTOR" localSheetId="4">[3]DAT2!#REF!</definedName>
    <definedName name="MONTOR">[4]DAT2!#REF!</definedName>
    <definedName name="MOR" localSheetId="2">[1]DAT2!#REF!</definedName>
    <definedName name="MOR" localSheetId="3">[2]DAT2!#REF!</definedName>
    <definedName name="MOR" localSheetId="4">[3]DAT2!#REF!</definedName>
    <definedName name="MOR">[4]DAT2!#REF!</definedName>
    <definedName name="MORAV" localSheetId="2">[1]DAT2!#REF!</definedName>
    <definedName name="MORAV" localSheetId="3">[2]DAT2!#REF!</definedName>
    <definedName name="MORAV" localSheetId="4">[3]DAT2!#REF!</definedName>
    <definedName name="MORAV">[4]DAT2!#REF!</definedName>
    <definedName name="NAND" localSheetId="2">[1]DAT2!#REF!</definedName>
    <definedName name="NAND" localSheetId="3">[2]DAT2!#REF!</definedName>
    <definedName name="NAND" localSheetId="4">[3]DAT2!#REF!</definedName>
    <definedName name="NAND">[4]DAT2!#REF!</definedName>
    <definedName name="NARA" localSheetId="2">[1]DAT2!#REF!</definedName>
    <definedName name="NARA" localSheetId="3">[2]DAT2!#REF!</definedName>
    <definedName name="NARA" localSheetId="4">[3]DAT2!#REF!</definedName>
    <definedName name="NARA">[4]DAT2!#REF!</definedName>
    <definedName name="NICO" localSheetId="2">[1]DAT2!#REF!</definedName>
    <definedName name="NICO" localSheetId="3">[2]DAT2!#REF!</definedName>
    <definedName name="NICO" localSheetId="4">[3]DAT2!#REF!</definedName>
    <definedName name="NICO">[4]DAT2!#REF!</definedName>
    <definedName name="OREAMU" localSheetId="2">[1]DAT2!#REF!</definedName>
    <definedName name="OREAMU" localSheetId="3">[2]DAT2!#REF!</definedName>
    <definedName name="OREAMU" localSheetId="4">[3]DAT2!#REF!</definedName>
    <definedName name="OREAMU">[4]DAT2!#REF!</definedName>
    <definedName name="OROT" localSheetId="2">[1]DAT2!#REF!</definedName>
    <definedName name="OROT" localSheetId="3">[2]DAT2!#REF!</definedName>
    <definedName name="OROT" localSheetId="4">[3]DAT2!#REF!</definedName>
    <definedName name="OROT">[4]DAT2!#REF!</definedName>
    <definedName name="OSA" localSheetId="2">[1]DAT2!#REF!</definedName>
    <definedName name="OSA" localSheetId="3">[2]DAT2!#REF!</definedName>
    <definedName name="OSA" localSheetId="4">[3]DAT2!#REF!</definedName>
    <definedName name="OSA">[4]DAT2!#REF!</definedName>
    <definedName name="PALMA" localSheetId="2">[1]DAT2!#REF!</definedName>
    <definedName name="PALMA" localSheetId="3">[2]DAT2!#REF!</definedName>
    <definedName name="PALMA" localSheetId="4">[3]DAT2!#REF!</definedName>
    <definedName name="PALMA">[4]DAT2!#REF!</definedName>
    <definedName name="PARA" localSheetId="2">[1]DAT2!#REF!</definedName>
    <definedName name="PARA" localSheetId="3">[2]DAT2!#REF!</definedName>
    <definedName name="PARA" localSheetId="4">[3]DAT2!#REF!</definedName>
    <definedName name="PARA">[4]DAT2!#REF!</definedName>
    <definedName name="PARR" localSheetId="2">[1]DAT2!#REF!</definedName>
    <definedName name="PARR" localSheetId="3">[2]DAT2!#REF!</definedName>
    <definedName name="PARR" localSheetId="4">[3]DAT2!#REF!</definedName>
    <definedName name="PARR">[4]DAT2!#REF!</definedName>
    <definedName name="POA" localSheetId="2">[1]DAT2!#REF!</definedName>
    <definedName name="POA" localSheetId="3">[2]DAT2!#REF!</definedName>
    <definedName name="POA" localSheetId="4">[3]DAT2!#REF!</definedName>
    <definedName name="POA">[4]DAT2!#REF!</definedName>
    <definedName name="POCOC" localSheetId="2">[1]DAT2!#REF!</definedName>
    <definedName name="POCOC" localSheetId="3">[2]DAT2!#REF!</definedName>
    <definedName name="POCOC" localSheetId="4">[3]DAT2!#REF!</definedName>
    <definedName name="POCOC">[4]DAT2!#REF!</definedName>
    <definedName name="PUERTOJ" localSheetId="2">[1]DAT2!#REF!</definedName>
    <definedName name="PUERTOJ" localSheetId="3">[2]DAT2!#REF!</definedName>
    <definedName name="PUERTOJ" localSheetId="4">[3]DAT2!#REF!</definedName>
    <definedName name="PUERTOJ">[4]DAT2!#REF!</definedName>
    <definedName name="PUNTAR" localSheetId="2">[1]DAT2!#REF!</definedName>
    <definedName name="PUNTAR" localSheetId="3">[2]DAT2!#REF!</definedName>
    <definedName name="PUNTAR" localSheetId="4">[3]DAT2!#REF!</definedName>
    <definedName name="PUNTAR">[4]DAT2!#REF!</definedName>
    <definedName name="PURIS" localSheetId="2">[1]DAT2!#REF!</definedName>
    <definedName name="PURIS" localSheetId="3">[2]DAT2!#REF!</definedName>
    <definedName name="PURIS" localSheetId="4">[3]DAT2!#REF!</definedName>
    <definedName name="PURIS">[4]DAT2!#REF!</definedName>
    <definedName name="PZ" localSheetId="2">[1]DAT2!#REF!</definedName>
    <definedName name="PZ" localSheetId="3">[2]DAT2!#REF!</definedName>
    <definedName name="PZ" localSheetId="4">[3]DAT2!#REF!</definedName>
    <definedName name="PZ">[4]DAT2!#REF!</definedName>
    <definedName name="QUEP" localSheetId="2">[1]DAT2!#REF!</definedName>
    <definedName name="QUEP" localSheetId="3">[2]DAT2!#REF!</definedName>
    <definedName name="QUEP" localSheetId="4">[3]DAT2!#REF!</definedName>
    <definedName name="QUEP">[4]DAT2!#REF!</definedName>
    <definedName name="RIOCU" localSheetId="2">[1]DAT2!#REF!</definedName>
    <definedName name="RIOCU" localSheetId="3">[2]DAT2!#REF!</definedName>
    <definedName name="RIOCU" localSheetId="4">[3]DAT2!#REF!</definedName>
    <definedName name="RIOCU">[4]DAT2!#REF!</definedName>
    <definedName name="SANCAR" localSheetId="2">[1]DAT2!#REF!</definedName>
    <definedName name="SANCAR" localSheetId="3">[2]DAT2!#REF!</definedName>
    <definedName name="SANCAR" localSheetId="4">[3]DAT2!#REF!</definedName>
    <definedName name="SANCAR">[4]DAT2!#REF!</definedName>
    <definedName name="SANISI" localSheetId="2">[1]DAT2!#REF!</definedName>
    <definedName name="SANISI" localSheetId="3">[2]DAT2!#REF!</definedName>
    <definedName name="SANISI" localSheetId="4">[3]DAT2!#REF!</definedName>
    <definedName name="SANISI">[4]DAT2!#REF!</definedName>
    <definedName name="SANMAT" localSheetId="2">[1]DAT2!#REF!</definedName>
    <definedName name="SANMAT" localSheetId="3">[2]DAT2!#REF!</definedName>
    <definedName name="SANMAT" localSheetId="4">[3]DAT2!#REF!</definedName>
    <definedName name="SANMAT">[4]DAT2!#REF!</definedName>
    <definedName name="SANPA" localSheetId="2">[1]DAT2!#REF!</definedName>
    <definedName name="SANPA" localSheetId="3">[2]DAT2!#REF!</definedName>
    <definedName name="SANPA" localSheetId="4">[3]DAT2!#REF!</definedName>
    <definedName name="SANPA">[4]DAT2!#REF!</definedName>
    <definedName name="SANRA" localSheetId="2">[1]DAT2!#REF!</definedName>
    <definedName name="SANRA" localSheetId="3">[2]DAT2!#REF!</definedName>
    <definedName name="SANRA" localSheetId="4">[3]DAT2!#REF!</definedName>
    <definedName name="SANRA">[4]DAT2!#REF!</definedName>
    <definedName name="SANRAF" localSheetId="2">[1]DAT2!#REF!</definedName>
    <definedName name="SANRAF" localSheetId="3">[2]DAT2!#REF!</definedName>
    <definedName name="SANRAF" localSheetId="4">[3]DAT2!#REF!</definedName>
    <definedName name="SANRAF">[4]DAT2!#REF!</definedName>
    <definedName name="SANTA" localSheetId="2">[1]DAT2!#REF!</definedName>
    <definedName name="SANTA" localSheetId="3">[2]DAT2!#REF!</definedName>
    <definedName name="SANTA" localSheetId="4">[3]DAT2!#REF!</definedName>
    <definedName name="SANTA">[4]DAT2!#REF!</definedName>
    <definedName name="SANTABA" localSheetId="2">[1]DAT2!#REF!</definedName>
    <definedName name="SANTABA" localSheetId="3">[2]DAT2!#REF!</definedName>
    <definedName name="SANTABA" localSheetId="4">[3]DAT2!#REF!</definedName>
    <definedName name="SANTABA">[4]DAT2!#REF!</definedName>
    <definedName name="SANTACRU" localSheetId="2">[1]DAT2!#REF!</definedName>
    <definedName name="SANTACRU" localSheetId="3">[2]DAT2!#REF!</definedName>
    <definedName name="SANTACRU" localSheetId="4">[3]DAT2!#REF!</definedName>
    <definedName name="SANTACRU">[4]DAT2!#REF!</definedName>
    <definedName name="SANTODO" localSheetId="2">[1]DAT2!#REF!</definedName>
    <definedName name="SANTODO" localSheetId="3">[2]DAT2!#REF!</definedName>
    <definedName name="SANTODO" localSheetId="4">[3]DAT2!#REF!</definedName>
    <definedName name="SANTODO">[4]DAT2!#REF!</definedName>
    <definedName name="SAR" localSheetId="2">[1]DAT2!#REF!</definedName>
    <definedName name="SAR" localSheetId="3">[2]DAT2!#REF!</definedName>
    <definedName name="SAR" localSheetId="4">[3]DAT2!#REF!</definedName>
    <definedName name="SAR">[4]DAT2!#REF!</definedName>
    <definedName name="SARAP" localSheetId="2">[1]DAT2!#REF!</definedName>
    <definedName name="SARAP" localSheetId="3">[2]DAT2!#REF!</definedName>
    <definedName name="SARAP" localSheetId="4">[3]DAT2!#REF!</definedName>
    <definedName name="SARAP">[4]DAT2!#REF!</definedName>
    <definedName name="SIQUIRR" localSheetId="2">[1]DAT2!#REF!</definedName>
    <definedName name="SIQUIRR" localSheetId="3">[2]DAT2!#REF!</definedName>
    <definedName name="SIQUIRR" localSheetId="4">[3]DAT2!#REF!</definedName>
    <definedName name="SIQUIRR">[4]DAT2!#REF!</definedName>
    <definedName name="TALAMA" localSheetId="2">[1]DAT2!#REF!</definedName>
    <definedName name="TALAMA" localSheetId="3">[2]DAT2!#REF!</definedName>
    <definedName name="TALAMA" localSheetId="4">[3]DAT2!#REF!</definedName>
    <definedName name="TALAMA">[4]DAT2!#REF!</definedName>
    <definedName name="TARRAZ" localSheetId="2">[1]DAT2!#REF!</definedName>
    <definedName name="TARRAZ" localSheetId="3">[2]DAT2!#REF!</definedName>
    <definedName name="TARRAZ" localSheetId="4">[3]DAT2!#REF!</definedName>
    <definedName name="TARRAZ">[4]DAT2!#REF!</definedName>
    <definedName name="TIB" localSheetId="2">[1]DAT2!#REF!</definedName>
    <definedName name="TIB" localSheetId="3">[2]DAT2!#REF!</definedName>
    <definedName name="TIB" localSheetId="4">[3]DAT2!#REF!</definedName>
    <definedName name="TIB">[4]DAT2!#REF!</definedName>
    <definedName name="TILAR" localSheetId="2">[1]DAT2!#REF!</definedName>
    <definedName name="TILAR" localSheetId="3">[2]DAT2!#REF!</definedName>
    <definedName name="TILAR" localSheetId="4">[3]DAT2!#REF!</definedName>
    <definedName name="TILAR">[4]DAT2!#REF!</definedName>
    <definedName name="TURR" localSheetId="2">[1]DAT2!#REF!</definedName>
    <definedName name="TURR" localSheetId="3">[2]DAT2!#REF!</definedName>
    <definedName name="TURR" localSheetId="4">[3]DAT2!#REF!</definedName>
    <definedName name="TURR">[4]DAT2!#REF!</definedName>
    <definedName name="TURRI" localSheetId="2">[1]DAT2!#REF!</definedName>
    <definedName name="TURRI" localSheetId="3">[2]DAT2!#REF!</definedName>
    <definedName name="TURRI" localSheetId="4">[3]DAT2!#REF!</definedName>
    <definedName name="TURRI">[4]DAT2!#REF!</definedName>
    <definedName name="U">[4]!Tabla103[#All]</definedName>
    <definedName name="UPA" localSheetId="2">[1]DAT2!#REF!</definedName>
    <definedName name="UPA" localSheetId="3">[2]DAT2!#REF!</definedName>
    <definedName name="UPA" localSheetId="4">[3]DAT2!#REF!</definedName>
    <definedName name="UPA">[4]DAT2!#REF!</definedName>
    <definedName name="uu">[4]!Tabla103[#All]</definedName>
    <definedName name="uum">[4]!Tabla103[#All]</definedName>
    <definedName name="uuu">[4]!Tabla103[#All]</definedName>
    <definedName name="VASQUE" localSheetId="2">[1]DAT2!#REF!</definedName>
    <definedName name="VASQUE" localSheetId="3">[2]DAT2!#REF!</definedName>
    <definedName name="VASQUE" localSheetId="4">[3]DAT2!#REF!</definedName>
    <definedName name="VASQUE">[4]DAT2!#REF!</definedName>
    <definedName name="ZAR" localSheetId="2">[1]DAT2!#REF!</definedName>
    <definedName name="ZAR" localSheetId="3">[2]DAT2!#REF!</definedName>
    <definedName name="ZAR" localSheetId="4">[3]DAT2!#REF!</definedName>
    <definedName name="ZAR">[4]DAT2!#REF!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9" i="5" l="1"/>
  <c r="C5" i="6" s="1"/>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7" i="4"/>
  <c r="C4" i="6" s="1"/>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40" i="2"/>
  <c r="C3" i="6" s="1"/>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4" i="1"/>
  <c r="C2" i="6" s="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40" i="2" l="1"/>
  <c r="D3" i="6" s="1"/>
  <c r="E3" i="6" s="1"/>
  <c r="C6" i="6"/>
  <c r="D39" i="5"/>
  <c r="D37" i="4"/>
  <c r="D34" i="1"/>
  <c r="D40" i="5" l="1"/>
  <c r="D5" i="6"/>
  <c r="E5" i="6" s="1"/>
  <c r="D38" i="4"/>
  <c r="D4" i="6"/>
  <c r="E4" i="6" s="1"/>
  <c r="D41" i="2"/>
  <c r="D35" i="1"/>
  <c r="D2" i="6"/>
  <c r="E2" i="6" l="1"/>
  <c r="D6" i="6"/>
  <c r="E6" i="6" s="1"/>
</calcChain>
</file>

<file path=xl/sharedStrings.xml><?xml version="1.0" encoding="utf-8"?>
<sst xmlns="http://schemas.openxmlformats.org/spreadsheetml/2006/main" count="249" uniqueCount="81">
  <si>
    <t>D94 GOLFITO</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</si>
  <si>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</si>
  <si>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</si>
  <si>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</si>
  <si>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</si>
  <si>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</si>
  <si>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</si>
  <si>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</si>
  <si>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</si>
  <si>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</si>
  <si>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</si>
  <si>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</si>
  <si>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</si>
  <si>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</si>
  <si>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</si>
  <si>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</si>
  <si>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</si>
  <si>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</si>
  <si>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</si>
  <si>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</si>
  <si>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</si>
  <si>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</si>
  <si>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</si>
  <si>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D95 COTO BRUS</t>
  </si>
  <si>
    <t>Realizar 4 procesos formativos (Cursos de la oferta de los programas DARE - GREAT - MPAS) en Centros Educativos, dos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</si>
  <si>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</si>
  <si>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 georreferenciadas del informe territorial de la Estrategia Sembremos Seguridad 2024, dos por año, una por semestre.</t>
  </si>
  <si>
    <t>Dos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</si>
  <si>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</si>
  <si>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Dos capacitaciones, en el tema de "Denuncia a búnkers",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</si>
  <si>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</si>
  <si>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Dos capacitaciones, en el tema de Denuncia, dirigidas a las comunidades integradas al Programa de Seguridad Comunitaria, que se localicen, en los distritos que contemplan las área georreferenciadas del informe territorial de la Estrategia Sembremos Seguridad 2024, una por año.</t>
  </si>
  <si>
    <t>D96 CORREDORES</t>
  </si>
  <si>
    <t>Dos estrategias de divulgación (Por medio de brochures, post o imágenes en redes sociales) en el tema del procedimiento para realizar una "Denuncia de ventas de drogas"  dirigidas a las comunidades integradas al Programa de Seguridad Comunitaria, que se localicen, dentro del área georreferenciada del informe territorial de la Estrategia Sembremos Seguridad 2024, una por año.</t>
  </si>
  <si>
    <t>Cuatro capacitaciones, en el tema de "Denuncia a búnkers", dirigidas a las comunidades integradas al Programa de Seguridad Comunitaria, que se localicen, dentro del área georreferenciada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</si>
  <si>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dentro del área georreferenciada del informe territorial de la Estrategia Sembremos Seguridad 2024, una por año.</t>
  </si>
  <si>
    <t>D97 PUERTO JIMÉNEZ</t>
  </si>
  <si>
    <t>Realizar 2 procesos formativos (Cursos de la oferta de los programas DARE - GREAT - MPAS) en Centros Educativos, Uno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</si>
  <si>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</si>
  <si>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</si>
  <si>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Delegación</t>
  </si>
  <si>
    <t>D94</t>
  </si>
  <si>
    <t>D95</t>
  </si>
  <si>
    <t>D96</t>
  </si>
  <si>
    <t>D97</t>
  </si>
  <si>
    <t>GOLFITO</t>
  </si>
  <si>
    <t>COTO BRUS</t>
  </si>
  <si>
    <t>CORREDORES</t>
  </si>
  <si>
    <t>PUERTO JIMÉNEZ</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</si>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</sst>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sz val="11"/>
      <color theme="1"/>
      <name val="Aptos Narrow"/>
      <family val="2"/>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b/>
      <sz val="9"/>
      <name val="Arial"/>
      <family val="2"/>
    </font>
    <font>
      <sz val="11"/>
      <color theme="1"/>
      <name val="Aptos Narrow"/>
    </font>
  </fonts>
  <fills count="23">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rgb="FFDEEAF6"/>
        <bgColor rgb="FFDEEAF6"/>
      </patternFill>
    </fill>
    <fill>
      <patternFill patternType="solid">
        <fgColor rgb="FFE2EFD9"/>
        <bgColor rgb="FFE2EFD9"/>
      </patternFill>
    </fill>
    <fill>
      <patternFill patternType="solid">
        <fgColor rgb="FFFBE4D5"/>
        <bgColor rgb="FFFBE4D5"/>
      </patternFill>
    </fill>
    <fill>
      <patternFill patternType="solid">
        <fgColor rgb="FFDEEAF6"/>
        <bgColor indexed="64"/>
      </patternFill>
    </fill>
    <fill>
      <patternFill patternType="solid">
        <fgColor rgb="FFE2EFD9"/>
        <bgColor indexed="64"/>
      </patternFill>
    </fill>
    <fill>
      <patternFill patternType="solid">
        <fgColor theme="1"/>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4" tint="-0.499984740745262"/>
        <bgColor indexed="64"/>
      </patternFill>
    </fill>
    <fill>
      <patternFill patternType="solid">
        <fgColor theme="0" tint="-0.14999847407452621"/>
        <bgColor indexed="64"/>
      </patternFill>
    </fill>
  </fills>
  <borders count="17">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0">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9" borderId="8" xfId="0" applyFont="1" applyFill="1" applyBorder="1" applyAlignment="1">
      <alignment horizontal="left" vertical="center" wrapText="1"/>
    </xf>
    <xf numFmtId="0" fontId="4" fillId="10" borderId="8" xfId="0" applyFont="1" applyFill="1" applyBorder="1" applyAlignment="1">
      <alignment horizontal="left" vertical="center" wrapText="1"/>
    </xf>
    <xf numFmtId="0" fontId="4" fillId="11" borderId="8" xfId="0" applyFont="1" applyFill="1" applyBorder="1" applyAlignment="1">
      <alignment horizontal="left" vertical="center" wrapText="1"/>
    </xf>
    <xf numFmtId="0" fontId="6" fillId="0" borderId="0" xfId="0" applyFont="1"/>
    <xf numFmtId="0" fontId="7" fillId="12" borderId="4" xfId="0" applyFont="1" applyFill="1" applyBorder="1" applyAlignment="1">
      <alignment horizontal="left" vertical="center" wrapText="1"/>
    </xf>
    <xf numFmtId="0" fontId="4" fillId="12" borderId="7" xfId="0" applyFont="1" applyFill="1" applyBorder="1" applyAlignment="1">
      <alignment horizontal="left" vertical="center" wrapText="1"/>
    </xf>
    <xf numFmtId="0" fontId="4" fillId="13" borderId="7" xfId="0" applyFont="1" applyFill="1" applyBorder="1" applyAlignment="1">
      <alignment horizontal="left" vertical="center" wrapText="1"/>
    </xf>
    <xf numFmtId="0" fontId="4" fillId="7" borderId="7" xfId="0" applyFont="1" applyFill="1" applyBorder="1" applyAlignment="1">
      <alignment horizontal="left" vertical="center" wrapText="1"/>
    </xf>
    <xf numFmtId="0" fontId="2" fillId="15" borderId="7" xfId="0" applyFont="1" applyFill="1" applyBorder="1" applyAlignment="1">
      <alignment horizontal="center"/>
    </xf>
    <xf numFmtId="0" fontId="10" fillId="2" borderId="9" xfId="0" applyFont="1" applyFill="1" applyBorder="1"/>
    <xf numFmtId="0" fontId="8" fillId="14" borderId="0" xfId="0" applyFont="1" applyFill="1" applyAlignment="1">
      <alignment horizontal="center"/>
    </xf>
    <xf numFmtId="0" fontId="0" fillId="0" borderId="7" xfId="0" applyBorder="1" applyAlignment="1">
      <alignment horizontal="center"/>
    </xf>
    <xf numFmtId="1" fontId="0" fillId="0" borderId="7" xfId="0" applyNumberFormat="1" applyBorder="1" applyAlignment="1">
      <alignment horizontal="center"/>
    </xf>
    <xf numFmtId="0" fontId="1" fillId="2" borderId="0" xfId="0" applyFont="1" applyFill="1" applyAlignment="1">
      <alignment horizontal="center"/>
    </xf>
    <xf numFmtId="1" fontId="5" fillId="0" borderId="5" xfId="0" applyNumberFormat="1" applyFont="1" applyBorder="1" applyAlignment="1">
      <alignment horizontal="center" vertical="center" wrapText="1"/>
    </xf>
    <xf numFmtId="0" fontId="3" fillId="17" borderId="0" xfId="0" applyFont="1" applyFill="1" applyProtection="1">
      <protection locked="0"/>
    </xf>
    <xf numFmtId="0" fontId="5" fillId="18" borderId="7" xfId="0" applyFont="1" applyFill="1" applyBorder="1" applyAlignment="1">
      <alignment horizontal="center" vertical="center" textRotation="90" wrapText="1"/>
    </xf>
    <xf numFmtId="0" fontId="2" fillId="0" borderId="7" xfId="0" applyFont="1" applyBorder="1" applyAlignment="1" applyProtection="1">
      <alignment horizontal="center" vertical="center"/>
      <protection locked="0"/>
    </xf>
    <xf numFmtId="0" fontId="5" fillId="19" borderId="7" xfId="0" applyFont="1" applyFill="1" applyBorder="1" applyAlignment="1">
      <alignment horizontal="center" vertical="center" textRotation="90" wrapText="1"/>
    </xf>
    <xf numFmtId="0" fontId="5" fillId="6" borderId="6" xfId="0" applyFont="1" applyFill="1" applyBorder="1" applyAlignment="1">
      <alignment horizontal="center" vertical="center" wrapText="1"/>
    </xf>
    <xf numFmtId="0" fontId="5" fillId="20" borderId="7" xfId="0" applyFont="1" applyFill="1" applyBorder="1" applyAlignment="1">
      <alignment horizontal="center" vertical="center" textRotation="90" wrapText="1"/>
    </xf>
    <xf numFmtId="0" fontId="5" fillId="8"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21" borderId="12" xfId="0" applyFont="1" applyFill="1" applyBorder="1" applyAlignment="1">
      <alignment horizontal="left" vertical="center" wrapText="1"/>
    </xf>
    <xf numFmtId="0" fontId="0" fillId="0" borderId="7" xfId="0" applyBorder="1" applyProtection="1">
      <protection locked="0"/>
    </xf>
    <xf numFmtId="0" fontId="11" fillId="22" borderId="14" xfId="0" applyFont="1" applyFill="1" applyBorder="1" applyAlignment="1">
      <alignment horizontal="left" vertical="center" wrapText="1"/>
    </xf>
    <xf numFmtId="0" fontId="11" fillId="22" borderId="16" xfId="0" applyFont="1" applyFill="1" applyBorder="1" applyAlignment="1">
      <alignment horizontal="left" vertical="center" wrapText="1"/>
    </xf>
    <xf numFmtId="0" fontId="2" fillId="0" borderId="7" xfId="0" applyFont="1" applyBorder="1" applyAlignment="1" applyProtection="1">
      <alignment horizontal="center"/>
      <protection locked="0"/>
    </xf>
    <xf numFmtId="1" fontId="2" fillId="0" borderId="7" xfId="0" applyNumberFormat="1" applyFont="1" applyBorder="1" applyAlignment="1" applyProtection="1">
      <alignment horizontal="center" vertical="center"/>
      <protection locked="0"/>
    </xf>
    <xf numFmtId="0" fontId="2" fillId="0" borderId="0" xfId="0" applyFont="1" applyProtection="1">
      <protection locked="0"/>
    </xf>
    <xf numFmtId="10" fontId="1" fillId="21" borderId="0" xfId="0" applyNumberFormat="1" applyFont="1" applyFill="1" applyAlignment="1" applyProtection="1">
      <alignment horizontal="center"/>
      <protection locked="0"/>
    </xf>
    <xf numFmtId="0" fontId="2" fillId="16" borderId="0" xfId="0" applyFont="1" applyFill="1" applyAlignment="1">
      <alignment horizontal="center"/>
    </xf>
    <xf numFmtId="10" fontId="0" fillId="0" borderId="7" xfId="0" applyNumberFormat="1" applyBorder="1" applyAlignment="1">
      <alignment horizontal="center"/>
    </xf>
    <xf numFmtId="0" fontId="9" fillId="0" borderId="7" xfId="0" applyFont="1" applyFill="1" applyBorder="1"/>
    <xf numFmtId="0" fontId="12" fillId="0" borderId="0" xfId="0" applyFont="1"/>
    <xf numFmtId="0" fontId="1" fillId="2" borderId="1" xfId="0" applyFont="1" applyFill="1" applyBorder="1" applyAlignment="1">
      <alignment horizontal="center" vertical="center" textRotation="90"/>
    </xf>
    <xf numFmtId="0" fontId="1" fillId="2" borderId="10" xfId="0" applyFont="1" applyFill="1" applyBorder="1" applyAlignment="1">
      <alignment horizontal="center" vertical="center" textRotation="90"/>
    </xf>
    <xf numFmtId="0" fontId="5" fillId="4" borderId="11" xfId="0" applyFont="1" applyFill="1" applyBorder="1" applyAlignment="1">
      <alignment horizontal="center" vertical="center" textRotation="90" wrapText="1"/>
    </xf>
    <xf numFmtId="0" fontId="5" fillId="4" borderId="13" xfId="0" applyFont="1" applyFill="1" applyBorder="1" applyAlignment="1">
      <alignment horizontal="center" vertical="center" textRotation="90" wrapText="1"/>
    </xf>
    <xf numFmtId="0" fontId="5" fillId="4" borderId="15" xfId="0" applyFont="1" applyFill="1" applyBorder="1" applyAlignment="1">
      <alignment horizontal="center" vertical="center" textRotation="90" wrapText="1"/>
    </xf>
    <xf numFmtId="0" fontId="8" fillId="14" borderId="7" xfId="0" applyFont="1" applyFill="1" applyBorder="1" applyAlignment="1">
      <alignment horizontal="center"/>
    </xf>
  </cellXfs>
  <cellStyles count="1">
    <cellStyle name="Normal" xfId="0" builtinId="0"/>
  </cellStyles>
  <dxfs count="10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83CAEB"/>
          <bgColor rgb="FF83CAEB"/>
        </patternFill>
      </fill>
    </dxf>
    <dxf>
      <fill>
        <patternFill patternType="solid">
          <fgColor rgb="FFC1F0C8"/>
          <bgColor rgb="FFC1F0C8"/>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FAE2D5"/>
          <bgColor rgb="FFFAE2D5"/>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83CAEB"/>
          <bgColor rgb="FF83CAEB"/>
        </patternFill>
      </fill>
    </dxf>
    <dxf>
      <fill>
        <patternFill patternType="solid">
          <fgColor rgb="FFC1E4F5"/>
          <bgColor rgb="FFC1E4F5"/>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23" defaultTableStyle="TableStyleMedium2" defaultPivotStyle="PivotStyleLight16">
    <tableStyle name="D95 COTO BRUS PSCC -style" pivot="0" count="4" xr9:uid="{00000000-0011-0000-FFFF-FFFF00000000}">
      <tableStyleElement type="wholeTable" size="0" dxfId="105"/>
      <tableStyleElement type="headerRow" dxfId="104"/>
      <tableStyleElement type="firstRowStripe" dxfId="103"/>
      <tableStyleElement type="secondRowStripe" dxfId="102"/>
    </tableStyle>
    <tableStyle name="D95 COTO BRUS VIF-style" pivot="0" count="4" xr9:uid="{00000000-0011-0000-FFFF-FFFF01000000}">
      <tableStyleElement type="wholeTable" size="0" dxfId="101"/>
      <tableStyleElement type="headerRow" dxfId="100"/>
      <tableStyleElement type="firstRowStripe" dxfId="99"/>
      <tableStyleElement type="secondRowStripe" dxfId="98"/>
    </tableStyle>
    <tableStyle name="D95 COTO BRUS DARE-style" pivot="0" count="4" xr9:uid="{00000000-0011-0000-FFFF-FFFF02000000}">
      <tableStyleElement type="wholeTable" size="0" dxfId="97"/>
      <tableStyleElement type="headerRow" dxfId="96"/>
      <tableStyleElement type="firstRowStripe" dxfId="95"/>
      <tableStyleElement type="secondRowStripe" dxfId="94"/>
    </tableStyle>
    <tableStyle name="D95 COTO BRUS GREAT-style" pivot="0" count="4" xr9:uid="{00000000-0011-0000-FFFF-FFFF03000000}">
      <tableStyleElement type="wholeTable" size="0" dxfId="93"/>
      <tableStyleElement type="headerRow" dxfId="92"/>
      <tableStyleElement type="firstRowStripe" dxfId="91"/>
      <tableStyleElement type="secondRowStripe" dxfId="90"/>
    </tableStyle>
    <tableStyle name="D95 COTO BRUS MPAS-style" pivot="0" count="4" xr9:uid="{00000000-0011-0000-FFFF-FFFF04000000}">
      <tableStyleElement type="wholeTable" size="0" dxfId="89"/>
      <tableStyleElement type="headerRow" dxfId="88"/>
      <tableStyleElement type="firstRowStripe" dxfId="87"/>
      <tableStyleElement type="secondRowStripe" dxfId="86"/>
    </tableStyle>
    <tableStyle name="DAT1-style" pivot="0" count="4" xr9:uid="{00000000-0011-0000-FFFF-FFFF05000000}">
      <tableStyleElement type="wholeTable" size="0" dxfId="85"/>
      <tableStyleElement type="headerRow" dxfId="84"/>
      <tableStyleElement type="firstRowStripe" dxfId="83"/>
      <tableStyleElement type="secondRowStripe" dxfId="82"/>
    </tableStyle>
    <tableStyle name="DAT1-style 2" pivot="0" count="4" xr9:uid="{00000000-0011-0000-FFFF-FFFF06000000}">
      <tableStyleElement type="wholeTable" size="0" dxfId="81"/>
      <tableStyleElement type="headerRow" dxfId="80"/>
      <tableStyleElement type="firstRowStripe" dxfId="79"/>
      <tableStyleElement type="secondRowStripe" dxfId="78"/>
    </tableStyle>
    <tableStyle name="DAT1-style 3" pivot="0" count="4" xr9:uid="{00000000-0011-0000-FFFF-FFFF07000000}">
      <tableStyleElement type="wholeTable" size="0" dxfId="77"/>
      <tableStyleElement type="headerRow" dxfId="76"/>
      <tableStyleElement type="firstRowStripe" dxfId="75"/>
      <tableStyleElement type="secondRowStripe" dxfId="74"/>
    </tableStyle>
    <tableStyle name="DAT1-style 4" pivot="0" count="4" xr9:uid="{00000000-0011-0000-FFFF-FFFF08000000}">
      <tableStyleElement type="wholeTable" size="0" dxfId="73"/>
      <tableStyleElement type="headerRow" dxfId="72"/>
      <tableStyleElement type="firstRowStripe" dxfId="71"/>
      <tableStyleElement type="secondRowStripe" dxfId="70"/>
    </tableStyle>
    <tableStyle name="DAT1-style 5" pivot="0" count="4" xr9:uid="{00000000-0011-0000-FFFF-FFFF09000000}">
      <tableStyleElement type="wholeTable" size="0" dxfId="69"/>
      <tableStyleElement type="headerRow" dxfId="68"/>
      <tableStyleElement type="firstRowStripe" dxfId="67"/>
      <tableStyleElement type="secondRowStripe" dxfId="66"/>
    </tableStyle>
    <tableStyle name="DAT1-style 6" pivot="0" count="4" xr9:uid="{00000000-0011-0000-FFFF-FFFF0A000000}">
      <tableStyleElement type="wholeTable" size="0" dxfId="65"/>
      <tableStyleElement type="headerRow" dxfId="64"/>
      <tableStyleElement type="firstRowStripe" dxfId="63"/>
      <tableStyleElement type="secondRowStripe" dxfId="62"/>
    </tableStyle>
    <tableStyle name="DAT1-style 7" pivot="0" count="4" xr9:uid="{00000000-0011-0000-FFFF-FFFF0B000000}">
      <tableStyleElement type="wholeTable" size="0" dxfId="61"/>
      <tableStyleElement type="headerRow" dxfId="60"/>
      <tableStyleElement type="firstRowStripe" dxfId="59"/>
      <tableStyleElement type="secondRowStripe" dxfId="58"/>
    </tableStyle>
    <tableStyle name="DAT1-style 8" pivot="0" count="4" xr9:uid="{00000000-0011-0000-FFFF-FFFF0C000000}">
      <tableStyleElement type="wholeTable" size="0" dxfId="57"/>
      <tableStyleElement type="headerRow" dxfId="56"/>
      <tableStyleElement type="firstRowStripe" dxfId="55"/>
      <tableStyleElement type="secondRowStripe" dxfId="54"/>
    </tableStyle>
    <tableStyle name="DAT1-style 9" pivot="0" count="4" xr9:uid="{00000000-0011-0000-FFFF-FFFF0D000000}">
      <tableStyleElement type="wholeTable" size="0" dxfId="53"/>
      <tableStyleElement type="headerRow" dxfId="52"/>
      <tableStyleElement type="firstRowStripe" dxfId="51"/>
      <tableStyleElement type="secondRowStripe" dxfId="50"/>
    </tableStyle>
    <tableStyle name="DAT1-style 10" pivot="0" count="4" xr9:uid="{00000000-0011-0000-FFFF-FFFF0E000000}">
      <tableStyleElement type="wholeTable" size="0" dxfId="49"/>
      <tableStyleElement type="headerRow" dxfId="48"/>
      <tableStyleElement type="firstRowStripe" dxfId="47"/>
      <tableStyleElement type="secondRowStripe" dxfId="46"/>
    </tableStyle>
    <tableStyle name="DAT1-style 11" pivot="0" count="4" xr9:uid="{00000000-0011-0000-FFFF-FFFF0F000000}">
      <tableStyleElement type="wholeTable" size="0" dxfId="45"/>
      <tableStyleElement type="headerRow" dxfId="44"/>
      <tableStyleElement type="firstRowStripe" dxfId="43"/>
      <tableStyleElement type="secondRowStripe" dxfId="42"/>
    </tableStyle>
    <tableStyle name="DAT1-style 12" pivot="0" count="4" xr9:uid="{00000000-0011-0000-FFFF-FFFF10000000}">
      <tableStyleElement type="wholeTable" size="0" dxfId="41"/>
      <tableStyleElement type="headerRow" dxfId="40"/>
      <tableStyleElement type="firstRowStripe" dxfId="39"/>
      <tableStyleElement type="secondRowStripe" dxfId="38"/>
    </tableStyle>
    <tableStyle name="DAT1-style 13" pivot="0" count="4" xr9:uid="{00000000-0011-0000-FFFF-FFFF11000000}">
      <tableStyleElement type="wholeTable" size="0" dxfId="37"/>
      <tableStyleElement type="headerRow" dxfId="36"/>
      <tableStyleElement type="firstRowStripe" dxfId="35"/>
      <tableStyleElement type="secondRowStripe" dxfId="34"/>
    </tableStyle>
    <tableStyle name="DAT1-style 14" pivot="0" count="4" xr9:uid="{00000000-0011-0000-FFFF-FFFF12000000}">
      <tableStyleElement type="wholeTable" size="0" dxfId="33"/>
      <tableStyleElement type="headerRow" dxfId="32"/>
      <tableStyleElement type="firstRowStripe" dxfId="31"/>
      <tableStyleElement type="secondRowStripe" dxfId="30"/>
    </tableStyle>
    <tableStyle name="DAT1-style 15" pivot="0" count="4" xr9:uid="{00000000-0011-0000-FFFF-FFFF13000000}">
      <tableStyleElement type="wholeTable" size="0" dxfId="29"/>
      <tableStyleElement type="headerRow" dxfId="28"/>
      <tableStyleElement type="firstRowStripe" dxfId="27"/>
      <tableStyleElement type="secondRowStripe" dxfId="26"/>
    </tableStyle>
    <tableStyle name="DAT1-style 16" pivot="0" count="4" xr9:uid="{00000000-0011-0000-FFFF-FFFF14000000}">
      <tableStyleElement type="wholeTable" size="0" dxfId="25"/>
      <tableStyleElement type="headerRow" dxfId="24"/>
      <tableStyleElement type="firstRowStripe" dxfId="23"/>
      <tableStyleElement type="secondRowStripe" dxfId="22"/>
    </tableStyle>
    <tableStyle name="DAT1-style 17" pivot="0" count="4" xr9:uid="{00000000-0011-0000-FFFF-FFFF15000000}">
      <tableStyleElement type="wholeTable" size="0" dxfId="21"/>
      <tableStyleElement type="headerRow" dxfId="20"/>
      <tableStyleElement type="firstRowStripe" dxfId="19"/>
      <tableStyleElement type="secondRowStripe" dxfId="18"/>
    </tableStyle>
    <tableStyle name="DAT2-style" pivot="0" count="4" xr9:uid="{00000000-0011-0000-FFFF-FFFF16000000}">
      <tableStyleElement type="wholeTable" size="0" dxfId="17"/>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ABRIL/DR10%20ABRIL%20(PUMI)/D96%20Corredores%5eJPUMI%20%20Corredores%202025%5eJ%20Abril%202025%20(1).xlsx?35984F08" TargetMode="External"/><Relationship Id="rId1" Type="http://schemas.openxmlformats.org/officeDocument/2006/relationships/externalLinkPath" Target="file:///\\35984F08\D96%20Corredores%5eJPUMI%20%20Corredores%202025%5eJ%20Abril%202025%20(1).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0/D-97%20%20Informe%20Trimestral%20del%20PUMI%20D97%20%20Junio%202025%20(1).xlsx?08677D35" TargetMode="External"/><Relationship Id="rId1" Type="http://schemas.openxmlformats.org/officeDocument/2006/relationships/externalLinkPath" Target="file:///\\08677D35\D-97%20%20Informe%20Trimestral%20del%20PUMI%20D97%20%20Junio%202025%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0/D94%20PUMI%20JUNIO%202025%20(Golfito)%20(1).xlsx?08677D35" TargetMode="External"/><Relationship Id="rId1" Type="http://schemas.openxmlformats.org/officeDocument/2006/relationships/externalLinkPath" Target="file:///\\08677D35\D94%20PUMI%20JUNIO%202025%20(Golfit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6 CORREDORES PSCC "/>
      <sheetName val="D96 CORREDORES VIF"/>
      <sheetName val="D96 CORREDORES DARE"/>
      <sheetName val="D96 CORREDORES GREAT"/>
      <sheetName val="D96 CORREDOR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7 PUERTO JIMENEZ PSCC "/>
      <sheetName val="D97 PUERTO JIMENEZ VIF"/>
      <sheetName val="D97 PUERTO JIMENEZ DARE"/>
      <sheetName val="D97 PUERTO JIMENEZ GREAT"/>
      <sheetName val="D97 PUERTO JIMENEZ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4 GOLFITO PSCC "/>
      <sheetName val="D94 GOLFITO VIF"/>
      <sheetName val="D94 GOLFITO DARE"/>
      <sheetName val="D94 GOLFITO GREAT"/>
      <sheetName val="D94 GOLFITO MPAS"/>
      <sheetName val="Totales PDIF"/>
      <sheetName val="Totales Política Pública"/>
      <sheetName val="DAT1"/>
      <sheetName val="DAT2"/>
      <sheetName val="D94 PUMI JUNIO 2025 (Golfito) ("/>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5"/>
  <sheetViews>
    <sheetView zoomScale="70" zoomScaleNormal="70" workbookViewId="0">
      <selection activeCell="L7" sqref="L7"/>
    </sheetView>
  </sheetViews>
  <sheetFormatPr baseColWidth="10" defaultColWidth="11.42578125" defaultRowHeight="15" x14ac:dyDescent="0.25"/>
  <cols>
    <col min="1" max="1" width="9.42578125" style="2" customWidth="1"/>
    <col min="2" max="2" width="104.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4" t="s">
        <v>1</v>
      </c>
      <c r="B1" s="22"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5"/>
      <c r="B2" s="22"/>
      <c r="C2" s="3">
        <v>2026</v>
      </c>
      <c r="D2" s="3" t="s">
        <v>16</v>
      </c>
      <c r="E2" s="24"/>
      <c r="F2" s="24"/>
      <c r="G2" s="24"/>
      <c r="H2" s="24"/>
      <c r="I2" s="24"/>
      <c r="J2" s="24"/>
      <c r="K2" s="24"/>
      <c r="L2" s="24"/>
      <c r="M2" s="24"/>
      <c r="N2" s="24"/>
      <c r="O2" s="24"/>
      <c r="P2" s="24"/>
    </row>
    <row r="3" spans="1:16" ht="81" customHeight="1" thickBot="1" x14ac:dyDescent="0.3">
      <c r="A3" s="25" t="s">
        <v>18</v>
      </c>
      <c r="B3" s="5" t="s">
        <v>17</v>
      </c>
      <c r="C3" s="6">
        <v>2</v>
      </c>
      <c r="D3" s="23">
        <f t="shared" ref="D3:D5" si="0">SUM(E3:P3)</f>
        <v>1</v>
      </c>
      <c r="E3" s="26"/>
      <c r="F3" s="26"/>
      <c r="G3" s="26"/>
      <c r="H3" s="26"/>
      <c r="I3" s="26"/>
      <c r="J3" s="26">
        <v>1</v>
      </c>
      <c r="K3" s="26"/>
      <c r="L3" s="26"/>
      <c r="M3" s="26"/>
      <c r="N3" s="26"/>
      <c r="O3" s="26"/>
      <c r="P3" s="26"/>
    </row>
    <row r="4" spans="1:16" ht="81" customHeight="1" thickBot="1" x14ac:dyDescent="0.3">
      <c r="A4" s="27" t="s">
        <v>20</v>
      </c>
      <c r="B4" s="7" t="s">
        <v>19</v>
      </c>
      <c r="C4" s="28">
        <v>2</v>
      </c>
      <c r="D4" s="23">
        <f t="shared" si="0"/>
        <v>2</v>
      </c>
      <c r="E4" s="26">
        <v>0</v>
      </c>
      <c r="F4" s="26">
        <v>0</v>
      </c>
      <c r="G4" s="26">
        <v>0</v>
      </c>
      <c r="H4" s="26">
        <v>0</v>
      </c>
      <c r="I4" s="26">
        <v>1</v>
      </c>
      <c r="J4" s="26">
        <v>1</v>
      </c>
      <c r="K4" s="26"/>
      <c r="L4" s="26"/>
      <c r="M4" s="26"/>
      <c r="N4" s="26"/>
      <c r="O4" s="26"/>
      <c r="P4" s="26"/>
    </row>
    <row r="5" spans="1:16" ht="81" customHeight="1" thickBot="1" x14ac:dyDescent="0.3">
      <c r="A5" s="29" t="s">
        <v>22</v>
      </c>
      <c r="B5" s="8" t="s">
        <v>21</v>
      </c>
      <c r="C5" s="30">
        <v>2</v>
      </c>
      <c r="D5" s="23">
        <f t="shared" si="0"/>
        <v>0</v>
      </c>
      <c r="E5" s="26">
        <v>0</v>
      </c>
      <c r="F5" s="26">
        <v>0</v>
      </c>
      <c r="G5" s="26">
        <v>0</v>
      </c>
      <c r="H5" s="26">
        <v>0</v>
      </c>
      <c r="I5" s="26"/>
      <c r="J5" s="26"/>
      <c r="K5" s="26"/>
      <c r="L5" s="26"/>
      <c r="M5" s="26"/>
      <c r="N5" s="26"/>
      <c r="O5" s="26"/>
      <c r="P5" s="26"/>
    </row>
    <row r="6" spans="1:16" ht="28.5" customHeight="1" x14ac:dyDescent="0.25">
      <c r="A6" s="46" t="s">
        <v>51</v>
      </c>
      <c r="B6" s="32" t="s">
        <v>52</v>
      </c>
      <c r="C6" s="31">
        <v>3</v>
      </c>
      <c r="D6" s="23">
        <f t="shared" ref="D6:D33" si="1">SUM(E6:O6)</f>
        <v>0</v>
      </c>
      <c r="E6" s="26"/>
      <c r="F6" s="26"/>
      <c r="G6" s="26"/>
      <c r="H6" s="26"/>
      <c r="I6" s="26"/>
      <c r="J6" s="26"/>
      <c r="K6" s="26"/>
      <c r="L6" s="26"/>
      <c r="M6" s="26"/>
      <c r="N6" s="26"/>
      <c r="O6" s="26"/>
      <c r="P6" s="33"/>
    </row>
    <row r="7" spans="1:16" ht="28.5" customHeight="1" x14ac:dyDescent="0.25">
      <c r="A7" s="47"/>
      <c r="B7" s="32" t="s">
        <v>53</v>
      </c>
      <c r="C7" s="31">
        <v>3</v>
      </c>
      <c r="D7" s="23">
        <f t="shared" si="1"/>
        <v>0</v>
      </c>
      <c r="E7" s="26"/>
      <c r="F7" s="26"/>
      <c r="G7" s="26"/>
      <c r="H7" s="26"/>
      <c r="I7" s="26"/>
      <c r="J7" s="26"/>
      <c r="K7" s="26"/>
      <c r="L7" s="26"/>
      <c r="M7" s="26"/>
      <c r="N7" s="26"/>
      <c r="O7" s="26"/>
      <c r="P7" s="33"/>
    </row>
    <row r="8" spans="1:16" ht="28.5" customHeight="1" x14ac:dyDescent="0.25">
      <c r="A8" s="47"/>
      <c r="B8" s="32" t="s">
        <v>54</v>
      </c>
      <c r="C8" s="31">
        <v>136</v>
      </c>
      <c r="D8" s="23">
        <f t="shared" si="1"/>
        <v>60</v>
      </c>
      <c r="E8" s="26">
        <v>8</v>
      </c>
      <c r="F8" s="26">
        <v>15</v>
      </c>
      <c r="G8" s="26">
        <v>7</v>
      </c>
      <c r="H8" s="26">
        <v>14</v>
      </c>
      <c r="I8" s="26">
        <v>14</v>
      </c>
      <c r="J8" s="26">
        <v>2</v>
      </c>
      <c r="K8" s="26"/>
      <c r="L8" s="26"/>
      <c r="M8" s="26"/>
      <c r="N8" s="26"/>
      <c r="O8" s="26"/>
      <c r="P8" s="33"/>
    </row>
    <row r="9" spans="1:16" ht="28.5" customHeight="1" x14ac:dyDescent="0.25">
      <c r="A9" s="47"/>
      <c r="B9" s="32" t="s">
        <v>55</v>
      </c>
      <c r="C9" s="31">
        <v>31</v>
      </c>
      <c r="D9" s="23">
        <f t="shared" si="1"/>
        <v>96</v>
      </c>
      <c r="E9" s="26"/>
      <c r="F9" s="26"/>
      <c r="G9" s="26">
        <v>43</v>
      </c>
      <c r="H9" s="26">
        <v>23</v>
      </c>
      <c r="I9" s="26"/>
      <c r="J9" s="26">
        <v>30</v>
      </c>
      <c r="K9" s="26"/>
      <c r="L9" s="26"/>
      <c r="M9" s="26"/>
      <c r="N9" s="26"/>
      <c r="O9" s="26"/>
      <c r="P9" s="33"/>
    </row>
    <row r="10" spans="1:16" ht="28.5" customHeight="1" x14ac:dyDescent="0.25">
      <c r="A10" s="47"/>
      <c r="B10" s="32" t="s">
        <v>56</v>
      </c>
      <c r="C10" s="31">
        <v>0</v>
      </c>
      <c r="D10" s="23">
        <f t="shared" si="1"/>
        <v>0</v>
      </c>
      <c r="E10" s="26"/>
      <c r="F10" s="26"/>
      <c r="G10" s="26"/>
      <c r="H10" s="26"/>
      <c r="I10" s="26"/>
      <c r="J10" s="26"/>
      <c r="K10" s="26"/>
      <c r="L10" s="26"/>
      <c r="M10" s="26"/>
      <c r="N10" s="26"/>
      <c r="O10" s="26"/>
      <c r="P10" s="33"/>
    </row>
    <row r="11" spans="1:16" ht="28.5" customHeight="1" x14ac:dyDescent="0.25">
      <c r="A11" s="47"/>
      <c r="B11" s="32" t="s">
        <v>57</v>
      </c>
      <c r="C11" s="31">
        <v>27</v>
      </c>
      <c r="D11" s="23">
        <f t="shared" si="1"/>
        <v>4</v>
      </c>
      <c r="E11" s="26"/>
      <c r="F11" s="26"/>
      <c r="G11" s="26"/>
      <c r="H11" s="26"/>
      <c r="I11" s="26">
        <v>4</v>
      </c>
      <c r="J11" s="26"/>
      <c r="K11" s="26"/>
      <c r="L11" s="26"/>
      <c r="M11" s="26"/>
      <c r="N11" s="26"/>
      <c r="O11" s="26"/>
      <c r="P11" s="33"/>
    </row>
    <row r="12" spans="1:16" ht="28.5" customHeight="1" x14ac:dyDescent="0.25">
      <c r="A12" s="47"/>
      <c r="B12" s="32" t="s">
        <v>58</v>
      </c>
      <c r="C12" s="31">
        <v>3</v>
      </c>
      <c r="D12" s="23">
        <f t="shared" si="1"/>
        <v>0</v>
      </c>
      <c r="E12" s="26"/>
      <c r="F12" s="26"/>
      <c r="G12" s="26"/>
      <c r="H12" s="26"/>
      <c r="I12" s="26"/>
      <c r="J12" s="26"/>
      <c r="K12" s="26"/>
      <c r="L12" s="26"/>
      <c r="M12" s="26"/>
      <c r="N12" s="26"/>
      <c r="O12" s="26"/>
      <c r="P12" s="33"/>
    </row>
    <row r="13" spans="1:16" ht="28.5" customHeight="1" x14ac:dyDescent="0.25">
      <c r="A13" s="47"/>
      <c r="B13" s="32" t="s">
        <v>59</v>
      </c>
      <c r="C13" s="31">
        <v>17</v>
      </c>
      <c r="D13" s="23">
        <f t="shared" si="1"/>
        <v>0</v>
      </c>
      <c r="E13" s="26"/>
      <c r="F13" s="26"/>
      <c r="G13" s="26"/>
      <c r="H13" s="26"/>
      <c r="I13" s="26"/>
      <c r="J13" s="26"/>
      <c r="K13" s="26"/>
      <c r="L13" s="26"/>
      <c r="M13" s="26"/>
      <c r="N13" s="26"/>
      <c r="O13" s="26"/>
      <c r="P13" s="33"/>
    </row>
    <row r="14" spans="1:16" ht="28.5" customHeight="1" x14ac:dyDescent="0.25">
      <c r="A14" s="47"/>
      <c r="B14" s="32" t="s">
        <v>60</v>
      </c>
      <c r="C14" s="31">
        <v>21</v>
      </c>
      <c r="D14" s="23">
        <f t="shared" si="1"/>
        <v>2</v>
      </c>
      <c r="E14" s="26">
        <v>1</v>
      </c>
      <c r="F14" s="26"/>
      <c r="G14" s="26">
        <v>1</v>
      </c>
      <c r="H14" s="26"/>
      <c r="I14" s="26"/>
      <c r="J14" s="26"/>
      <c r="K14" s="26"/>
      <c r="L14" s="26"/>
      <c r="M14" s="26"/>
      <c r="N14" s="26"/>
      <c r="O14" s="26"/>
      <c r="P14" s="33"/>
    </row>
    <row r="15" spans="1:16" ht="28.5" customHeight="1" x14ac:dyDescent="0.25">
      <c r="A15" s="47"/>
      <c r="B15" s="32" t="s">
        <v>61</v>
      </c>
      <c r="C15" s="31">
        <v>16</v>
      </c>
      <c r="D15" s="23">
        <f t="shared" si="1"/>
        <v>0</v>
      </c>
      <c r="E15" s="26"/>
      <c r="F15" s="26"/>
      <c r="G15" s="26"/>
      <c r="H15" s="26"/>
      <c r="I15" s="26"/>
      <c r="J15" s="26"/>
      <c r="K15" s="26"/>
      <c r="L15" s="26"/>
      <c r="M15" s="26"/>
      <c r="N15" s="26"/>
      <c r="O15" s="26"/>
      <c r="P15" s="33"/>
    </row>
    <row r="16" spans="1:16" ht="28.5" customHeight="1" x14ac:dyDescent="0.25">
      <c r="A16" s="47"/>
      <c r="B16" s="32" t="s">
        <v>62</v>
      </c>
      <c r="C16" s="31">
        <v>18</v>
      </c>
      <c r="D16" s="23">
        <f t="shared" si="1"/>
        <v>0</v>
      </c>
      <c r="E16" s="26"/>
      <c r="F16" s="26"/>
      <c r="G16" s="26"/>
      <c r="H16" s="26"/>
      <c r="I16" s="26"/>
      <c r="J16" s="26"/>
      <c r="K16" s="26"/>
      <c r="L16" s="26"/>
      <c r="M16" s="26"/>
      <c r="N16" s="26"/>
      <c r="O16" s="26"/>
      <c r="P16" s="33"/>
    </row>
    <row r="17" spans="1:16" ht="28.5" customHeight="1" x14ac:dyDescent="0.25">
      <c r="A17" s="47"/>
      <c r="B17" s="32" t="s">
        <v>63</v>
      </c>
      <c r="C17" s="31">
        <v>0</v>
      </c>
      <c r="D17" s="23">
        <f t="shared" si="1"/>
        <v>0</v>
      </c>
      <c r="E17" s="26"/>
      <c r="F17" s="26"/>
      <c r="G17" s="26"/>
      <c r="H17" s="26"/>
      <c r="I17" s="26"/>
      <c r="J17" s="26"/>
      <c r="K17" s="26"/>
      <c r="L17" s="26"/>
      <c r="M17" s="26"/>
      <c r="N17" s="26"/>
      <c r="O17" s="26"/>
      <c r="P17" s="33"/>
    </row>
    <row r="18" spans="1:16" ht="28.5" customHeight="1" x14ac:dyDescent="0.25">
      <c r="A18" s="47"/>
      <c r="B18" s="32" t="s">
        <v>64</v>
      </c>
      <c r="C18" s="31">
        <v>0</v>
      </c>
      <c r="D18" s="23">
        <f t="shared" si="1"/>
        <v>0</v>
      </c>
      <c r="E18" s="26"/>
      <c r="F18" s="26"/>
      <c r="G18" s="26"/>
      <c r="H18" s="26"/>
      <c r="I18" s="26"/>
      <c r="J18" s="26"/>
      <c r="K18" s="26"/>
      <c r="L18" s="26"/>
      <c r="M18" s="26"/>
      <c r="N18" s="26"/>
      <c r="O18" s="26"/>
      <c r="P18" s="33"/>
    </row>
    <row r="19" spans="1:16" ht="28.5" customHeight="1" x14ac:dyDescent="0.25">
      <c r="A19" s="47"/>
      <c r="B19" s="32" t="s">
        <v>65</v>
      </c>
      <c r="C19" s="31">
        <v>0</v>
      </c>
      <c r="D19" s="23">
        <f t="shared" si="1"/>
        <v>0</v>
      </c>
      <c r="E19" s="26"/>
      <c r="F19" s="26"/>
      <c r="G19" s="26"/>
      <c r="H19" s="26"/>
      <c r="I19" s="26"/>
      <c r="J19" s="26"/>
      <c r="K19" s="26"/>
      <c r="L19" s="26"/>
      <c r="M19" s="26"/>
      <c r="N19" s="26"/>
      <c r="O19" s="26"/>
      <c r="P19" s="33"/>
    </row>
    <row r="20" spans="1:16" ht="28.5" customHeight="1" x14ac:dyDescent="0.25">
      <c r="A20" s="47"/>
      <c r="B20" s="32" t="s">
        <v>66</v>
      </c>
      <c r="C20" s="31">
        <v>112</v>
      </c>
      <c r="D20" s="23">
        <f t="shared" si="1"/>
        <v>36</v>
      </c>
      <c r="E20" s="26">
        <v>10</v>
      </c>
      <c r="F20" s="26">
        <v>7</v>
      </c>
      <c r="G20" s="26">
        <v>2</v>
      </c>
      <c r="H20" s="26">
        <v>12</v>
      </c>
      <c r="I20" s="26">
        <v>4</v>
      </c>
      <c r="J20" s="26">
        <v>1</v>
      </c>
      <c r="K20" s="26"/>
      <c r="L20" s="26"/>
      <c r="M20" s="26"/>
      <c r="N20" s="26"/>
      <c r="O20" s="26"/>
      <c r="P20" s="33"/>
    </row>
    <row r="21" spans="1:16" ht="28.5" customHeight="1" x14ac:dyDescent="0.25">
      <c r="A21" s="47"/>
      <c r="B21" s="32" t="s">
        <v>67</v>
      </c>
      <c r="C21" s="31">
        <v>3</v>
      </c>
      <c r="D21" s="23">
        <f t="shared" si="1"/>
        <v>0</v>
      </c>
      <c r="E21" s="26"/>
      <c r="F21" s="26"/>
      <c r="G21" s="26"/>
      <c r="H21" s="26"/>
      <c r="I21" s="26"/>
      <c r="J21" s="26"/>
      <c r="K21" s="26"/>
      <c r="L21" s="26"/>
      <c r="M21" s="26"/>
      <c r="N21" s="26"/>
      <c r="O21" s="26"/>
      <c r="P21" s="33"/>
    </row>
    <row r="22" spans="1:16" ht="24" customHeight="1" x14ac:dyDescent="0.25">
      <c r="A22" s="47"/>
      <c r="B22" s="34" t="s">
        <v>68</v>
      </c>
      <c r="C22" s="31">
        <v>2</v>
      </c>
      <c r="D22" s="23">
        <f t="shared" si="1"/>
        <v>0</v>
      </c>
      <c r="E22" s="26"/>
      <c r="F22" s="26"/>
      <c r="G22" s="26"/>
      <c r="H22" s="26"/>
      <c r="I22" s="26"/>
      <c r="J22" s="26"/>
      <c r="K22" s="26"/>
      <c r="L22" s="26"/>
      <c r="M22" s="26"/>
      <c r="N22" s="26"/>
      <c r="O22" s="26"/>
      <c r="P22" s="33"/>
    </row>
    <row r="23" spans="1:16" ht="24" customHeight="1" x14ac:dyDescent="0.25">
      <c r="A23" s="47"/>
      <c r="B23" s="34" t="s">
        <v>69</v>
      </c>
      <c r="C23" s="31">
        <v>2</v>
      </c>
      <c r="D23" s="23">
        <f t="shared" si="1"/>
        <v>2</v>
      </c>
      <c r="E23" s="26"/>
      <c r="F23" s="26"/>
      <c r="G23" s="26"/>
      <c r="H23" s="26">
        <v>2</v>
      </c>
      <c r="I23" s="26"/>
      <c r="J23" s="26"/>
      <c r="K23" s="26"/>
      <c r="L23" s="26"/>
      <c r="M23" s="26"/>
      <c r="N23" s="26"/>
      <c r="O23" s="26"/>
      <c r="P23" s="33"/>
    </row>
    <row r="24" spans="1:16" ht="24" customHeight="1" x14ac:dyDescent="0.25">
      <c r="A24" s="47"/>
      <c r="B24" s="34" t="s">
        <v>70</v>
      </c>
      <c r="C24" s="31">
        <v>2</v>
      </c>
      <c r="D24" s="23">
        <f t="shared" si="1"/>
        <v>2</v>
      </c>
      <c r="E24" s="26"/>
      <c r="F24" s="26"/>
      <c r="G24" s="26"/>
      <c r="H24" s="26"/>
      <c r="I24" s="26">
        <v>2</v>
      </c>
      <c r="J24" s="26"/>
      <c r="K24" s="26"/>
      <c r="L24" s="26"/>
      <c r="M24" s="26"/>
      <c r="N24" s="26"/>
      <c r="O24" s="26"/>
      <c r="P24" s="33"/>
    </row>
    <row r="25" spans="1:16" ht="24" customHeight="1" x14ac:dyDescent="0.25">
      <c r="A25" s="47"/>
      <c r="B25" s="34" t="s">
        <v>71</v>
      </c>
      <c r="C25" s="31">
        <v>2</v>
      </c>
      <c r="D25" s="23">
        <f t="shared" si="1"/>
        <v>0</v>
      </c>
      <c r="E25" s="26"/>
      <c r="F25" s="26"/>
      <c r="G25" s="26"/>
      <c r="H25" s="26"/>
      <c r="I25" s="26"/>
      <c r="J25" s="26"/>
      <c r="K25" s="26"/>
      <c r="L25" s="26"/>
      <c r="M25" s="26"/>
      <c r="N25" s="26"/>
      <c r="O25" s="26"/>
      <c r="P25" s="33"/>
    </row>
    <row r="26" spans="1:16" ht="24" customHeight="1" x14ac:dyDescent="0.25">
      <c r="A26" s="47"/>
      <c r="B26" s="34" t="s">
        <v>72</v>
      </c>
      <c r="C26" s="31">
        <v>2</v>
      </c>
      <c r="D26" s="23">
        <f t="shared" si="1"/>
        <v>0</v>
      </c>
      <c r="E26" s="26"/>
      <c r="F26" s="26"/>
      <c r="G26" s="26"/>
      <c r="H26" s="26"/>
      <c r="I26" s="26"/>
      <c r="J26" s="26"/>
      <c r="K26" s="26"/>
      <c r="L26" s="26"/>
      <c r="M26" s="26"/>
      <c r="N26" s="26"/>
      <c r="O26" s="26"/>
      <c r="P26" s="33"/>
    </row>
    <row r="27" spans="1:16" ht="24" customHeight="1" x14ac:dyDescent="0.25">
      <c r="A27" s="47"/>
      <c r="B27" s="34" t="s">
        <v>73</v>
      </c>
      <c r="C27" s="31">
        <v>1</v>
      </c>
      <c r="D27" s="23">
        <f t="shared" si="1"/>
        <v>0</v>
      </c>
      <c r="E27" s="26"/>
      <c r="F27" s="26"/>
      <c r="G27" s="26"/>
      <c r="H27" s="26"/>
      <c r="I27" s="26"/>
      <c r="J27" s="26"/>
      <c r="K27" s="26"/>
      <c r="L27" s="26"/>
      <c r="M27" s="26"/>
      <c r="N27" s="26"/>
      <c r="O27" s="26"/>
      <c r="P27" s="33"/>
    </row>
    <row r="28" spans="1:16" ht="24" customHeight="1" x14ac:dyDescent="0.25">
      <c r="A28" s="47"/>
      <c r="B28" s="34" t="s">
        <v>74</v>
      </c>
      <c r="C28" s="31">
        <v>1</v>
      </c>
      <c r="D28" s="23">
        <f t="shared" si="1"/>
        <v>0</v>
      </c>
      <c r="E28" s="26"/>
      <c r="F28" s="26"/>
      <c r="G28" s="26"/>
      <c r="H28" s="26"/>
      <c r="I28" s="26"/>
      <c r="J28" s="26"/>
      <c r="K28" s="26"/>
      <c r="L28" s="26"/>
      <c r="M28" s="26"/>
      <c r="N28" s="26"/>
      <c r="O28" s="26"/>
      <c r="P28" s="33"/>
    </row>
    <row r="29" spans="1:16" ht="24" customHeight="1" x14ac:dyDescent="0.25">
      <c r="A29" s="47"/>
      <c r="B29" s="34" t="s">
        <v>75</v>
      </c>
      <c r="C29" s="31">
        <v>1</v>
      </c>
      <c r="D29" s="23">
        <f t="shared" si="1"/>
        <v>0</v>
      </c>
      <c r="E29" s="26"/>
      <c r="F29" s="26"/>
      <c r="G29" s="26"/>
      <c r="H29" s="26"/>
      <c r="I29" s="26"/>
      <c r="J29" s="26"/>
      <c r="K29" s="26"/>
      <c r="L29" s="26"/>
      <c r="M29" s="26"/>
      <c r="N29" s="26"/>
      <c r="O29" s="26"/>
      <c r="P29" s="33"/>
    </row>
    <row r="30" spans="1:16" ht="24" customHeight="1" x14ac:dyDescent="0.25">
      <c r="A30" s="47"/>
      <c r="B30" s="34" t="s">
        <v>76</v>
      </c>
      <c r="C30" s="31">
        <v>1</v>
      </c>
      <c r="D30" s="23">
        <f t="shared" si="1"/>
        <v>0</v>
      </c>
      <c r="E30" s="26"/>
      <c r="F30" s="26"/>
      <c r="G30" s="26"/>
      <c r="H30" s="26"/>
      <c r="I30" s="26"/>
      <c r="J30" s="26"/>
      <c r="K30" s="26"/>
      <c r="L30" s="26"/>
      <c r="M30" s="26"/>
      <c r="N30" s="26"/>
      <c r="O30" s="26"/>
      <c r="P30" s="33"/>
    </row>
    <row r="31" spans="1:16" ht="24" customHeight="1" x14ac:dyDescent="0.25">
      <c r="A31" s="47"/>
      <c r="B31" s="34" t="s">
        <v>77</v>
      </c>
      <c r="C31" s="31">
        <v>1</v>
      </c>
      <c r="D31" s="23">
        <f t="shared" si="1"/>
        <v>0</v>
      </c>
      <c r="E31" s="26"/>
      <c r="F31" s="26"/>
      <c r="G31" s="26"/>
      <c r="H31" s="26"/>
      <c r="I31" s="26"/>
      <c r="J31" s="26"/>
      <c r="K31" s="26"/>
      <c r="L31" s="26"/>
      <c r="M31" s="26"/>
      <c r="N31" s="26"/>
      <c r="O31" s="26"/>
      <c r="P31" s="33"/>
    </row>
    <row r="32" spans="1:16" ht="24" customHeight="1" x14ac:dyDescent="0.25">
      <c r="A32" s="47"/>
      <c r="B32" s="34" t="s">
        <v>78</v>
      </c>
      <c r="C32" s="31">
        <v>1</v>
      </c>
      <c r="D32" s="23">
        <f t="shared" si="1"/>
        <v>0</v>
      </c>
      <c r="E32" s="26"/>
      <c r="F32" s="26"/>
      <c r="G32" s="26"/>
      <c r="H32" s="26"/>
      <c r="I32" s="26"/>
      <c r="J32" s="26"/>
      <c r="K32" s="26"/>
      <c r="L32" s="26"/>
      <c r="M32" s="26"/>
      <c r="N32" s="26"/>
      <c r="O32" s="26"/>
      <c r="P32" s="33"/>
    </row>
    <row r="33" spans="1:16" ht="24" customHeight="1" thickBot="1" x14ac:dyDescent="0.3">
      <c r="A33" s="48"/>
      <c r="B33" s="35" t="s">
        <v>79</v>
      </c>
      <c r="C33" s="31">
        <v>1</v>
      </c>
      <c r="D33" s="23">
        <f t="shared" si="1"/>
        <v>0</v>
      </c>
      <c r="E33" s="26"/>
      <c r="F33" s="26"/>
      <c r="G33" s="26"/>
      <c r="H33" s="26"/>
      <c r="I33" s="26"/>
      <c r="J33" s="26"/>
      <c r="K33" s="26"/>
      <c r="L33" s="26"/>
      <c r="M33" s="26"/>
      <c r="N33" s="26"/>
      <c r="O33" s="26"/>
      <c r="P33" s="33"/>
    </row>
    <row r="34" spans="1:16" x14ac:dyDescent="0.25">
      <c r="C34" s="36">
        <f>SUM(C3:C33)</f>
        <v>413</v>
      </c>
      <c r="D34" s="37">
        <f>SUM(D3:D33)</f>
        <v>205</v>
      </c>
    </row>
    <row r="35" spans="1:16" x14ac:dyDescent="0.25">
      <c r="C35" s="38"/>
      <c r="D35" s="39">
        <f>D34/C34</f>
        <v>0.49636803874092011</v>
      </c>
    </row>
  </sheetData>
  <sheetProtection algorithmName="SHA-512" hashValue="yGqvDSU0YOFJ4ANEuirFWUZZXTRRWoS5HvMooKF17GERJCa6sjVhyULEuEQjHGAXY858kYxFXN51ogse6MH7cw==" saltValue="BOlA4PoaqMXEmvKLuAdvJA==" spinCount="100000" sheet="1" objects="1" scenarios="1" autoFilter="0"/>
  <mergeCells count="2">
    <mergeCell ref="A1:A2"/>
    <mergeCell ref="A6:A33"/>
  </mergeCells>
  <conditionalFormatting sqref="C3:D3 D4:D5">
    <cfRule type="dataBar" priority="44">
      <dataBar>
        <cfvo type="min"/>
        <cfvo type="max"/>
        <color rgb="FF008AEF"/>
      </dataBar>
      <extLst>
        <ext xmlns:x14="http://schemas.microsoft.com/office/spreadsheetml/2009/9/main" uri="{B025F937-C7B1-47D3-B67F-A62EFF666E3E}">
          <x14:id>{6442C990-BBF8-4FA9-89F7-C361E7C9A22B}</x14:id>
        </ext>
      </extLst>
    </cfRule>
  </conditionalFormatting>
  <conditionalFormatting sqref="C4:D4">
    <cfRule type="dataBar" priority="6">
      <dataBar>
        <cfvo type="min"/>
        <cfvo type="max"/>
        <color rgb="FF008AEF"/>
      </dataBar>
      <extLst>
        <ext xmlns:x14="http://schemas.microsoft.com/office/spreadsheetml/2009/9/main" uri="{B025F937-C7B1-47D3-B67F-A62EFF666E3E}">
          <x14:id>{01E1F333-FE05-4D94-A492-C2B45AEB1E84}</x14:id>
        </ext>
      </extLst>
    </cfRule>
  </conditionalFormatting>
  <conditionalFormatting sqref="C5:D5">
    <cfRule type="dataBar" priority="7">
      <dataBar>
        <cfvo type="min"/>
        <cfvo type="max"/>
        <color rgb="FF008AEF"/>
      </dataBar>
      <extLst>
        <ext xmlns:x14="http://schemas.microsoft.com/office/spreadsheetml/2009/9/main" uri="{B025F937-C7B1-47D3-B67F-A62EFF666E3E}">
          <x14:id>{E7D70278-C669-4088-B869-9B169241A53F}</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{EA91A175-2DEB-4F53-A7BC-A935799891E6}</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{E9F0E850-9436-43A8-B59A-B8C2DDBC55BD}</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{F5C3121A-B586-482D-8CFF-9BD8FE30074D}</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{C1B82BAE-0F0C-454D-9D3D-E2B4DB8FBCA1}</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{04FC0234-CC01-4BC6-99D2-FC1F6510EE52}</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{F1EC16DD-9E14-4BFA-A329-188EDD9B61EE}</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{E09A66EA-A8F7-4F52-8D1E-D23F7FA88CD5}</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{D07C0173-6F88-47EC-A390-4CCBC637B4AC}</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{6625E82E-B9EA-4D4F-A8A2-1E60450A0E2E}</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{9907C87F-DF00-474B-9279-2DD932C3C924}</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{AF6453C6-5B0E-484C-8C27-C3F0662418F3}</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{FC0A710B-7B58-4081-9BA8-3A1601127444}</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{87149BEC-EF73-4DE5-8FFF-4DCA404CB4B3}</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{269475E2-0676-4963-BBB6-FDABDE329277}</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{ED6352A7-6A3C-4722-9970-698F5C2C88B4}</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{C9BDBA02-7DD5-48E5-AA44-952251960786}</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{5A9BF754-B840-4489-B7D5-6D7626BCD835}</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{E811F2E4-BE8E-4E4F-904D-F8B9777E9F3D}</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{65EE8E9E-AEEA-491F-A436-0785505F00E0}</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{53A0FE24-41F6-4FBE-898F-A31D1212A9F1}</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{442E27DB-947A-4D49-83D0-9311C60900E5}</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{C4ED194D-7C21-4C9E-AABC-B3D5579EE640}</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{8A71F907-9184-4823-8B55-9A8910B0B304}</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{2725E1FA-48E1-49B8-8CB5-41A3612CB455}</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{53A095C1-AB80-49DB-AA88-3BB12D707985}</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{CFA209D9-FD6C-485C-A35B-745540E98689}</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{8930CC41-A2E4-451B-A7B4-A913BD602A29}</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{C6B433DB-38E9-469C-A75F-A4828DD30593}</x14:id>
        </ext>
      </extLst>
    </cfRule>
  </conditionalFormatting>
  <conditionalFormatting sqref="E3:F29 E30:O33">
    <cfRule type="cellIs" dxfId="13" priority="3" operator="greaterThan">
      <formula>0</formula>
    </cfRule>
  </conditionalFormatting>
  <conditionalFormatting sqref="G6:O29">
    <cfRule type="cellIs" dxfId="12" priority="12" operator="greaterThan">
      <formula>0</formula>
    </cfRule>
  </conditionalFormatting>
  <conditionalFormatting sqref="G3:P5">
    <cfRule type="cellIs" dxfId="11"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6442C990-BBF8-4FA9-89F7-C361E7C9A22B}">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01E1F333-FE05-4D94-A492-C2B45AEB1E8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E7D70278-C669-4088-B869-9B169241A53F}">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A91A175-2DEB-4F53-A7BC-A935799891E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9F0E850-9436-43A8-B59A-B8C2DDBC55B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5C3121A-B586-482D-8CFF-9BD8FE30074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1B82BAE-0F0C-454D-9D3D-E2B4DB8FBCA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4FC0234-CC01-4BC6-99D2-FC1F6510EE5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1EC16DD-9E14-4BFA-A329-188EDD9B61E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09A66EA-A8F7-4F52-8D1E-D23F7FA88CD5}">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07C0173-6F88-47EC-A390-4CCBC637B4A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625E82E-B9EA-4D4F-A8A2-1E60450A0E2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907C87F-DF00-474B-9279-2DD932C3C92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F6453C6-5B0E-484C-8C27-C3F0662418F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C0A710B-7B58-4081-9BA8-3A160112744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7149BEC-EF73-4DE5-8FFF-4DCA404CB4B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69475E2-0676-4963-BBB6-FDABDE32927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D6352A7-6A3C-4722-9970-698F5C2C88B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9BDBA02-7DD5-48E5-AA44-95225196078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A9BF754-B840-4489-B7D5-6D7626BCD83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811F2E4-BE8E-4E4F-904D-F8B9777E9F3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5EE8E9E-AEEA-491F-A436-0785505F00E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3A0FE24-41F6-4FBE-898F-A31D1212A9F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42E27DB-947A-4D49-83D0-9311C60900E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4ED194D-7C21-4C9E-AABC-B3D5579EE64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A71F907-9184-4823-8B55-9A8910B0B30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725E1FA-48E1-49B8-8CB5-41A3612CB45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3A095C1-AB80-49DB-AA88-3BB12D70798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FA209D9-FD6C-485C-A35B-745540E98689}">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930CC41-A2E4-451B-A7B4-A913BD602A2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6B433DB-38E9-469C-A75F-A4828DD30593}">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N984"/>
  <sheetViews>
    <sheetView topLeftCell="A20" zoomScale="77" zoomScaleNormal="77" workbookViewId="0">
      <selection activeCell="G33" sqref="G33"/>
    </sheetView>
  </sheetViews>
  <sheetFormatPr baseColWidth="10" defaultColWidth="12.5703125" defaultRowHeight="15" customHeight="1" x14ac:dyDescent="0.25"/>
  <cols>
    <col min="1" max="1" width="6.85546875" customWidth="1"/>
    <col min="2" max="2" width="106" customWidth="1"/>
    <col min="3" max="3" width="11.42578125" customWidth="1"/>
    <col min="4" max="4" width="22.42578125" customWidth="1"/>
    <col min="5" max="9" width="17.28515625" customWidth="1"/>
    <col min="10" max="66" width="11.42578125" customWidth="1"/>
  </cols>
  <sheetData>
    <row r="1" spans="1:16" s="2" customFormat="1" ht="61.5" customHeight="1" x14ac:dyDescent="0.25">
      <c r="A1" s="44" t="s">
        <v>1</v>
      </c>
      <c r="B1" s="22" t="s">
        <v>23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x14ac:dyDescent="0.25">
      <c r="A2" s="45"/>
      <c r="B2" s="22"/>
      <c r="C2" s="3">
        <v>2026</v>
      </c>
      <c r="D2" s="3" t="s">
        <v>16</v>
      </c>
      <c r="E2" s="24"/>
      <c r="F2" s="24"/>
      <c r="G2" s="24"/>
      <c r="H2" s="24"/>
      <c r="I2" s="24"/>
      <c r="J2" s="24"/>
      <c r="K2" s="24"/>
      <c r="L2" s="24"/>
      <c r="M2" s="24"/>
      <c r="N2" s="24"/>
      <c r="O2" s="24"/>
      <c r="P2" s="24"/>
    </row>
    <row r="3" spans="1:16" s="2" customFormat="1" ht="81" customHeight="1" thickBot="1" x14ac:dyDescent="0.3">
      <c r="A3" s="25" t="s">
        <v>18</v>
      </c>
      <c r="B3" s="9" t="s">
        <v>17</v>
      </c>
      <c r="C3" s="6">
        <v>2</v>
      </c>
      <c r="D3" s="23">
        <f t="shared" ref="D3:D10" si="0">SUM(E3:P3)</f>
        <v>1</v>
      </c>
      <c r="E3" s="26"/>
      <c r="F3" s="26">
        <v>1</v>
      </c>
      <c r="G3" s="26"/>
      <c r="H3" s="26"/>
      <c r="I3" s="26"/>
      <c r="J3" s="26"/>
      <c r="K3" s="26"/>
      <c r="L3" s="26"/>
      <c r="M3" s="26"/>
      <c r="N3" s="26"/>
      <c r="O3" s="26"/>
      <c r="P3" s="26"/>
    </row>
    <row r="4" spans="1:16" s="2" customFormat="1" ht="81" customHeight="1" thickBot="1" x14ac:dyDescent="0.3">
      <c r="A4" s="27" t="s">
        <v>20</v>
      </c>
      <c r="B4" s="10" t="s">
        <v>24</v>
      </c>
      <c r="C4" s="28">
        <v>2</v>
      </c>
      <c r="D4" s="23">
        <f t="shared" si="0"/>
        <v>0</v>
      </c>
      <c r="E4" s="26">
        <v>0</v>
      </c>
      <c r="F4" s="26">
        <v>0</v>
      </c>
      <c r="G4" s="26">
        <v>0</v>
      </c>
      <c r="H4" s="26">
        <v>0</v>
      </c>
      <c r="I4" s="26"/>
      <c r="J4" s="26"/>
      <c r="K4" s="26"/>
      <c r="L4" s="26"/>
      <c r="M4" s="26"/>
      <c r="N4" s="26"/>
      <c r="O4" s="26"/>
      <c r="P4" s="26"/>
    </row>
    <row r="5" spans="1:16" s="2" customFormat="1" ht="81" customHeight="1" thickBot="1" x14ac:dyDescent="0.3">
      <c r="A5" s="29" t="s">
        <v>22</v>
      </c>
      <c r="B5" s="11" t="s">
        <v>25</v>
      </c>
      <c r="C5" s="30">
        <v>1</v>
      </c>
      <c r="D5" s="23">
        <f t="shared" si="0"/>
        <v>0</v>
      </c>
      <c r="E5" s="26">
        <v>0</v>
      </c>
      <c r="F5" s="26">
        <v>0</v>
      </c>
      <c r="G5" s="26">
        <v>0</v>
      </c>
      <c r="H5" s="26">
        <v>0</v>
      </c>
      <c r="I5" s="26"/>
      <c r="J5" s="26"/>
      <c r="K5" s="26"/>
      <c r="L5" s="26"/>
      <c r="M5" s="26"/>
      <c r="N5" s="26"/>
      <c r="O5" s="26"/>
      <c r="P5" s="26"/>
    </row>
    <row r="6" spans="1:16" s="2" customFormat="1" ht="81" customHeight="1" thickBot="1" x14ac:dyDescent="0.3">
      <c r="A6" s="25" t="s">
        <v>18</v>
      </c>
      <c r="B6" s="9" t="s">
        <v>26</v>
      </c>
      <c r="C6" s="31">
        <v>2</v>
      </c>
      <c r="D6" s="23">
        <f t="shared" si="0"/>
        <v>0</v>
      </c>
      <c r="E6" s="26"/>
      <c r="F6" s="26"/>
      <c r="G6" s="26"/>
      <c r="H6" s="26"/>
      <c r="I6" s="26"/>
      <c r="J6" s="26"/>
      <c r="K6" s="26"/>
      <c r="L6" s="26"/>
      <c r="M6" s="26"/>
      <c r="N6" s="26"/>
      <c r="O6" s="26"/>
      <c r="P6" s="26"/>
    </row>
    <row r="7" spans="1:16" s="2" customFormat="1" ht="81" customHeight="1" thickBot="1" x14ac:dyDescent="0.3">
      <c r="A7" s="25" t="s">
        <v>18</v>
      </c>
      <c r="B7" s="9" t="s">
        <v>27</v>
      </c>
      <c r="C7" s="31">
        <v>1</v>
      </c>
      <c r="D7" s="23">
        <f t="shared" si="0"/>
        <v>0</v>
      </c>
      <c r="E7" s="26"/>
      <c r="F7" s="26"/>
      <c r="G7" s="26"/>
      <c r="H7" s="26"/>
      <c r="I7" s="26"/>
      <c r="J7" s="26"/>
      <c r="K7" s="26"/>
      <c r="L7" s="26"/>
      <c r="M7" s="26"/>
      <c r="N7" s="26"/>
      <c r="O7" s="26"/>
      <c r="P7" s="26"/>
    </row>
    <row r="8" spans="1:16" s="2" customFormat="1" ht="81" customHeight="1" thickBot="1" x14ac:dyDescent="0.3">
      <c r="A8" s="25" t="s">
        <v>18</v>
      </c>
      <c r="B8" s="9" t="s">
        <v>28</v>
      </c>
      <c r="C8" s="31">
        <v>1</v>
      </c>
      <c r="D8" s="23">
        <f t="shared" si="0"/>
        <v>0</v>
      </c>
      <c r="E8" s="26"/>
      <c r="F8" s="26"/>
      <c r="G8" s="26"/>
      <c r="H8" s="26"/>
      <c r="I8" s="26"/>
      <c r="J8" s="26"/>
      <c r="K8" s="26"/>
      <c r="L8" s="26"/>
      <c r="M8" s="26"/>
      <c r="N8" s="26"/>
      <c r="O8" s="26"/>
      <c r="P8" s="26"/>
    </row>
    <row r="9" spans="1:16" s="2" customFormat="1" ht="81" customHeight="1" thickBot="1" x14ac:dyDescent="0.3">
      <c r="A9" s="25" t="s">
        <v>18</v>
      </c>
      <c r="B9" s="9" t="s">
        <v>29</v>
      </c>
      <c r="C9" s="31">
        <v>1</v>
      </c>
      <c r="D9" s="23">
        <f t="shared" si="0"/>
        <v>0</v>
      </c>
      <c r="E9" s="26"/>
      <c r="F9" s="26"/>
      <c r="G9" s="26"/>
      <c r="H9" s="26"/>
      <c r="I9" s="26"/>
      <c r="J9" s="26"/>
      <c r="K9" s="26"/>
      <c r="L9" s="26"/>
      <c r="M9" s="26"/>
      <c r="N9" s="26"/>
      <c r="O9" s="26"/>
      <c r="P9" s="26"/>
    </row>
    <row r="10" spans="1:16" s="2" customFormat="1" ht="81" customHeight="1" thickBot="1" x14ac:dyDescent="0.3">
      <c r="A10" s="25" t="s">
        <v>18</v>
      </c>
      <c r="B10" s="9" t="s">
        <v>30</v>
      </c>
      <c r="C10" s="31">
        <v>1</v>
      </c>
      <c r="D10" s="23">
        <f t="shared" si="0"/>
        <v>0</v>
      </c>
      <c r="E10" s="26"/>
      <c r="F10" s="26"/>
      <c r="G10" s="26"/>
      <c r="H10" s="26"/>
      <c r="I10" s="26"/>
      <c r="J10" s="26"/>
      <c r="K10" s="26"/>
      <c r="L10" s="26"/>
      <c r="M10" s="26"/>
      <c r="N10" s="26"/>
      <c r="O10" s="26"/>
      <c r="P10" s="26"/>
    </row>
    <row r="11" spans="1:16" s="2" customFormat="1" ht="81" customHeight="1" thickBot="1" x14ac:dyDescent="0.3">
      <c r="A11" s="25" t="s">
        <v>18</v>
      </c>
      <c r="B11" s="9" t="s">
        <v>31</v>
      </c>
      <c r="C11" s="31">
        <v>1</v>
      </c>
      <c r="D11" s="23">
        <f>SUM(E11:P11)</f>
        <v>0</v>
      </c>
      <c r="E11" s="26"/>
      <c r="F11" s="26"/>
      <c r="G11" s="26"/>
      <c r="H11" s="26"/>
      <c r="I11" s="26"/>
      <c r="J11" s="26"/>
      <c r="K11" s="26"/>
      <c r="L11" s="26"/>
      <c r="M11" s="26"/>
      <c r="N11" s="26"/>
      <c r="O11" s="26"/>
      <c r="P11" s="26"/>
    </row>
    <row r="12" spans="1:16" s="2" customFormat="1" ht="28.5" customHeight="1" x14ac:dyDescent="0.25">
      <c r="A12" s="46" t="s">
        <v>51</v>
      </c>
      <c r="B12" s="32" t="s">
        <v>52</v>
      </c>
      <c r="C12" s="31">
        <v>0</v>
      </c>
      <c r="D12" s="23">
        <f t="shared" ref="D12:D39" si="1">SUM(E12:O12)</f>
        <v>0</v>
      </c>
      <c r="E12" s="26"/>
      <c r="F12" s="26"/>
      <c r="G12" s="26"/>
      <c r="H12" s="26"/>
      <c r="I12" s="26"/>
      <c r="J12" s="26"/>
      <c r="K12" s="26"/>
      <c r="L12" s="26"/>
      <c r="M12" s="26"/>
      <c r="N12" s="26"/>
      <c r="O12" s="26"/>
      <c r="P12" s="33"/>
    </row>
    <row r="13" spans="1:16" s="2" customFormat="1" ht="28.5" customHeight="1" x14ac:dyDescent="0.25">
      <c r="A13" s="47"/>
      <c r="B13" s="32" t="s">
        <v>53</v>
      </c>
      <c r="C13" s="31">
        <v>1</v>
      </c>
      <c r="D13" s="23">
        <f t="shared" si="1"/>
        <v>0</v>
      </c>
      <c r="E13" s="26"/>
      <c r="F13" s="26"/>
      <c r="G13" s="26"/>
      <c r="H13" s="26"/>
      <c r="I13" s="26"/>
      <c r="J13" s="26"/>
      <c r="K13" s="26"/>
      <c r="L13" s="26"/>
      <c r="M13" s="26"/>
      <c r="N13" s="26"/>
      <c r="O13" s="26"/>
      <c r="P13" s="33"/>
    </row>
    <row r="14" spans="1:16" s="2" customFormat="1" ht="28.5" customHeight="1" x14ac:dyDescent="0.25">
      <c r="A14" s="47"/>
      <c r="B14" s="32" t="s">
        <v>54</v>
      </c>
      <c r="C14" s="31">
        <v>176</v>
      </c>
      <c r="D14" s="23">
        <f t="shared" si="1"/>
        <v>74</v>
      </c>
      <c r="E14" s="26">
        <v>16</v>
      </c>
      <c r="F14" s="26">
        <v>14</v>
      </c>
      <c r="G14" s="26">
        <v>15</v>
      </c>
      <c r="H14" s="26">
        <v>13</v>
      </c>
      <c r="I14" s="26">
        <v>16</v>
      </c>
      <c r="J14" s="26"/>
      <c r="K14" s="26"/>
      <c r="L14" s="26"/>
      <c r="M14" s="26"/>
      <c r="N14" s="26"/>
      <c r="O14" s="26"/>
      <c r="P14" s="33"/>
    </row>
    <row r="15" spans="1:16" s="2" customFormat="1" ht="28.5" customHeight="1" x14ac:dyDescent="0.25">
      <c r="A15" s="47"/>
      <c r="B15" s="32" t="s">
        <v>55</v>
      </c>
      <c r="C15" s="31">
        <v>31</v>
      </c>
      <c r="D15" s="23">
        <f t="shared" si="1"/>
        <v>23</v>
      </c>
      <c r="E15" s="26"/>
      <c r="F15" s="26"/>
      <c r="G15" s="26">
        <v>2</v>
      </c>
      <c r="H15" s="26">
        <v>21</v>
      </c>
      <c r="I15" s="26"/>
      <c r="J15" s="26"/>
      <c r="K15" s="26"/>
      <c r="L15" s="26"/>
      <c r="M15" s="26"/>
      <c r="N15" s="26"/>
      <c r="O15" s="26"/>
      <c r="P15" s="33"/>
    </row>
    <row r="16" spans="1:16" s="2" customFormat="1" ht="28.5" customHeight="1" x14ac:dyDescent="0.25">
      <c r="A16" s="47"/>
      <c r="B16" s="32" t="s">
        <v>56</v>
      </c>
      <c r="C16" s="31">
        <v>3</v>
      </c>
      <c r="D16" s="23">
        <f t="shared" si="1"/>
        <v>1</v>
      </c>
      <c r="E16" s="26"/>
      <c r="F16" s="26"/>
      <c r="G16" s="26"/>
      <c r="H16" s="26"/>
      <c r="I16" s="26">
        <v>1</v>
      </c>
      <c r="J16" s="26"/>
      <c r="K16" s="26"/>
      <c r="L16" s="26"/>
      <c r="M16" s="26"/>
      <c r="N16" s="26"/>
      <c r="O16" s="26"/>
      <c r="P16" s="33"/>
    </row>
    <row r="17" spans="1:16" s="2" customFormat="1" ht="28.5" customHeight="1" x14ac:dyDescent="0.25">
      <c r="A17" s="47"/>
      <c r="B17" s="32" t="s">
        <v>57</v>
      </c>
      <c r="C17" s="31">
        <v>45</v>
      </c>
      <c r="D17" s="23">
        <f t="shared" si="1"/>
        <v>16</v>
      </c>
      <c r="E17" s="26">
        <v>1</v>
      </c>
      <c r="F17" s="26"/>
      <c r="G17" s="26">
        <v>4</v>
      </c>
      <c r="H17" s="26">
        <v>6</v>
      </c>
      <c r="I17" s="26">
        <v>5</v>
      </c>
      <c r="J17" s="26"/>
      <c r="K17" s="26"/>
      <c r="L17" s="26"/>
      <c r="M17" s="26"/>
      <c r="N17" s="26"/>
      <c r="O17" s="26"/>
      <c r="P17" s="33"/>
    </row>
    <row r="18" spans="1:16" s="2" customFormat="1" ht="28.5" customHeight="1" x14ac:dyDescent="0.25">
      <c r="A18" s="47"/>
      <c r="B18" s="32" t="s">
        <v>58</v>
      </c>
      <c r="C18" s="31">
        <v>0</v>
      </c>
      <c r="D18" s="23">
        <f t="shared" si="1"/>
        <v>0</v>
      </c>
      <c r="E18" s="26"/>
      <c r="F18" s="26"/>
      <c r="G18" s="26"/>
      <c r="H18" s="26"/>
      <c r="I18" s="26"/>
      <c r="J18" s="26"/>
      <c r="K18" s="26"/>
      <c r="L18" s="26"/>
      <c r="M18" s="26"/>
      <c r="N18" s="26"/>
      <c r="O18" s="26"/>
      <c r="P18" s="33"/>
    </row>
    <row r="19" spans="1:16" s="2" customFormat="1" ht="28.5" customHeight="1" x14ac:dyDescent="0.25">
      <c r="A19" s="47"/>
      <c r="B19" s="32" t="s">
        <v>59</v>
      </c>
      <c r="C19" s="31">
        <v>40</v>
      </c>
      <c r="D19" s="23">
        <f t="shared" si="1"/>
        <v>34</v>
      </c>
      <c r="E19" s="26">
        <v>12</v>
      </c>
      <c r="F19" s="26">
        <v>11</v>
      </c>
      <c r="G19" s="26">
        <v>9</v>
      </c>
      <c r="H19" s="26">
        <v>2</v>
      </c>
      <c r="I19" s="26"/>
      <c r="J19" s="26"/>
      <c r="K19" s="26"/>
      <c r="L19" s="26"/>
      <c r="M19" s="26"/>
      <c r="N19" s="26"/>
      <c r="O19" s="26"/>
      <c r="P19" s="33"/>
    </row>
    <row r="20" spans="1:16" s="2" customFormat="1" ht="28.5" customHeight="1" x14ac:dyDescent="0.25">
      <c r="A20" s="47"/>
      <c r="B20" s="32" t="s">
        <v>60</v>
      </c>
      <c r="C20" s="31">
        <v>3</v>
      </c>
      <c r="D20" s="23">
        <f t="shared" si="1"/>
        <v>2</v>
      </c>
      <c r="E20" s="26"/>
      <c r="F20" s="26"/>
      <c r="G20" s="26"/>
      <c r="H20" s="26">
        <v>1</v>
      </c>
      <c r="I20" s="26">
        <v>1</v>
      </c>
      <c r="J20" s="26"/>
      <c r="K20" s="26"/>
      <c r="L20" s="26"/>
      <c r="M20" s="26"/>
      <c r="N20" s="26"/>
      <c r="O20" s="26"/>
      <c r="P20" s="33"/>
    </row>
    <row r="21" spans="1:16" s="2" customFormat="1" ht="28.5" customHeight="1" x14ac:dyDescent="0.25">
      <c r="A21" s="47"/>
      <c r="B21" s="32" t="s">
        <v>61</v>
      </c>
      <c r="C21" s="31">
        <v>5</v>
      </c>
      <c r="D21" s="23">
        <f t="shared" si="1"/>
        <v>1</v>
      </c>
      <c r="E21" s="26"/>
      <c r="F21" s="26"/>
      <c r="G21" s="26"/>
      <c r="H21" s="26"/>
      <c r="I21" s="26">
        <v>1</v>
      </c>
      <c r="J21" s="26"/>
      <c r="K21" s="26"/>
      <c r="L21" s="26"/>
      <c r="M21" s="26"/>
      <c r="N21" s="26"/>
      <c r="O21" s="26"/>
      <c r="P21" s="33"/>
    </row>
    <row r="22" spans="1:16" s="2" customFormat="1" ht="28.5" customHeight="1" x14ac:dyDescent="0.25">
      <c r="A22" s="47"/>
      <c r="B22" s="32" t="s">
        <v>62</v>
      </c>
      <c r="C22" s="31">
        <v>0</v>
      </c>
      <c r="D22" s="23">
        <f t="shared" si="1"/>
        <v>0</v>
      </c>
      <c r="E22" s="26"/>
      <c r="F22" s="26"/>
      <c r="G22" s="26"/>
      <c r="H22" s="26"/>
      <c r="I22" s="26"/>
      <c r="J22" s="26"/>
      <c r="K22" s="26"/>
      <c r="L22" s="26"/>
      <c r="M22" s="26"/>
      <c r="N22" s="26"/>
      <c r="O22" s="26"/>
      <c r="P22" s="33"/>
    </row>
    <row r="23" spans="1:16" s="2" customFormat="1" ht="28.5" customHeight="1" x14ac:dyDescent="0.25">
      <c r="A23" s="47"/>
      <c r="B23" s="32" t="s">
        <v>63</v>
      </c>
      <c r="C23" s="31">
        <v>3</v>
      </c>
      <c r="D23" s="23">
        <f t="shared" si="1"/>
        <v>0</v>
      </c>
      <c r="E23" s="26"/>
      <c r="F23" s="26"/>
      <c r="G23" s="26"/>
      <c r="H23" s="26"/>
      <c r="I23" s="26"/>
      <c r="J23" s="26"/>
      <c r="K23" s="26"/>
      <c r="L23" s="26"/>
      <c r="M23" s="26"/>
      <c r="N23" s="26"/>
      <c r="O23" s="26"/>
      <c r="P23" s="33"/>
    </row>
    <row r="24" spans="1:16" s="2" customFormat="1" ht="28.5" customHeight="1" x14ac:dyDescent="0.25">
      <c r="A24" s="47"/>
      <c r="B24" s="32" t="s">
        <v>64</v>
      </c>
      <c r="C24" s="31">
        <v>0</v>
      </c>
      <c r="D24" s="23">
        <f t="shared" si="1"/>
        <v>0</v>
      </c>
      <c r="E24" s="26"/>
      <c r="F24" s="26"/>
      <c r="G24" s="26"/>
      <c r="H24" s="26"/>
      <c r="I24" s="26"/>
      <c r="J24" s="26"/>
      <c r="K24" s="26"/>
      <c r="L24" s="26"/>
      <c r="M24" s="26"/>
      <c r="N24" s="26"/>
      <c r="O24" s="26"/>
      <c r="P24" s="33"/>
    </row>
    <row r="25" spans="1:16" s="2" customFormat="1" ht="28.5" customHeight="1" x14ac:dyDescent="0.25">
      <c r="A25" s="47"/>
      <c r="B25" s="32" t="s">
        <v>65</v>
      </c>
      <c r="C25" s="31">
        <v>0</v>
      </c>
      <c r="D25" s="23">
        <f t="shared" si="1"/>
        <v>0</v>
      </c>
      <c r="E25" s="26"/>
      <c r="F25" s="26"/>
      <c r="G25" s="26"/>
      <c r="H25" s="26"/>
      <c r="I25" s="26"/>
      <c r="J25" s="26"/>
      <c r="K25" s="26"/>
      <c r="L25" s="26"/>
      <c r="M25" s="26"/>
      <c r="N25" s="26"/>
      <c r="O25" s="26"/>
      <c r="P25" s="33"/>
    </row>
    <row r="26" spans="1:16" s="2" customFormat="1" ht="28.5" customHeight="1" x14ac:dyDescent="0.25">
      <c r="A26" s="47"/>
      <c r="B26" s="32" t="s">
        <v>66</v>
      </c>
      <c r="C26" s="31">
        <v>205</v>
      </c>
      <c r="D26" s="23">
        <f t="shared" si="1"/>
        <v>70</v>
      </c>
      <c r="E26" s="26">
        <v>16</v>
      </c>
      <c r="F26" s="26">
        <v>13</v>
      </c>
      <c r="G26" s="26">
        <v>15</v>
      </c>
      <c r="H26" s="26">
        <v>14</v>
      </c>
      <c r="I26" s="26">
        <v>12</v>
      </c>
      <c r="J26" s="26"/>
      <c r="K26" s="26"/>
      <c r="L26" s="26"/>
      <c r="M26" s="26"/>
      <c r="N26" s="26"/>
      <c r="O26" s="26"/>
      <c r="P26" s="33"/>
    </row>
    <row r="27" spans="1:16" s="2" customFormat="1" ht="28.5" customHeight="1" x14ac:dyDescent="0.25">
      <c r="A27" s="47"/>
      <c r="B27" s="32" t="s">
        <v>67</v>
      </c>
      <c r="C27" s="31">
        <v>5</v>
      </c>
      <c r="D27" s="23">
        <f t="shared" si="1"/>
        <v>2</v>
      </c>
      <c r="E27" s="26"/>
      <c r="F27" s="26">
        <v>1</v>
      </c>
      <c r="G27" s="26">
        <v>1</v>
      </c>
      <c r="H27" s="26"/>
      <c r="I27" s="26"/>
      <c r="J27" s="26"/>
      <c r="K27" s="26"/>
      <c r="L27" s="26"/>
      <c r="M27" s="26"/>
      <c r="N27" s="26"/>
      <c r="O27" s="26"/>
      <c r="P27" s="33"/>
    </row>
    <row r="28" spans="1:16" s="2" customFormat="1" ht="24" customHeight="1" x14ac:dyDescent="0.25">
      <c r="A28" s="47"/>
      <c r="B28" s="34" t="s">
        <v>68</v>
      </c>
      <c r="C28" s="31">
        <v>6</v>
      </c>
      <c r="D28" s="23">
        <f t="shared" si="1"/>
        <v>5</v>
      </c>
      <c r="E28" s="26"/>
      <c r="F28" s="26"/>
      <c r="G28" s="26"/>
      <c r="H28" s="26">
        <v>5</v>
      </c>
      <c r="I28" s="26"/>
      <c r="J28" s="26"/>
      <c r="K28" s="26"/>
      <c r="L28" s="26"/>
      <c r="M28" s="26"/>
      <c r="N28" s="26"/>
      <c r="O28" s="26"/>
      <c r="P28" s="33"/>
    </row>
    <row r="29" spans="1:16" s="2" customFormat="1" ht="24" customHeight="1" x14ac:dyDescent="0.25">
      <c r="A29" s="47"/>
      <c r="B29" s="34" t="s">
        <v>69</v>
      </c>
      <c r="C29" s="31">
        <v>6</v>
      </c>
      <c r="D29" s="23">
        <f t="shared" si="1"/>
        <v>5</v>
      </c>
      <c r="E29" s="26"/>
      <c r="F29" s="26"/>
      <c r="G29" s="26"/>
      <c r="H29" s="26">
        <v>5</v>
      </c>
      <c r="I29" s="26"/>
      <c r="J29" s="26"/>
      <c r="K29" s="26"/>
      <c r="L29" s="26"/>
      <c r="M29" s="26"/>
      <c r="N29" s="26"/>
      <c r="O29" s="26"/>
      <c r="P29" s="33"/>
    </row>
    <row r="30" spans="1:16" s="2" customFormat="1" ht="24" customHeight="1" x14ac:dyDescent="0.25">
      <c r="A30" s="47"/>
      <c r="B30" s="34" t="s">
        <v>70</v>
      </c>
      <c r="C30" s="31">
        <v>6</v>
      </c>
      <c r="D30" s="23">
        <f t="shared" si="1"/>
        <v>5</v>
      </c>
      <c r="E30" s="26"/>
      <c r="F30" s="26"/>
      <c r="G30" s="26"/>
      <c r="H30" s="26"/>
      <c r="I30" s="26">
        <v>5</v>
      </c>
      <c r="J30" s="26"/>
      <c r="K30" s="26"/>
      <c r="L30" s="26"/>
      <c r="M30" s="26"/>
      <c r="N30" s="26"/>
      <c r="O30" s="26"/>
      <c r="P30" s="33"/>
    </row>
    <row r="31" spans="1:16" s="2" customFormat="1" ht="24" customHeight="1" x14ac:dyDescent="0.25">
      <c r="A31" s="47"/>
      <c r="B31" s="34" t="s">
        <v>71</v>
      </c>
      <c r="C31" s="31">
        <v>6</v>
      </c>
      <c r="D31" s="23">
        <f t="shared" si="1"/>
        <v>0</v>
      </c>
      <c r="E31" s="26"/>
      <c r="F31" s="26"/>
      <c r="G31" s="26"/>
      <c r="H31" s="26"/>
      <c r="I31" s="26"/>
      <c r="J31" s="26"/>
      <c r="K31" s="26"/>
      <c r="L31" s="26"/>
      <c r="M31" s="26"/>
      <c r="N31" s="26"/>
      <c r="O31" s="26"/>
      <c r="P31" s="33"/>
    </row>
    <row r="32" spans="1:16" s="2" customFormat="1" ht="24" customHeight="1" x14ac:dyDescent="0.25">
      <c r="A32" s="47"/>
      <c r="B32" s="34" t="s">
        <v>72</v>
      </c>
      <c r="C32" s="31">
        <v>6</v>
      </c>
      <c r="D32" s="23">
        <f t="shared" si="1"/>
        <v>0</v>
      </c>
      <c r="E32" s="26"/>
      <c r="F32" s="26"/>
      <c r="G32" s="26"/>
      <c r="H32" s="26"/>
      <c r="I32" s="26"/>
      <c r="J32" s="26"/>
      <c r="K32" s="26"/>
      <c r="L32" s="26"/>
      <c r="M32" s="26"/>
      <c r="N32" s="26"/>
      <c r="O32" s="26"/>
      <c r="P32" s="33"/>
    </row>
    <row r="33" spans="1:66" s="2" customFormat="1" ht="24" customHeight="1" x14ac:dyDescent="0.25">
      <c r="A33" s="47"/>
      <c r="B33" s="34" t="s">
        <v>73</v>
      </c>
      <c r="C33" s="31">
        <v>1</v>
      </c>
      <c r="D33" s="23">
        <f t="shared" si="1"/>
        <v>0</v>
      </c>
      <c r="E33" s="26"/>
      <c r="F33" s="26"/>
      <c r="G33" s="26"/>
      <c r="H33" s="26"/>
      <c r="I33" s="26"/>
      <c r="J33" s="26"/>
      <c r="K33" s="26"/>
      <c r="L33" s="26"/>
      <c r="M33" s="26"/>
      <c r="N33" s="26"/>
      <c r="O33" s="26"/>
      <c r="P33" s="33"/>
    </row>
    <row r="34" spans="1:66" s="2" customFormat="1" ht="24" customHeight="1" x14ac:dyDescent="0.25">
      <c r="A34" s="47"/>
      <c r="B34" s="34" t="s">
        <v>74</v>
      </c>
      <c r="C34" s="31">
        <v>1</v>
      </c>
      <c r="D34" s="23">
        <f t="shared" si="1"/>
        <v>0</v>
      </c>
      <c r="E34" s="26"/>
      <c r="F34" s="26"/>
      <c r="G34" s="26"/>
      <c r="H34" s="26"/>
      <c r="I34" s="26"/>
      <c r="J34" s="26"/>
      <c r="K34" s="26"/>
      <c r="L34" s="26"/>
      <c r="M34" s="26"/>
      <c r="N34" s="26"/>
      <c r="O34" s="26"/>
      <c r="P34" s="33"/>
    </row>
    <row r="35" spans="1:66" s="2" customFormat="1" ht="24" customHeight="1" x14ac:dyDescent="0.25">
      <c r="A35" s="47"/>
      <c r="B35" s="34" t="s">
        <v>75</v>
      </c>
      <c r="C35" s="31">
        <v>1</v>
      </c>
      <c r="D35" s="23">
        <f t="shared" si="1"/>
        <v>0</v>
      </c>
      <c r="E35" s="26"/>
      <c r="F35" s="26"/>
      <c r="G35" s="26"/>
      <c r="H35" s="26"/>
      <c r="I35" s="26"/>
      <c r="J35" s="26"/>
      <c r="K35" s="26"/>
      <c r="L35" s="26"/>
      <c r="M35" s="26"/>
      <c r="N35" s="26"/>
      <c r="O35" s="26"/>
      <c r="P35" s="33"/>
    </row>
    <row r="36" spans="1:66" s="2" customFormat="1" ht="24" customHeight="1" x14ac:dyDescent="0.25">
      <c r="A36" s="47"/>
      <c r="B36" s="34" t="s">
        <v>76</v>
      </c>
      <c r="C36" s="31">
        <v>1</v>
      </c>
      <c r="D36" s="23">
        <f t="shared" si="1"/>
        <v>0</v>
      </c>
      <c r="E36" s="26"/>
      <c r="F36" s="26"/>
      <c r="G36" s="26"/>
      <c r="H36" s="26"/>
      <c r="I36" s="26"/>
      <c r="J36" s="26"/>
      <c r="K36" s="26"/>
      <c r="L36" s="26"/>
      <c r="M36" s="26"/>
      <c r="N36" s="26"/>
      <c r="O36" s="26"/>
      <c r="P36" s="33"/>
    </row>
    <row r="37" spans="1:66" s="2" customFormat="1" ht="24" customHeight="1" x14ac:dyDescent="0.25">
      <c r="A37" s="47"/>
      <c r="B37" s="34" t="s">
        <v>77</v>
      </c>
      <c r="C37" s="31">
        <v>1</v>
      </c>
      <c r="D37" s="23">
        <f t="shared" si="1"/>
        <v>0</v>
      </c>
      <c r="E37" s="26"/>
      <c r="F37" s="26"/>
      <c r="G37" s="26"/>
      <c r="H37" s="26"/>
      <c r="I37" s="26"/>
      <c r="J37" s="26"/>
      <c r="K37" s="26"/>
      <c r="L37" s="26"/>
      <c r="M37" s="26"/>
      <c r="N37" s="26"/>
      <c r="O37" s="26"/>
      <c r="P37" s="33"/>
    </row>
    <row r="38" spans="1:66" s="2" customFormat="1" ht="24" customHeight="1" x14ac:dyDescent="0.25">
      <c r="A38" s="47"/>
      <c r="B38" s="34" t="s">
        <v>78</v>
      </c>
      <c r="C38" s="31">
        <v>1</v>
      </c>
      <c r="D38" s="23">
        <f t="shared" si="1"/>
        <v>0</v>
      </c>
      <c r="E38" s="26"/>
      <c r="F38" s="26"/>
      <c r="G38" s="26"/>
      <c r="H38" s="26"/>
      <c r="I38" s="26"/>
      <c r="J38" s="26"/>
      <c r="K38" s="26"/>
      <c r="L38" s="26"/>
      <c r="M38" s="26"/>
      <c r="N38" s="26"/>
      <c r="O38" s="26"/>
      <c r="P38" s="33"/>
    </row>
    <row r="39" spans="1:66" s="2" customFormat="1" ht="24" customHeight="1" thickBot="1" x14ac:dyDescent="0.3">
      <c r="A39" s="48"/>
      <c r="B39" s="35" t="s">
        <v>79</v>
      </c>
      <c r="C39" s="31">
        <v>1</v>
      </c>
      <c r="D39" s="23">
        <f t="shared" si="1"/>
        <v>0</v>
      </c>
      <c r="E39" s="26"/>
      <c r="F39" s="26"/>
      <c r="G39" s="26"/>
      <c r="H39" s="26"/>
      <c r="I39" s="26"/>
      <c r="J39" s="26"/>
      <c r="K39" s="26"/>
      <c r="L39" s="26"/>
      <c r="M39" s="26"/>
      <c r="N39" s="26"/>
      <c r="O39" s="26"/>
      <c r="P39" s="33"/>
    </row>
    <row r="40" spans="1:66" s="2" customFormat="1" x14ac:dyDescent="0.25">
      <c r="C40" s="36">
        <f>SUM(C3:C39)</f>
        <v>566</v>
      </c>
      <c r="D40" s="37">
        <f>SUM(D3:D39)</f>
        <v>239</v>
      </c>
    </row>
    <row r="41" spans="1:66" s="2" customFormat="1" x14ac:dyDescent="0.25">
      <c r="C41" s="38"/>
      <c r="D41" s="39">
        <f>D40/C40</f>
        <v>0.42226148409893993</v>
      </c>
    </row>
    <row r="42" spans="1:66" ht="15.7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row>
    <row r="43" spans="1:66" ht="15.7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row>
    <row r="44" spans="1:66" ht="15.7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row>
    <row r="45" spans="1:66" ht="15.7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row>
    <row r="46" spans="1:66" ht="15.7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row>
    <row r="47" spans="1:66" ht="15.75" customHeight="1" x14ac:dyDescent="0.25">
      <c r="A47" s="12"/>
      <c r="B47" s="12"/>
      <c r="C47" s="43"/>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row>
    <row r="48" spans="1:66" ht="15.75" customHeight="1" x14ac:dyDescent="0.25">
      <c r="A48" s="12"/>
      <c r="B48" s="12"/>
      <c r="C48" s="43"/>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row>
    <row r="49" spans="1:66" ht="15.75" customHeight="1" x14ac:dyDescent="0.25">
      <c r="A49" s="12"/>
      <c r="B49" s="12"/>
      <c r="C49" s="43"/>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row>
    <row r="50" spans="1:66" ht="15.75" customHeight="1" x14ac:dyDescent="0.25">
      <c r="A50" s="12"/>
      <c r="B50" s="12"/>
      <c r="C50" s="43"/>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row>
    <row r="51" spans="1:66" ht="15.75" customHeight="1" x14ac:dyDescent="0.25">
      <c r="A51" s="12"/>
      <c r="B51" s="12"/>
      <c r="C51" s="43"/>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row>
    <row r="52" spans="1:66" ht="15.75" customHeight="1" x14ac:dyDescent="0.25">
      <c r="A52" s="12"/>
      <c r="B52" s="12"/>
      <c r="C52" s="43"/>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row>
    <row r="53" spans="1:66" ht="15.75" customHeight="1" x14ac:dyDescent="0.25">
      <c r="A53" s="12"/>
      <c r="B53" s="12"/>
      <c r="C53" s="43"/>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row>
    <row r="54" spans="1:66" ht="15.75" customHeight="1" x14ac:dyDescent="0.25">
      <c r="A54" s="12"/>
      <c r="B54" s="12"/>
      <c r="C54" s="43"/>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row>
    <row r="55" spans="1:66" ht="15.75" customHeight="1" x14ac:dyDescent="0.25">
      <c r="A55" s="12"/>
      <c r="B55" s="12"/>
      <c r="C55" s="43"/>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row>
    <row r="56" spans="1:66" ht="15.75" customHeight="1" x14ac:dyDescent="0.25">
      <c r="A56" s="12"/>
      <c r="B56" s="12"/>
      <c r="C56" s="43"/>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row>
    <row r="57" spans="1:66" ht="15.75" customHeight="1" x14ac:dyDescent="0.25">
      <c r="A57" s="12"/>
      <c r="B57" s="12"/>
      <c r="C57" s="43"/>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row>
    <row r="58" spans="1:66" ht="15.75" customHeight="1" x14ac:dyDescent="0.25">
      <c r="A58" s="12"/>
      <c r="B58" s="12"/>
      <c r="C58" s="43"/>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row>
    <row r="59" spans="1:66" ht="15.75" customHeight="1" x14ac:dyDescent="0.25">
      <c r="A59" s="12"/>
      <c r="B59" s="12"/>
      <c r="C59" s="43"/>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row>
    <row r="60" spans="1:66" ht="15.75" customHeight="1" x14ac:dyDescent="0.25">
      <c r="A60" s="12"/>
      <c r="B60" s="12"/>
      <c r="C60" s="43"/>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row>
    <row r="61" spans="1:66" ht="15.75" customHeight="1" x14ac:dyDescent="0.25">
      <c r="A61" s="12"/>
      <c r="B61" s="12"/>
      <c r="C61" s="43"/>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row>
    <row r="62" spans="1:66" ht="15.75" customHeight="1" x14ac:dyDescent="0.25">
      <c r="A62" s="12"/>
      <c r="B62" s="12"/>
      <c r="C62" s="43"/>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row>
    <row r="63" spans="1:66" ht="15.7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row>
    <row r="64" spans="1:66" ht="15.7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row>
    <row r="65" spans="1:66" ht="15.7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row>
    <row r="66" spans="1:66" ht="15.7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row>
    <row r="67" spans="1:66" ht="15.7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row>
    <row r="68" spans="1:66" ht="15.7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row>
    <row r="69" spans="1:66" ht="15.7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row>
    <row r="70" spans="1:66" ht="15.7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row>
    <row r="71" spans="1:66" ht="15.7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row>
    <row r="72" spans="1:66" ht="15.7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row>
    <row r="73" spans="1:66" ht="15.7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row>
    <row r="74" spans="1:66" ht="15.7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row>
    <row r="75" spans="1:66" ht="15.7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row>
    <row r="76" spans="1:66" ht="15.7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row>
    <row r="77" spans="1:66" ht="15.7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row>
    <row r="78" spans="1:66" ht="15.7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row>
    <row r="79" spans="1:66" ht="15.7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row>
    <row r="80" spans="1:66" ht="15.7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row>
    <row r="81" spans="1:66" ht="15.7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row>
    <row r="82" spans="1:66" ht="15.7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row>
    <row r="83" spans="1:66" ht="15.7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row>
    <row r="84" spans="1:66" ht="15.7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row>
    <row r="85" spans="1:66" ht="15.7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row>
    <row r="86" spans="1:66" ht="15.7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row>
    <row r="87" spans="1:66" ht="15.7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row>
    <row r="88" spans="1:66" ht="15.7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row>
    <row r="89" spans="1:66" ht="15.7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row>
    <row r="90" spans="1:66" ht="15.7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row>
    <row r="91" spans="1:66" ht="15.7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row>
    <row r="92" spans="1:66" ht="15.7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row>
    <row r="93" spans="1:66" ht="15.7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row>
    <row r="94" spans="1:66" ht="15.7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row>
    <row r="95" spans="1:66" ht="15.7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row>
    <row r="96" spans="1:66" ht="15.7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row>
    <row r="97" spans="1:66" ht="15.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row>
    <row r="98" spans="1:66" ht="15.7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row>
    <row r="99" spans="1:66" ht="15.7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row>
    <row r="100" spans="1:66" ht="15.7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row>
    <row r="101" spans="1:66" ht="15.7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row>
    <row r="102" spans="1:66" ht="15.7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row>
    <row r="103" spans="1:66" ht="15.7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row>
    <row r="104" spans="1:66" ht="15.7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row>
    <row r="105" spans="1:66" ht="15.7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row>
    <row r="106" spans="1:66" ht="15.7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row>
    <row r="107" spans="1:66" ht="15.7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row>
    <row r="108" spans="1:66" ht="15.7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row>
    <row r="109" spans="1:66" ht="15.7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row>
    <row r="110" spans="1:66" ht="15.7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row>
    <row r="111" spans="1:66" ht="15.7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row>
    <row r="112" spans="1:66" ht="15.7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row>
    <row r="113" spans="1:66" ht="15.7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row>
    <row r="114" spans="1:66" ht="15.7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row>
    <row r="115" spans="1:66" ht="15.7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row>
    <row r="116" spans="1:66" ht="15.7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row>
    <row r="117" spans="1:66" ht="15.7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row>
    <row r="118" spans="1:66" ht="15.7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row>
    <row r="119" spans="1:66" ht="15.7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row>
    <row r="120" spans="1:66" ht="15.7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row>
    <row r="121" spans="1:66" ht="15.7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row>
    <row r="122" spans="1:66" ht="15.7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row>
    <row r="123" spans="1:66" ht="15.7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row>
    <row r="124" spans="1:66" ht="15.7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row>
    <row r="125" spans="1:66" ht="15.7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row>
    <row r="126" spans="1:66" ht="15.7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row>
    <row r="127" spans="1:66" ht="15.7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row>
    <row r="128" spans="1:66" ht="15.7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row>
    <row r="129" spans="1:66" ht="15.7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row>
    <row r="130" spans="1:66" ht="15.7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row>
    <row r="131" spans="1:66" ht="15.7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row>
    <row r="132" spans="1:66" ht="15.7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row>
    <row r="133" spans="1:66" ht="15.7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row>
    <row r="134" spans="1:66" ht="15.7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row>
    <row r="135" spans="1:66" ht="15.7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row>
    <row r="136" spans="1:66" ht="15.7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row>
    <row r="137" spans="1:66" ht="15.7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row>
    <row r="138" spans="1:66" ht="15.7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row>
    <row r="139" spans="1:66" ht="15.7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row>
    <row r="140" spans="1:66" ht="15.7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row>
    <row r="141" spans="1:66" ht="15.7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row>
    <row r="142" spans="1:66" ht="15.7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row>
    <row r="143" spans="1:66" ht="15.7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row>
    <row r="144" spans="1:66" ht="15.7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row>
    <row r="145" spans="1:66" ht="15.7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row>
    <row r="146" spans="1:66" ht="15.7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row>
    <row r="147" spans="1:66" ht="15.7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row>
    <row r="148" spans="1:66" ht="15.7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row>
    <row r="149" spans="1:66" ht="15.7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row>
    <row r="150" spans="1:66" ht="15.7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row>
    <row r="151" spans="1:66" ht="15.7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row>
    <row r="152" spans="1:66" ht="15.7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row>
    <row r="153" spans="1:66" ht="15.7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row>
    <row r="154" spans="1:66" ht="15.7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row>
    <row r="155" spans="1:66" ht="15.7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row>
    <row r="156" spans="1:66" ht="15.7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row>
    <row r="157" spans="1:66" ht="15.7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row>
    <row r="158" spans="1:66" ht="15.7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row>
    <row r="159" spans="1:66" ht="15.7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row>
    <row r="160" spans="1:66" ht="15.7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row>
    <row r="161" spans="1:66" ht="15.7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row>
    <row r="162" spans="1:66" ht="15.7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row>
    <row r="163" spans="1:66" ht="15.7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row>
    <row r="164" spans="1:66" ht="15.7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row>
    <row r="165" spans="1:66" ht="15.7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row>
    <row r="166" spans="1:66" ht="15.7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row>
    <row r="167" spans="1:66" ht="15.7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row>
    <row r="168" spans="1:66" ht="15.7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row>
    <row r="169" spans="1:66" ht="15.7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row>
    <row r="170" spans="1:66" ht="15.7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row>
    <row r="171" spans="1:66" ht="15.7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row>
    <row r="172" spans="1:66" ht="15.7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row>
    <row r="173" spans="1:66" ht="15.7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row>
    <row r="174" spans="1:66" ht="15.7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row>
    <row r="175" spans="1:66" ht="15.7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row>
    <row r="176" spans="1:66" ht="15.7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row>
    <row r="177" spans="1:66" ht="15.7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row>
    <row r="178" spans="1:66" ht="15.7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row>
    <row r="179" spans="1:66" ht="15.7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row>
    <row r="180" spans="1:66" ht="15.7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row>
    <row r="181" spans="1:66" ht="15.7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row>
    <row r="182" spans="1:66" ht="15.7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row>
    <row r="183" spans="1:66" ht="15.7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row>
    <row r="184" spans="1:66" ht="15.7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row>
    <row r="185" spans="1:66" ht="15.7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row>
    <row r="186" spans="1:66" ht="15.7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row>
    <row r="187" spans="1:66" ht="15.7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row>
    <row r="188" spans="1:66" ht="15.7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row>
    <row r="189" spans="1:66" ht="15.7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row>
    <row r="190" spans="1:66" ht="15.7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row>
    <row r="191" spans="1:66" ht="15.7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row>
    <row r="192" spans="1:66" ht="15.7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row>
    <row r="193" spans="1:66" ht="15.7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row>
    <row r="194" spans="1:66" ht="15.7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row>
    <row r="195" spans="1:66" ht="15.7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row>
    <row r="196" spans="1:66" ht="15.7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row>
    <row r="197" spans="1:66" ht="15.7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row>
    <row r="198" spans="1:66" ht="15.7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row>
    <row r="199" spans="1:66" ht="15.7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row>
    <row r="200" spans="1:66" ht="15.7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row>
    <row r="201" spans="1:66" ht="15.7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row>
    <row r="202" spans="1:66" ht="15.7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row>
    <row r="203" spans="1:66" ht="15.7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row>
    <row r="204" spans="1:66" ht="15.7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row>
    <row r="205" spans="1:66" ht="15.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row>
    <row r="206" spans="1:66" ht="15.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row>
    <row r="207" spans="1:66" ht="15.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row>
    <row r="208" spans="1:66" ht="15.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row>
    <row r="209" spans="1:66" ht="15.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row>
    <row r="210" spans="1:66" ht="15.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row>
    <row r="211" spans="1:66" ht="15.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row>
    <row r="212" spans="1:66" ht="15.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row>
    <row r="213" spans="1:66" ht="15.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row>
    <row r="214" spans="1:66" ht="15.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row>
    <row r="215" spans="1:66" ht="15.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row>
    <row r="216" spans="1:66" ht="15.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row>
    <row r="217" spans="1:66" ht="15.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row>
    <row r="218" spans="1:66" ht="15.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row>
    <row r="219" spans="1:66" ht="15.7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row>
    <row r="220" spans="1:66" ht="15.7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row>
    <row r="221" spans="1:66" ht="15.7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row>
    <row r="222" spans="1:66" ht="15.7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row>
    <row r="223" spans="1:66" ht="15.7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row>
    <row r="224" spans="1:66" ht="15.7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row>
    <row r="225" spans="1:66" ht="15.7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row>
    <row r="226" spans="1:66" ht="15.7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row>
    <row r="227" spans="1:66" ht="15.7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row>
    <row r="228" spans="1:66" ht="15.7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row>
    <row r="229" spans="1:66" ht="15.7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row>
    <row r="230" spans="1:66" ht="15.7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row>
    <row r="231" spans="1:66" ht="15.7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row>
    <row r="232" spans="1:66" ht="15.7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row>
    <row r="233" spans="1:66" ht="15.7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row>
    <row r="234" spans="1:66" ht="15.7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row>
    <row r="235" spans="1:66" ht="15.7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row>
    <row r="236" spans="1:66" ht="15.7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row>
    <row r="237" spans="1:66" ht="15.7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row>
    <row r="238" spans="1:66" ht="15.7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row>
    <row r="239" spans="1:66" ht="15.7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row>
    <row r="240" spans="1:66" ht="15.7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row>
    <row r="241" spans="1:66" ht="15.7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row>
    <row r="242" spans="1:66" ht="15.7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row>
    <row r="243" spans="1:66" ht="15.7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row>
    <row r="244" spans="1:66" ht="15.7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row>
    <row r="245" spans="1:66" ht="15.7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row>
    <row r="246" spans="1:66" ht="15.7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row>
    <row r="247" spans="1:66" ht="15.7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row>
    <row r="248" spans="1:66" ht="15.7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row>
    <row r="249" spans="1:66" ht="15.7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row>
    <row r="250" spans="1:66" ht="15.7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row>
    <row r="251" spans="1:66" ht="15.7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row>
    <row r="252" spans="1:66" ht="15.7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row>
    <row r="253" spans="1:66" ht="15.7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row>
    <row r="254" spans="1:66" ht="15.7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row>
    <row r="255" spans="1:66" ht="15.7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row>
    <row r="256" spans="1:66" ht="15.7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row>
    <row r="257" spans="1:66" ht="15.7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row>
    <row r="258" spans="1:66" ht="15.7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row>
    <row r="259" spans="1:66" ht="15.7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row>
    <row r="260" spans="1:66" ht="15.7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row>
    <row r="261" spans="1:66" ht="15.7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row>
    <row r="262" spans="1:66" ht="15.7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row>
    <row r="263" spans="1:66" ht="15.7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row>
    <row r="264" spans="1:66" ht="15.7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row>
    <row r="265" spans="1:66" ht="15.7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row>
    <row r="266" spans="1:66" ht="15.7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row>
    <row r="267" spans="1:66" ht="15.7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row>
    <row r="268" spans="1:66" ht="15.7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row>
    <row r="269" spans="1:66" ht="15.7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row>
    <row r="270" spans="1:66" ht="15.7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row>
    <row r="271" spans="1:66" ht="15.7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row>
    <row r="272" spans="1:66" ht="15.7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row>
    <row r="273" spans="1:66" ht="15.7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row>
    <row r="274" spans="1:66" ht="15.7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row>
    <row r="275" spans="1:66" ht="15.7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row>
    <row r="276" spans="1:66" ht="15.7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row>
    <row r="277" spans="1:66" ht="15.7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row>
    <row r="278" spans="1:66" ht="15.7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row>
    <row r="279" spans="1:66" ht="15.7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row>
    <row r="280" spans="1:66" ht="15.7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row>
    <row r="281" spans="1:66" ht="15.7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row>
    <row r="282" spans="1:66" ht="15.7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row>
    <row r="283" spans="1:66" ht="15.7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row>
    <row r="284" spans="1:66" ht="15.7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row>
    <row r="285" spans="1:66" ht="15.7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row>
    <row r="286" spans="1:66" ht="15.7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row>
    <row r="287" spans="1:66" ht="15.7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row>
    <row r="288" spans="1:66" ht="15.7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row>
    <row r="289" spans="1:66" ht="15.7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row>
    <row r="290" spans="1:66" ht="15.7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row>
    <row r="291" spans="1:66" ht="15.7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row>
    <row r="292" spans="1:66" ht="15.7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row>
    <row r="293" spans="1:66" ht="15.7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row>
    <row r="294" spans="1:66" ht="15.7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row>
    <row r="295" spans="1:66" ht="15.7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row>
    <row r="296" spans="1:66" ht="15.7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row>
    <row r="297" spans="1:66" ht="15.7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row>
    <row r="298" spans="1:66" ht="15.7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row>
    <row r="299" spans="1:66" ht="15.7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row>
    <row r="300" spans="1:66" ht="15.7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row>
    <row r="301" spans="1:66" ht="15.7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row>
    <row r="302" spans="1:66" ht="15.7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row>
    <row r="303" spans="1:66" ht="15.7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row>
    <row r="304" spans="1:66" ht="15.7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row>
    <row r="305" spans="1:66" ht="15.7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row>
    <row r="306" spans="1:66" ht="15.7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row>
    <row r="307" spans="1:66" ht="15.7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row>
    <row r="308" spans="1:66" ht="15.7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row>
    <row r="309" spans="1:66" ht="15.7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row>
    <row r="310" spans="1:66" ht="15.7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row>
    <row r="311" spans="1:66" ht="15.7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row>
    <row r="312" spans="1:66" ht="15.7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row>
    <row r="313" spans="1:66" ht="15.7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row>
    <row r="314" spans="1:66" ht="15.7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row>
    <row r="315" spans="1:66" ht="15.7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row>
    <row r="316" spans="1:66" ht="15.7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row>
    <row r="317" spans="1:66" ht="15.7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row>
    <row r="318" spans="1:66" ht="15.7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row>
    <row r="319" spans="1:66" ht="15.7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row>
    <row r="320" spans="1:66" ht="15.7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row>
    <row r="321" spans="1:66" ht="15.7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row>
    <row r="322" spans="1:66" ht="15.7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row>
    <row r="323" spans="1:66" ht="15.7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row>
    <row r="324" spans="1:66" ht="15.7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row>
    <row r="325" spans="1:66" ht="15.7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row>
    <row r="326" spans="1:66" ht="15.7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row>
    <row r="327" spans="1:66" ht="15.7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row>
    <row r="328" spans="1:66" ht="15.7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row>
    <row r="329" spans="1:66" ht="15.7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row>
    <row r="330" spans="1:66" ht="15.7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row>
    <row r="331" spans="1:66" ht="15.7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row>
    <row r="332" spans="1:66" ht="15.7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row>
    <row r="333" spans="1:66" ht="15.7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row>
    <row r="334" spans="1:66" ht="15.7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row>
    <row r="335" spans="1:66" ht="15.7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row>
    <row r="336" spans="1:66" ht="15.7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row>
    <row r="337" spans="1:66" ht="15.7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row>
    <row r="338" spans="1:66" ht="15.7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row>
    <row r="339" spans="1:66" ht="15.7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row>
    <row r="340" spans="1:66" ht="15.7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row>
    <row r="341" spans="1:66" ht="15.7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row>
    <row r="342" spans="1:66" ht="15.7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row>
    <row r="343" spans="1:66" ht="15.7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row>
    <row r="344" spans="1:66" ht="15.7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row>
    <row r="345" spans="1:66" ht="15.7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row>
    <row r="346" spans="1:66" ht="15.7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row>
    <row r="347" spans="1:66" ht="15.7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row>
    <row r="348" spans="1:66" ht="15.7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row>
    <row r="349" spans="1:66" ht="15.7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row>
    <row r="350" spans="1:66" ht="15.7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row>
    <row r="351" spans="1:66" ht="15.7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row>
    <row r="352" spans="1:66" ht="15.7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row>
    <row r="353" spans="1:66" ht="15.7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row>
    <row r="354" spans="1:66" ht="15.7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row>
    <row r="355" spans="1:66" ht="15.7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row>
    <row r="356" spans="1:66" ht="15.7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row>
    <row r="357" spans="1:66" ht="15.7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row>
    <row r="358" spans="1:66" ht="15.7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row>
    <row r="359" spans="1:66" ht="15.7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row>
    <row r="360" spans="1:66" ht="15.7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row>
    <row r="361" spans="1:66" ht="15.7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row>
    <row r="362" spans="1:66" ht="15.7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row>
    <row r="363" spans="1:66" ht="15.7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row>
    <row r="364" spans="1:66" ht="15.7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row>
    <row r="365" spans="1:66" ht="15.7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row>
    <row r="366" spans="1:66" ht="15.7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row>
    <row r="367" spans="1:66" ht="15.7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row>
    <row r="368" spans="1:66" ht="15.7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row>
    <row r="369" spans="1:66" ht="15.7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row>
    <row r="370" spans="1:66" ht="15.7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row>
    <row r="371" spans="1:66" ht="15.7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row>
    <row r="372" spans="1:66" ht="15.7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row>
    <row r="373" spans="1:66" ht="15.7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row>
    <row r="374" spans="1:66" ht="15.7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row>
    <row r="375" spans="1:66" ht="15.7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row>
    <row r="376" spans="1:66" ht="15.7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row>
    <row r="377" spans="1:66" ht="15.7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row>
    <row r="378" spans="1:66" ht="15.7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row>
    <row r="379" spans="1:66" ht="15.7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row>
    <row r="380" spans="1:66" ht="15.7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row>
    <row r="381" spans="1:66" ht="15.7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row>
    <row r="382" spans="1:66" ht="15.7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row>
    <row r="383" spans="1:66" ht="15.7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row>
    <row r="384" spans="1:66" ht="15.7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row>
    <row r="385" spans="1:66" ht="15.7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row>
    <row r="386" spans="1:66" ht="15.7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row>
    <row r="387" spans="1:66" ht="15.7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row>
    <row r="388" spans="1:66" ht="15.7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row>
    <row r="389" spans="1:66" ht="15.7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row>
    <row r="390" spans="1:66" ht="15.7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row>
    <row r="391" spans="1:66" ht="15.7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row>
    <row r="392" spans="1:66" ht="15.7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row>
    <row r="393" spans="1:66" ht="15.7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row>
    <row r="394" spans="1:66" ht="15.7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row>
    <row r="395" spans="1:66" ht="15.7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row>
    <row r="396" spans="1:66" ht="15.7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row>
    <row r="397" spans="1:66" ht="15.7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row>
    <row r="398" spans="1:66" ht="15.7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row>
    <row r="399" spans="1:66" ht="15.7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row>
    <row r="400" spans="1:66" ht="15.7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row>
    <row r="401" spans="1:66" ht="15.7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row>
    <row r="402" spans="1:66" ht="15.7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row>
    <row r="403" spans="1:66" ht="15.7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row>
    <row r="404" spans="1:66" ht="15.7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row>
    <row r="405" spans="1:66" ht="15.7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row>
    <row r="406" spans="1:66" ht="15.7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row>
    <row r="407" spans="1:66" ht="15.7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row>
    <row r="408" spans="1:66" ht="15.7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row>
    <row r="409" spans="1:66" ht="15.7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row>
    <row r="410" spans="1:66" ht="15.7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row>
    <row r="411" spans="1:66" ht="15.7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row>
    <row r="412" spans="1:66" ht="15.7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row>
    <row r="413" spans="1:66" ht="15.7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row>
    <row r="414" spans="1:66" ht="15.7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row>
    <row r="415" spans="1:66" ht="15.7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row>
    <row r="416" spans="1:66" ht="15.7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row>
    <row r="417" spans="1:66" ht="15.7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row>
    <row r="418" spans="1:66" ht="15.7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row>
    <row r="419" spans="1:66" ht="15.7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row>
    <row r="420" spans="1:66" ht="15.7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row>
    <row r="421" spans="1:66" ht="15.7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row>
    <row r="422" spans="1:66" ht="15.7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row>
    <row r="423" spans="1:66" ht="15.7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row>
    <row r="424" spans="1:66" ht="15.7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row>
    <row r="425" spans="1:66" ht="15.7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row>
    <row r="426" spans="1:66" ht="15.7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row>
    <row r="427" spans="1:66" ht="15.7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row>
    <row r="428" spans="1:66" ht="15.7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row>
    <row r="429" spans="1:66" ht="15.7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row>
    <row r="430" spans="1:66" ht="15.7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row>
    <row r="431" spans="1:66" ht="15.7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row>
    <row r="432" spans="1:66" ht="15.7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row>
    <row r="433" spans="1:66" ht="15.7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row>
    <row r="434" spans="1:66" ht="15.7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row>
    <row r="435" spans="1:66" ht="15.7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row>
    <row r="436" spans="1:66" ht="15.7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row>
    <row r="437" spans="1:66" ht="15.7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row>
    <row r="438" spans="1:66" ht="15.7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row>
    <row r="439" spans="1:66" ht="15.7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row>
    <row r="440" spans="1:66" ht="15.7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row>
    <row r="441" spans="1:66" ht="15.7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row>
    <row r="442" spans="1:66" ht="15.7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row>
    <row r="443" spans="1:66" ht="15.7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row>
    <row r="444" spans="1:66" ht="15.7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row>
    <row r="445" spans="1:66" ht="15.7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row>
    <row r="446" spans="1:66" ht="15.7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row>
    <row r="447" spans="1:66" ht="15.7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row>
    <row r="448" spans="1:66" ht="15.7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row>
    <row r="449" spans="1:66" ht="15.7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row>
    <row r="450" spans="1:66" ht="15.7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row>
    <row r="451" spans="1:66" ht="15.7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row>
    <row r="452" spans="1:66" ht="15.7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row>
    <row r="453" spans="1:66" ht="15.7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row>
    <row r="454" spans="1:66" ht="15.7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row>
    <row r="455" spans="1:66" ht="15.7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row>
    <row r="456" spans="1:66" ht="15.7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row>
    <row r="457" spans="1:66" ht="15.7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row>
    <row r="458" spans="1:66" ht="15.7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row>
    <row r="459" spans="1:66" ht="15.7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row>
    <row r="460" spans="1:66" ht="15.7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row>
    <row r="461" spans="1:66" ht="15.7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row>
    <row r="462" spans="1:66" ht="15.7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row>
    <row r="463" spans="1:66" ht="15.7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row>
    <row r="464" spans="1:66" ht="15.7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row>
    <row r="465" spans="1:66" ht="15.7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row>
    <row r="466" spans="1:66" ht="15.7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row>
    <row r="467" spans="1:66" ht="15.7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row>
    <row r="468" spans="1:66" ht="15.7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row>
    <row r="469" spans="1:66" ht="15.7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row>
    <row r="470" spans="1:66" ht="15.7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row>
    <row r="471" spans="1:66" ht="15.7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row>
    <row r="472" spans="1:66" ht="15.7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row>
    <row r="473" spans="1:66" ht="15.7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row>
    <row r="474" spans="1:66" ht="15.7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row>
    <row r="475" spans="1:66" ht="15.7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row>
    <row r="476" spans="1:66" ht="15.7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row>
    <row r="477" spans="1:66" ht="15.7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row>
    <row r="478" spans="1:66" ht="15.7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row>
    <row r="479" spans="1:66" ht="15.7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row>
    <row r="480" spans="1:66" ht="15.7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row>
    <row r="481" spans="1:66" ht="15.7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row>
    <row r="482" spans="1:66" ht="15.7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row>
    <row r="483" spans="1:66" ht="15.7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row>
    <row r="484" spans="1:66" ht="15.7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row>
    <row r="485" spans="1:66" ht="15.7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row>
    <row r="486" spans="1:66" ht="15.7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row>
    <row r="487" spans="1:66" ht="15.7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row>
    <row r="488" spans="1:66" ht="15.7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row>
    <row r="489" spans="1:66" ht="15.7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row>
    <row r="490" spans="1:66" ht="15.7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row>
    <row r="491" spans="1:66" ht="15.7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row>
    <row r="492" spans="1:66" ht="15.7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row>
    <row r="493" spans="1:66" ht="15.7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row>
    <row r="494" spans="1:66" ht="15.7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row>
    <row r="495" spans="1:66" ht="15.7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row>
    <row r="496" spans="1:66" ht="15.7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row>
    <row r="497" spans="1:66" ht="15.7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row>
    <row r="498" spans="1:66" ht="15.7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row>
    <row r="499" spans="1:66" ht="15.7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row>
    <row r="500" spans="1:66" ht="15.7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row>
    <row r="501" spans="1:66" ht="15.7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row>
    <row r="502" spans="1:66" ht="15.7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row>
    <row r="503" spans="1:66" ht="15.7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row>
    <row r="504" spans="1:66" ht="15.7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row>
    <row r="505" spans="1:66" ht="15.7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row>
    <row r="506" spans="1:66" ht="15.7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row>
    <row r="507" spans="1:66" ht="15.7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row>
    <row r="508" spans="1:66" ht="15.7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row>
    <row r="509" spans="1:66" ht="15.7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row>
    <row r="510" spans="1:66" ht="15.7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row>
    <row r="511" spans="1:66" ht="15.7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row>
    <row r="512" spans="1:66" ht="15.7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row>
    <row r="513" spans="1:66" ht="15.7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row>
    <row r="514" spans="1:66" ht="15.7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row>
    <row r="515" spans="1:66" ht="15.7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row>
    <row r="516" spans="1:66" ht="15.7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row>
    <row r="517" spans="1:66" ht="15.7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row>
    <row r="518" spans="1:66" ht="15.7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row>
    <row r="519" spans="1:66" ht="15.7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row>
    <row r="520" spans="1:66" ht="15.7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row>
    <row r="521" spans="1:66" ht="15.7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row>
    <row r="522" spans="1:66" ht="15.7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row>
    <row r="523" spans="1:66" ht="15.7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row>
    <row r="524" spans="1:66" ht="15.7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row>
    <row r="525" spans="1:66" ht="15.7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row>
    <row r="526" spans="1:66" ht="15.7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row>
    <row r="527" spans="1:66" ht="15.7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row>
    <row r="528" spans="1:66" ht="15.7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row>
    <row r="529" spans="1:66" ht="15.7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row>
    <row r="530" spans="1:66" ht="15.7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row>
    <row r="531" spans="1:66" ht="15.7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row>
    <row r="532" spans="1:66" ht="15.7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row>
    <row r="533" spans="1:66" ht="15.7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row>
    <row r="534" spans="1:66" ht="15.7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row>
    <row r="535" spans="1:66" ht="15.7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row>
    <row r="536" spans="1:66" ht="15.7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row>
    <row r="537" spans="1:66" ht="15.7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row>
    <row r="538" spans="1:66" ht="15.7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row>
    <row r="539" spans="1:66" ht="15.7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row>
    <row r="540" spans="1:66" ht="15.7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row>
    <row r="541" spans="1:66" ht="15.7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row>
    <row r="542" spans="1:66" ht="15.7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row>
    <row r="543" spans="1:66" ht="15.7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row>
    <row r="544" spans="1:66" ht="15.7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row>
    <row r="545" spans="1:66" ht="15.7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row>
    <row r="546" spans="1:66" ht="15.7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row>
    <row r="547" spans="1:66" ht="15.7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row>
    <row r="548" spans="1:66" ht="15.7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row>
    <row r="549" spans="1:66" ht="15.7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row>
    <row r="550" spans="1:66" ht="15.7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row>
    <row r="551" spans="1:66" ht="15.7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row>
    <row r="552" spans="1:66" ht="15.7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row>
    <row r="553" spans="1:66" ht="15.7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row>
    <row r="554" spans="1:66" ht="15.7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row>
    <row r="555" spans="1:66" ht="15.7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row>
    <row r="556" spans="1:66" ht="15.7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row>
    <row r="557" spans="1:66" ht="15.7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row>
    <row r="558" spans="1:66" ht="15.7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row>
    <row r="559" spans="1:66" ht="15.7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row>
    <row r="560" spans="1:66" ht="15.7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row>
    <row r="561" spans="1:66" ht="15.7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row>
    <row r="562" spans="1:66" ht="15.7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row>
    <row r="563" spans="1:66" ht="15.7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row>
    <row r="564" spans="1:66" ht="15.7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row>
    <row r="565" spans="1:66" ht="15.7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row>
    <row r="566" spans="1:66" ht="15.7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row>
    <row r="567" spans="1:66" ht="15.7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row>
    <row r="568" spans="1:66" ht="15.7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row>
    <row r="569" spans="1:66" ht="15.7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row>
    <row r="570" spans="1:66" ht="15.7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row>
    <row r="571" spans="1:66" ht="15.7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row>
    <row r="572" spans="1:66" ht="15.7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row>
    <row r="573" spans="1:66" ht="15.7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row>
    <row r="574" spans="1:66" ht="15.7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row>
    <row r="575" spans="1:66" ht="15.7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row>
    <row r="576" spans="1:66" ht="15.7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row>
    <row r="577" spans="1:66" ht="15.7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row>
    <row r="578" spans="1:66" ht="15.7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row>
    <row r="579" spans="1:66" ht="15.7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row>
    <row r="580" spans="1:66" ht="15.7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row>
    <row r="581" spans="1:66" ht="15.7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row>
    <row r="582" spans="1:66" ht="15.7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row>
    <row r="583" spans="1:66" ht="15.7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row>
    <row r="584" spans="1:66" ht="15.7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row>
    <row r="585" spans="1:66" ht="15.7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row>
    <row r="586" spans="1:66" ht="15.7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row>
    <row r="587" spans="1:66" ht="15.7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row>
    <row r="588" spans="1:66" ht="15.7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row>
    <row r="589" spans="1:66" ht="15.7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row>
    <row r="590" spans="1:66" ht="15.7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row>
    <row r="591" spans="1:66" ht="15.7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row>
    <row r="592" spans="1:66" ht="15.7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row>
    <row r="593" spans="1:66" ht="15.7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row>
    <row r="594" spans="1:66" ht="15.7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row>
    <row r="595" spans="1:66" ht="15.7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row>
    <row r="596" spans="1:66" ht="15.7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row>
    <row r="597" spans="1:66" ht="15.7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row>
    <row r="598" spans="1:66" ht="15.7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row>
    <row r="599" spans="1:66" ht="15.7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row>
    <row r="600" spans="1:66" ht="15.7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row>
    <row r="601" spans="1:66" ht="15.7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row>
    <row r="602" spans="1:66" ht="15.7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row>
    <row r="603" spans="1:66" ht="15.7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row>
    <row r="604" spans="1:66" ht="15.7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row>
    <row r="605" spans="1:66" ht="15.7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row>
    <row r="606" spans="1:66" ht="15.7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row>
    <row r="607" spans="1:66" ht="15.7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row>
    <row r="608" spans="1:66" ht="15.7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row>
    <row r="609" spans="1:66" ht="15.7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row>
    <row r="610" spans="1:66" ht="15.7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row>
    <row r="611" spans="1:66" ht="15.7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row>
    <row r="612" spans="1:66" ht="15.7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row>
    <row r="613" spans="1:66" ht="15.7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row>
    <row r="614" spans="1:66" ht="15.7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row>
    <row r="615" spans="1:66" ht="15.7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row>
    <row r="616" spans="1:66" ht="15.7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row>
    <row r="617" spans="1:66" ht="15.7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row>
    <row r="618" spans="1:66" ht="15.7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row>
    <row r="619" spans="1:66" ht="15.7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row>
    <row r="620" spans="1:66" ht="15.7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row>
    <row r="621" spans="1:66" ht="15.7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row>
    <row r="622" spans="1:66" ht="15.7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row>
    <row r="623" spans="1:66" ht="15.7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row>
    <row r="624" spans="1:66" ht="15.7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row>
    <row r="625" spans="1:66" ht="15.7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row>
    <row r="626" spans="1:66" ht="15.7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row>
    <row r="627" spans="1:66" ht="15.7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row>
    <row r="628" spans="1:66" ht="15.7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row>
    <row r="629" spans="1:66" ht="15.7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row>
    <row r="630" spans="1:66" ht="15.7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row>
    <row r="631" spans="1:66" ht="15.7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row>
    <row r="632" spans="1:66" ht="15.7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row>
    <row r="633" spans="1:66" ht="15.7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row>
    <row r="634" spans="1:66" ht="15.7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row>
    <row r="635" spans="1:66" ht="15.7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row>
    <row r="636" spans="1:66" ht="15.7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row>
    <row r="637" spans="1:66" ht="15.7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row>
    <row r="638" spans="1:66" ht="15.7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row>
    <row r="639" spans="1:66" ht="15.7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row>
    <row r="640" spans="1:66" ht="15.7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row>
    <row r="641" spans="1:66" ht="15.7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row>
    <row r="642" spans="1:66" ht="15.7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row>
    <row r="643" spans="1:66" ht="15.7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row>
    <row r="644" spans="1:66" ht="15.7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row>
    <row r="645" spans="1:66" ht="15.7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row>
    <row r="646" spans="1:66" ht="15.7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row>
    <row r="647" spans="1:66" ht="15.7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row>
    <row r="648" spans="1:66" ht="15.7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row>
    <row r="649" spans="1:66" ht="15.7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row>
    <row r="650" spans="1:66" ht="15.7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row>
    <row r="651" spans="1:66" ht="15.7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row>
    <row r="652" spans="1:66" ht="15.7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row>
    <row r="653" spans="1:66" ht="15.7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row>
    <row r="654" spans="1:66" ht="15.7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row>
    <row r="655" spans="1:66" ht="15.7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row>
    <row r="656" spans="1:66" ht="15.7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row>
    <row r="657" spans="1:66" ht="15.7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row>
    <row r="658" spans="1:66" ht="15.7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row>
    <row r="659" spans="1:66" ht="15.7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row>
    <row r="660" spans="1:66" ht="15.7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row>
    <row r="661" spans="1:66" ht="15.7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row>
    <row r="662" spans="1:66" ht="15.7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row>
    <row r="663" spans="1:66" ht="15.7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row>
    <row r="664" spans="1:66" ht="15.7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row>
    <row r="665" spans="1:66" ht="15.7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row>
    <row r="666" spans="1:66" ht="15.7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row>
    <row r="667" spans="1:66" ht="15.7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row>
    <row r="668" spans="1:66" ht="15.7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row>
    <row r="669" spans="1:66" ht="15.7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row>
    <row r="670" spans="1:66" ht="15.7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row>
    <row r="671" spans="1:66" ht="15.7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row>
    <row r="672" spans="1:66" ht="15.7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row>
    <row r="673" spans="1:66" ht="15.7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row>
    <row r="674" spans="1:66" ht="15.7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row>
    <row r="675" spans="1:66" ht="15.7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row>
    <row r="676" spans="1:66" ht="15.7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row>
    <row r="677" spans="1:66" ht="15.7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row>
    <row r="678" spans="1:66" ht="15.7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row>
    <row r="679" spans="1:66" ht="15.7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row>
    <row r="680" spans="1:66" ht="15.7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row>
    <row r="681" spans="1:66" ht="15.7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row>
    <row r="682" spans="1:66" ht="15.7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row>
    <row r="683" spans="1:66" ht="15.7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row>
    <row r="684" spans="1:66" ht="15.7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row>
    <row r="685" spans="1:66" ht="15.7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row>
    <row r="686" spans="1:66" ht="15.7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row>
    <row r="687" spans="1:66" ht="15.7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row>
    <row r="688" spans="1:66" ht="15.7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row>
    <row r="689" spans="1:66" ht="15.7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row>
    <row r="690" spans="1:66" ht="15.7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row>
    <row r="691" spans="1:66" ht="15.7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row>
    <row r="692" spans="1:66" ht="15.7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row>
    <row r="693" spans="1:66" ht="15.7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row>
    <row r="694" spans="1:66" ht="15.7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row>
    <row r="695" spans="1:66" ht="15.7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row>
    <row r="696" spans="1:66" ht="15.7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row>
    <row r="697" spans="1:66" ht="15.7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row>
    <row r="698" spans="1:66" ht="15.7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row>
    <row r="699" spans="1:66" ht="15.7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row>
    <row r="700" spans="1:66" ht="15.7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row>
    <row r="701" spans="1:66" ht="15.7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row>
    <row r="702" spans="1:66" ht="15.7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row>
    <row r="703" spans="1:66" ht="15.7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row>
    <row r="704" spans="1:66" ht="15.7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row>
    <row r="705" spans="1:66" ht="15.7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row>
    <row r="706" spans="1:66" ht="15.7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row>
    <row r="707" spans="1:66" ht="15.7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row>
    <row r="708" spans="1:66" ht="15.7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row>
    <row r="709" spans="1:66" ht="15.7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row>
    <row r="710" spans="1:66" ht="15.7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row>
    <row r="711" spans="1:66" ht="15.7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row>
    <row r="712" spans="1:66" ht="15.7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row>
    <row r="713" spans="1:66" ht="15.7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row>
    <row r="714" spans="1:66" ht="15.7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row>
    <row r="715" spans="1:66" ht="15.7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row>
    <row r="716" spans="1:66" ht="15.7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row>
    <row r="717" spans="1:66" ht="15.7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row>
    <row r="718" spans="1:66" ht="15.7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row>
    <row r="719" spans="1:66" ht="15.7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row>
    <row r="720" spans="1:66" ht="15.7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row>
    <row r="721" spans="1:66" ht="15.7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row>
    <row r="722" spans="1:66" ht="15.7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row>
    <row r="723" spans="1:66" ht="15.7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row>
    <row r="724" spans="1:66" ht="15.7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row>
    <row r="725" spans="1:66" ht="15.7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row>
    <row r="726" spans="1:66" ht="15.7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row>
    <row r="727" spans="1:66" ht="15.7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row>
    <row r="728" spans="1:66" ht="15.7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row>
    <row r="729" spans="1:66" ht="15.7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row>
    <row r="730" spans="1:66" ht="15.7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row>
    <row r="731" spans="1:66" ht="15.7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row>
    <row r="732" spans="1:66" ht="15.7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row>
    <row r="733" spans="1:66" ht="15.7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row>
    <row r="734" spans="1:66" ht="15.7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row>
    <row r="735" spans="1:66" ht="15.7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row>
    <row r="736" spans="1:66" ht="15.7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row>
    <row r="737" spans="1:66" ht="15.7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row>
    <row r="738" spans="1:66" ht="15.7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row>
    <row r="739" spans="1:66" ht="15.7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row>
    <row r="740" spans="1:66" ht="15.7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row>
    <row r="741" spans="1:66" ht="15.7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row>
    <row r="742" spans="1:66" ht="15.7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row>
    <row r="743" spans="1:66" ht="15.7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row>
    <row r="744" spans="1:66" ht="15.7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row>
    <row r="745" spans="1:66" ht="15.7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row>
    <row r="746" spans="1:66" ht="15.7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row>
    <row r="747" spans="1:66" ht="15.7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row>
    <row r="748" spans="1:66" ht="15.7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row>
    <row r="749" spans="1:66" ht="15.7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row>
    <row r="750" spans="1:66" ht="15.7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row>
    <row r="751" spans="1:66" ht="15.7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row>
    <row r="752" spans="1:66" ht="15.7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row>
    <row r="753" spans="1:66" ht="15.7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row>
    <row r="754" spans="1:66" ht="15.7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row>
    <row r="755" spans="1:66" ht="15.7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row>
    <row r="756" spans="1:66" ht="15.7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row>
    <row r="757" spans="1:66" ht="15.7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row>
    <row r="758" spans="1:66" ht="15.7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row>
    <row r="759" spans="1:66" ht="15.7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row>
    <row r="760" spans="1:66" ht="15.7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row>
    <row r="761" spans="1:66" ht="15.7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row>
    <row r="762" spans="1:66" ht="15.7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row>
    <row r="763" spans="1:66" ht="15.7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row>
    <row r="764" spans="1:66" ht="15.7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row>
    <row r="765" spans="1:66" ht="15.7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row>
    <row r="766" spans="1:66" ht="15.7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row>
    <row r="767" spans="1:66" ht="15.7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row>
    <row r="768" spans="1:66" ht="15.7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row>
    <row r="769" spans="1:66" ht="15.7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row>
    <row r="770" spans="1:66" ht="15.7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row>
    <row r="771" spans="1:66" ht="15.7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row>
    <row r="772" spans="1:66" ht="15.7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row>
    <row r="773" spans="1:66" ht="15.7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row>
    <row r="774" spans="1:66" ht="15.7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row>
    <row r="775" spans="1:66" ht="15.7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row>
    <row r="776" spans="1:66" ht="15.7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row>
    <row r="777" spans="1:66" ht="15.7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row>
    <row r="778" spans="1:66" ht="15.7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row>
    <row r="779" spans="1:66" ht="15.7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row>
    <row r="780" spans="1:66" ht="15.7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row>
    <row r="781" spans="1:66" ht="15.7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row>
    <row r="782" spans="1:66" ht="15.7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row>
    <row r="783" spans="1:66" ht="15.7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row>
    <row r="784" spans="1:66" ht="15.7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row>
    <row r="785" spans="1:66" ht="15.7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row>
    <row r="786" spans="1:66" ht="15.7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row>
    <row r="787" spans="1:66" ht="15.7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row>
    <row r="788" spans="1:66" ht="15.7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row>
    <row r="789" spans="1:66" ht="15.7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row>
    <row r="790" spans="1:66" ht="15.7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row>
    <row r="791" spans="1:66" ht="15.7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row>
    <row r="792" spans="1:66" ht="15.7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row>
    <row r="793" spans="1:66" ht="15.7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row>
    <row r="794" spans="1:66" ht="15.7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row>
    <row r="795" spans="1:66" ht="15.7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row>
    <row r="796" spans="1:66" ht="15.7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row>
    <row r="797" spans="1:66" ht="15.7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row>
    <row r="798" spans="1:66" ht="15.7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row>
    <row r="799" spans="1:66" ht="15.7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row>
    <row r="800" spans="1:66" ht="15.7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row>
    <row r="801" spans="1:66" ht="15.7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row>
    <row r="802" spans="1:66" ht="15.7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row>
    <row r="803" spans="1:66" ht="15.7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row>
    <row r="804" spans="1:66" ht="15.7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row>
    <row r="805" spans="1:66" ht="15.7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row>
    <row r="806" spans="1:66" ht="15.7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row>
    <row r="807" spans="1:66" ht="15.7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row>
    <row r="808" spans="1:66" ht="15.7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row>
    <row r="809" spans="1:66" ht="15.7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row>
    <row r="810" spans="1:66" ht="15.7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row>
    <row r="811" spans="1:66" ht="15.7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row>
    <row r="812" spans="1:66" ht="15.7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row>
    <row r="813" spans="1:66" ht="15.7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row>
    <row r="814" spans="1:66" ht="15.7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row>
    <row r="815" spans="1:66" ht="15.7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row>
    <row r="816" spans="1:66" ht="15.7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row>
    <row r="817" spans="1:66" ht="15.7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row>
    <row r="818" spans="1:66" ht="15.7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row>
    <row r="819" spans="1:66" ht="15.7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row>
    <row r="820" spans="1:66" ht="15.7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row>
    <row r="821" spans="1:66" ht="15.7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row>
    <row r="822" spans="1:66" ht="15.7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row>
    <row r="823" spans="1:66" ht="15.7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row>
    <row r="824" spans="1:66" ht="15.7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row>
    <row r="825" spans="1:66" ht="15.7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row>
    <row r="826" spans="1:66" ht="15.7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row>
    <row r="827" spans="1:66" ht="15.7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row>
    <row r="828" spans="1:66" ht="15.7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row>
    <row r="829" spans="1:66" ht="15.7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row>
    <row r="830" spans="1:66" ht="15.7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row>
    <row r="831" spans="1:66" ht="15.7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row>
    <row r="832" spans="1:66" ht="15.7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row>
    <row r="833" spans="1:66" ht="15.7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row>
    <row r="834" spans="1:66" ht="15.7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row>
    <row r="835" spans="1:66" ht="15.7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row>
    <row r="836" spans="1:66" ht="15.7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row>
    <row r="837" spans="1:66" ht="15.7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row>
    <row r="838" spans="1:66" ht="15.7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row>
    <row r="839" spans="1:66" ht="15.7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row>
    <row r="840" spans="1:66" ht="15.7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row>
    <row r="841" spans="1:66" ht="15.7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row>
    <row r="842" spans="1:66" ht="15.7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row>
    <row r="843" spans="1:66" ht="15.7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row>
    <row r="844" spans="1:66" ht="15.7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row>
    <row r="845" spans="1:66" ht="15.7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row>
    <row r="846" spans="1:66" ht="15.7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row>
    <row r="847" spans="1:66" ht="15.7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row>
    <row r="848" spans="1:66" ht="15.7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row>
    <row r="849" spans="1:66" ht="15.7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row>
    <row r="850" spans="1:66" ht="15.7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row>
    <row r="851" spans="1:66" ht="15.7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row>
    <row r="852" spans="1:66" ht="15.7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row>
    <row r="853" spans="1:66" ht="15.7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row>
    <row r="854" spans="1:66" ht="15.7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row>
    <row r="855" spans="1:66" ht="15.7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row>
    <row r="856" spans="1:66" ht="15.7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row>
    <row r="857" spans="1:66" ht="15.7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row>
    <row r="858" spans="1:66" ht="15.7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row>
    <row r="859" spans="1:66" ht="15.7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row>
    <row r="860" spans="1:66" ht="15.7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row>
    <row r="861" spans="1:66" ht="15.7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row>
    <row r="862" spans="1:66" ht="15.7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row>
    <row r="863" spans="1:66" ht="15.7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row>
    <row r="864" spans="1:66" ht="15.7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row>
    <row r="865" spans="1:66" ht="15.7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row>
    <row r="866" spans="1:66" ht="15.7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row>
    <row r="867" spans="1:66" ht="15.7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row>
    <row r="868" spans="1:66" ht="15.7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row>
    <row r="869" spans="1:66" ht="15.7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row>
    <row r="870" spans="1:66" ht="15.7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row>
    <row r="871" spans="1:66" ht="15.7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row>
    <row r="872" spans="1:66" ht="15.7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row>
    <row r="873" spans="1:66" ht="15.7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row>
    <row r="874" spans="1:66" ht="15.7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row>
    <row r="875" spans="1:66" ht="15.7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row>
    <row r="876" spans="1:66" ht="15.7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row>
    <row r="877" spans="1:66" ht="15.7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row>
    <row r="878" spans="1:66" ht="15.7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row>
    <row r="879" spans="1:66" ht="15.7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row>
    <row r="880" spans="1:66" ht="15.7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row>
    <row r="881" spans="1:66" ht="15.7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row>
    <row r="882" spans="1:66" ht="15.7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row>
    <row r="883" spans="1:66" ht="15.7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row>
    <row r="884" spans="1:66" ht="15.7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row>
    <row r="885" spans="1:66" ht="15.7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row>
    <row r="886" spans="1:66" ht="15.7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row>
    <row r="887" spans="1:66" ht="15.7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row>
    <row r="888" spans="1:66" ht="15.7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row>
    <row r="889" spans="1:66" ht="15.7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row>
    <row r="890" spans="1:66" ht="15.7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row>
    <row r="891" spans="1:66" ht="15.7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row>
    <row r="892" spans="1:66" ht="15.7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row>
    <row r="893" spans="1:66" ht="15.7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row>
    <row r="894" spans="1:66" ht="15.7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row>
    <row r="895" spans="1:66" ht="15.7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row>
    <row r="896" spans="1:66" ht="15.7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row>
    <row r="897" spans="1:66" ht="15.7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row>
    <row r="898" spans="1:66" ht="15.7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row>
    <row r="899" spans="1:66" ht="15.7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row>
    <row r="900" spans="1:66" ht="15.7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row>
    <row r="901" spans="1:66" ht="15.7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row>
    <row r="902" spans="1:66" ht="15.7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row>
    <row r="903" spans="1:66" ht="15.7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row>
    <row r="904" spans="1:66" ht="15.7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row>
    <row r="905" spans="1:66" ht="15.7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row>
    <row r="906" spans="1:66" ht="15.7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row>
    <row r="907" spans="1:66" ht="15.7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row>
    <row r="908" spans="1:66" ht="15.7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row>
    <row r="909" spans="1:66" ht="15.7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row>
    <row r="910" spans="1:66" ht="15.7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row>
    <row r="911" spans="1:66" ht="15.7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row>
    <row r="912" spans="1:66" ht="15.7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row>
    <row r="913" spans="1:66" ht="15.7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row>
    <row r="914" spans="1:66" ht="15.7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row>
    <row r="915" spans="1:66" ht="15.7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row>
    <row r="916" spans="1:66" ht="15.7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row>
    <row r="917" spans="1:66" ht="15.7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row>
    <row r="918" spans="1:66" ht="15.7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row>
    <row r="919" spans="1:66" ht="15.7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row>
    <row r="920" spans="1:66" ht="15.7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row>
    <row r="921" spans="1:66" ht="15.7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row>
    <row r="922" spans="1:66" ht="15.7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row>
    <row r="923" spans="1:66" ht="15.7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row>
    <row r="924" spans="1:66" ht="15.7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row>
    <row r="925" spans="1:66" ht="15.7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row>
    <row r="926" spans="1:66" ht="15.7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row>
    <row r="927" spans="1:66" ht="15.7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row>
    <row r="928" spans="1:66" ht="15.7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row>
    <row r="929" spans="1:66" ht="15.7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row>
    <row r="930" spans="1:66" ht="15.7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row>
    <row r="931" spans="1:66" ht="15.7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row>
    <row r="932" spans="1:66" ht="15.7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row>
    <row r="933" spans="1:66" ht="15.7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row>
    <row r="934" spans="1:66" ht="15.7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row>
    <row r="935" spans="1:66" ht="15.7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row>
    <row r="936" spans="1:66" ht="15.7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row>
    <row r="937" spans="1:66" ht="15.7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row>
    <row r="938" spans="1:66" ht="15.7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row>
    <row r="939" spans="1:66" ht="15.7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row>
    <row r="940" spans="1:66" ht="15.7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row>
    <row r="941" spans="1:66" ht="15.7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row>
    <row r="942" spans="1:66" ht="15.7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row>
    <row r="943" spans="1:66" ht="15.7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row>
    <row r="944" spans="1:66" ht="15.7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row>
    <row r="945" spans="1:66" ht="15.7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row>
    <row r="946" spans="1:66" ht="15.7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row>
    <row r="947" spans="1:66" ht="15.7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row>
    <row r="948" spans="1:66" ht="15.7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row>
    <row r="949" spans="1:66" ht="15.7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row>
    <row r="950" spans="1:66" ht="15.7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row>
    <row r="951" spans="1:66" ht="15.7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row>
    <row r="952" spans="1:66" ht="15.7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row>
    <row r="953" spans="1:66" ht="15.7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row>
    <row r="954" spans="1:66" ht="15.7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row>
    <row r="955" spans="1:66" ht="15.7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row>
    <row r="956" spans="1:66" ht="15.7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row>
    <row r="957" spans="1:66" ht="15.7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row>
    <row r="958" spans="1:66" ht="15.7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row>
    <row r="959" spans="1:66" ht="15.7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row>
    <row r="960" spans="1:66" ht="15.7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row>
    <row r="961" spans="1:66" ht="15.7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row>
    <row r="962" spans="1:66" ht="15.7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row>
    <row r="963" spans="1:66" ht="15.7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row>
    <row r="964" spans="1:66" ht="15.7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row>
    <row r="965" spans="1:66" ht="15.7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row>
    <row r="966" spans="1:66" ht="15.7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row>
    <row r="967" spans="1:66" ht="15.7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row>
    <row r="968" spans="1:66" ht="15.7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row>
    <row r="969" spans="1:66" ht="15.7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row>
    <row r="970" spans="1:66" ht="15.7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row>
    <row r="971" spans="1:66" ht="15.7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row>
    <row r="972" spans="1:66" ht="15.7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row>
    <row r="973" spans="1:66" ht="15.7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row>
    <row r="974" spans="1:66" ht="15.7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row>
    <row r="975" spans="1:66" ht="15.7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row>
    <row r="976" spans="1:66" ht="15.7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row>
    <row r="977" spans="1:66" ht="15.7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row>
    <row r="978" spans="1:66" ht="15.7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row>
    <row r="979" spans="1:66" ht="15.7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row>
    <row r="980" spans="1:66" ht="15.7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row>
    <row r="981" spans="1:66" ht="15.7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row>
    <row r="982" spans="1:66" ht="15.7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row>
    <row r="983" spans="1:66" ht="15.7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row>
    <row r="984" spans="1:66" ht="15.7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row>
  </sheetData>
  <sheetProtection algorithmName="SHA-512" hashValue="atVxPMspwIOEvK6sa0ZJMWWfPL4JheZwAU9b+G89x74ufs5bNK8snBvwTqu9qPp5gCSwgQ1kBVsz8eHpfWJbxQ==" saltValue="ebPsrD8pxW5wAC54+8qhKA==" spinCount="100000" sheet="1" objects="1" scenarios="1" autoFilter="0"/>
  <mergeCells count="2">
    <mergeCell ref="A1:A2"/>
    <mergeCell ref="A12:A39"/>
  </mergeCells>
  <conditionalFormatting sqref="C10">
    <cfRule type="dataBar" priority="2">
      <dataBar>
        <cfvo type="min"/>
        <cfvo type="max"/>
        <color rgb="FF008AEF"/>
      </dataBar>
      <extLst>
        <ext xmlns:x14="http://schemas.microsoft.com/office/spreadsheetml/2009/9/main" uri="{B025F937-C7B1-47D3-B67F-A62EFF666E3E}">
          <x14:id>{4F1DB107-A2E4-4ADC-9893-69B36A6B27C9}</x14:id>
        </ext>
      </extLst>
    </cfRule>
  </conditionalFormatting>
  <conditionalFormatting sqref="C3:D3 D4:D11">
    <cfRule type="dataBar" priority="5">
      <dataBar>
        <cfvo type="min"/>
        <cfvo type="max"/>
        <color rgb="FF008AEF"/>
      </dataBar>
      <extLst>
        <ext xmlns:x14="http://schemas.microsoft.com/office/spreadsheetml/2009/9/main" uri="{B025F937-C7B1-47D3-B67F-A62EFF666E3E}">
          <x14:id>{3BEEC39F-A2ED-425D-AEFD-3CD2AFE2EF13}</x14:id>
        </ext>
      </extLst>
    </cfRule>
  </conditionalFormatting>
  <conditionalFormatting sqref="C4:D4">
    <cfRule type="dataBar" priority="6">
      <dataBar>
        <cfvo type="min"/>
        <cfvo type="max"/>
        <color rgb="FF008AEF"/>
      </dataBar>
      <extLst>
        <ext xmlns:x14="http://schemas.microsoft.com/office/spreadsheetml/2009/9/main" uri="{B025F937-C7B1-47D3-B67F-A62EFF666E3E}">
          <x14:id>{48462E60-C043-4444-B73B-37EA7F71512A}</x14:id>
        </ext>
      </extLst>
    </cfRule>
  </conditionalFormatting>
  <conditionalFormatting sqref="C5:D5">
    <cfRule type="dataBar" priority="7">
      <dataBar>
        <cfvo type="min"/>
        <cfvo type="max"/>
        <color rgb="FF008AEF"/>
      </dataBar>
      <extLst>
        <ext xmlns:x14="http://schemas.microsoft.com/office/spreadsheetml/2009/9/main" uri="{B025F937-C7B1-47D3-B67F-A62EFF666E3E}">
          <x14:id>{4BED5DE2-A6A1-441D-844C-0D57EBBCD1F5}</x14:id>
        </ext>
      </extLst>
    </cfRule>
  </conditionalFormatting>
  <conditionalFormatting sqref="C6:D6">
    <cfRule type="dataBar" priority="8">
      <dataBar>
        <cfvo type="min"/>
        <cfvo type="max"/>
        <color rgb="FF008AEF"/>
      </dataBar>
      <extLst>
        <ext xmlns:x14="http://schemas.microsoft.com/office/spreadsheetml/2009/9/main" uri="{B025F937-C7B1-47D3-B67F-A62EFF666E3E}">
          <x14:id>{D9FCD812-02EA-4E4A-9628-F05457301113}</x14:id>
        </ext>
      </extLst>
    </cfRule>
  </conditionalFormatting>
  <conditionalFormatting sqref="C7:D7">
    <cfRule type="dataBar" priority="9">
      <dataBar>
        <cfvo type="min"/>
        <cfvo type="max"/>
        <color rgb="FF008AEF"/>
      </dataBar>
      <extLst>
        <ext xmlns:x14="http://schemas.microsoft.com/office/spreadsheetml/2009/9/main" uri="{B025F937-C7B1-47D3-B67F-A62EFF666E3E}">
          <x14:id>{734DF8AE-DE3E-47F3-B34F-1C37EFDE5333}</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{208D1DE8-A6DC-4367-9760-76E547C6055D}</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{E5763D52-3E73-493B-AF47-00BEC6D4E357}</x14:id>
        </ext>
      </extLst>
    </cfRule>
  </conditionalFormatting>
  <conditionalFormatting sqref="C11:D11">
    <cfRule type="dataBar" priority="1">
      <dataBar>
        <cfvo type="min"/>
        <cfvo type="max"/>
        <color rgb="FF008AEF"/>
      </dataBar>
      <extLst>
        <ext xmlns:x14="http://schemas.microsoft.com/office/spreadsheetml/2009/9/main" uri="{B025F937-C7B1-47D3-B67F-A62EFF666E3E}">
          <x14:id>{2BBA3596-6129-4D8A-B3EB-47EF14B449DD}</x14:id>
        </ext>
      </extLst>
    </cfRule>
  </conditionalFormatting>
  <conditionalFormatting sqref="C12:D12">
    <cfRule type="dataBar" priority="13">
      <dataBar>
        <cfvo type="min"/>
        <cfvo type="max"/>
        <color rgb="FF008AEF"/>
      </dataBar>
      <extLst>
        <ext xmlns:x14="http://schemas.microsoft.com/office/spreadsheetml/2009/9/main" uri="{B025F937-C7B1-47D3-B67F-A62EFF666E3E}">
          <x14:id>{E17B2696-EF9D-4B8B-B2F0-91125226DE19}</x14:id>
        </ext>
      </extLst>
    </cfRule>
  </conditionalFormatting>
  <conditionalFormatting sqref="C13:D13">
    <cfRule type="dataBar" priority="40">
      <dataBar>
        <cfvo type="min"/>
        <cfvo type="max"/>
        <color rgb="FF008AEF"/>
      </dataBar>
      <extLst>
        <ext xmlns:x14="http://schemas.microsoft.com/office/spreadsheetml/2009/9/main" uri="{B025F937-C7B1-47D3-B67F-A62EFF666E3E}">
          <x14:id>{C97DF34B-E77C-42FA-8465-5528DB424C7F}</x14:id>
        </ext>
      </extLst>
    </cfRule>
  </conditionalFormatting>
  <conditionalFormatting sqref="C14:D14">
    <cfRule type="dataBar" priority="39">
      <dataBar>
        <cfvo type="min"/>
        <cfvo type="max"/>
        <color rgb="FF008AEF"/>
      </dataBar>
      <extLst>
        <ext xmlns:x14="http://schemas.microsoft.com/office/spreadsheetml/2009/9/main" uri="{B025F937-C7B1-47D3-B67F-A62EFF666E3E}">
          <x14:id>{75F6C57A-1E38-40F7-934A-C960BB611485}</x14:id>
        </ext>
      </extLst>
    </cfRule>
  </conditionalFormatting>
  <conditionalFormatting sqref="C15:D15">
    <cfRule type="dataBar" priority="38">
      <dataBar>
        <cfvo type="min"/>
        <cfvo type="max"/>
        <color rgb="FF008AEF"/>
      </dataBar>
      <extLst>
        <ext xmlns:x14="http://schemas.microsoft.com/office/spreadsheetml/2009/9/main" uri="{B025F937-C7B1-47D3-B67F-A62EFF666E3E}">
          <x14:id>{7AEA9386-266F-4F09-A784-878A312887DB}</x14:id>
        </ext>
      </extLst>
    </cfRule>
  </conditionalFormatting>
  <conditionalFormatting sqref="C16:D16">
    <cfRule type="dataBar" priority="37">
      <dataBar>
        <cfvo type="min"/>
        <cfvo type="max"/>
        <color rgb="FF008AEF"/>
      </dataBar>
      <extLst>
        <ext xmlns:x14="http://schemas.microsoft.com/office/spreadsheetml/2009/9/main" uri="{B025F937-C7B1-47D3-B67F-A62EFF666E3E}">
          <x14:id>{1228593A-B2F0-4252-A192-68DB83B66749}</x14:id>
        </ext>
      </extLst>
    </cfRule>
  </conditionalFormatting>
  <conditionalFormatting sqref="C17:D17">
    <cfRule type="dataBar" priority="36">
      <dataBar>
        <cfvo type="min"/>
        <cfvo type="max"/>
        <color rgb="FF008AEF"/>
      </dataBar>
      <extLst>
        <ext xmlns:x14="http://schemas.microsoft.com/office/spreadsheetml/2009/9/main" uri="{B025F937-C7B1-47D3-B67F-A62EFF666E3E}">
          <x14:id>{2E40AA6E-DE1C-4318-BF1B-8BF4655E034F}</x14:id>
        </ext>
      </extLst>
    </cfRule>
  </conditionalFormatting>
  <conditionalFormatting sqref="C18:D18">
    <cfRule type="dataBar" priority="35">
      <dataBar>
        <cfvo type="min"/>
        <cfvo type="max"/>
        <color rgb="FF008AEF"/>
      </dataBar>
      <extLst>
        <ext xmlns:x14="http://schemas.microsoft.com/office/spreadsheetml/2009/9/main" uri="{B025F937-C7B1-47D3-B67F-A62EFF666E3E}">
          <x14:id>{29BB57FF-0EBA-4A8F-964E-B60A34B1AA95}</x14:id>
        </ext>
      </extLst>
    </cfRule>
  </conditionalFormatting>
  <conditionalFormatting sqref="C19:D19">
    <cfRule type="dataBar" priority="34">
      <dataBar>
        <cfvo type="min"/>
        <cfvo type="max"/>
        <color rgb="FF008AEF"/>
      </dataBar>
      <extLst>
        <ext xmlns:x14="http://schemas.microsoft.com/office/spreadsheetml/2009/9/main" uri="{B025F937-C7B1-47D3-B67F-A62EFF666E3E}">
          <x14:id>{D5C973B6-4B4E-43BA-884E-B5078A6A19A1}</x14:id>
        </ext>
      </extLst>
    </cfRule>
  </conditionalFormatting>
  <conditionalFormatting sqref="C20:D20">
    <cfRule type="dataBar" priority="33">
      <dataBar>
        <cfvo type="min"/>
        <cfvo type="max"/>
        <color rgb="FF008AEF"/>
      </dataBar>
      <extLst>
        <ext xmlns:x14="http://schemas.microsoft.com/office/spreadsheetml/2009/9/main" uri="{B025F937-C7B1-47D3-B67F-A62EFF666E3E}">
          <x14:id>{C0BAE802-1C3C-4161-BD27-3F8E7C80D783}</x14:id>
        </ext>
      </extLst>
    </cfRule>
  </conditionalFormatting>
  <conditionalFormatting sqref="C21:D21">
    <cfRule type="dataBar" priority="32">
      <dataBar>
        <cfvo type="min"/>
        <cfvo type="max"/>
        <color rgb="FF008AEF"/>
      </dataBar>
      <extLst>
        <ext xmlns:x14="http://schemas.microsoft.com/office/spreadsheetml/2009/9/main" uri="{B025F937-C7B1-47D3-B67F-A62EFF666E3E}">
          <x14:id>{316E9D93-12FF-454D-8B3F-A791D6B41627}</x14:id>
        </ext>
      </extLst>
    </cfRule>
  </conditionalFormatting>
  <conditionalFormatting sqref="C22:D22">
    <cfRule type="dataBar" priority="31">
      <dataBar>
        <cfvo type="min"/>
        <cfvo type="max"/>
        <color rgb="FF008AEF"/>
      </dataBar>
      <extLst>
        <ext xmlns:x14="http://schemas.microsoft.com/office/spreadsheetml/2009/9/main" uri="{B025F937-C7B1-47D3-B67F-A62EFF666E3E}">
          <x14:id>{AB5A15BD-4A5C-4387-B91A-B82BF9C691D5}</x14:id>
        </ext>
      </extLst>
    </cfRule>
  </conditionalFormatting>
  <conditionalFormatting sqref="C23:D23">
    <cfRule type="dataBar" priority="30">
      <dataBar>
        <cfvo type="min"/>
        <cfvo type="max"/>
        <color rgb="FF008AEF"/>
      </dataBar>
      <extLst>
        <ext xmlns:x14="http://schemas.microsoft.com/office/spreadsheetml/2009/9/main" uri="{B025F937-C7B1-47D3-B67F-A62EFF666E3E}">
          <x14:id>{51D263F9-D087-40C0-A797-8824340D09E0}</x14:id>
        </ext>
      </extLst>
    </cfRule>
  </conditionalFormatting>
  <conditionalFormatting sqref="C24:D24">
    <cfRule type="dataBar" priority="29">
      <dataBar>
        <cfvo type="min"/>
        <cfvo type="max"/>
        <color rgb="FF008AEF"/>
      </dataBar>
      <extLst>
        <ext xmlns:x14="http://schemas.microsoft.com/office/spreadsheetml/2009/9/main" uri="{B025F937-C7B1-47D3-B67F-A62EFF666E3E}">
          <x14:id>{B0DC1578-D12D-4764-AF0A-714E4F87EB9C}</x14:id>
        </ext>
      </extLst>
    </cfRule>
  </conditionalFormatting>
  <conditionalFormatting sqref="C25:D25">
    <cfRule type="dataBar" priority="28">
      <dataBar>
        <cfvo type="min"/>
        <cfvo type="max"/>
        <color rgb="FF008AEF"/>
      </dataBar>
      <extLst>
        <ext xmlns:x14="http://schemas.microsoft.com/office/spreadsheetml/2009/9/main" uri="{B025F937-C7B1-47D3-B67F-A62EFF666E3E}">
          <x14:id>{CB3030A2-15F8-4425-8E7B-1E885E807A82}</x14:id>
        </ext>
      </extLst>
    </cfRule>
  </conditionalFormatting>
  <conditionalFormatting sqref="C26:D26">
    <cfRule type="dataBar" priority="27">
      <dataBar>
        <cfvo type="min"/>
        <cfvo type="max"/>
        <color rgb="FF008AEF"/>
      </dataBar>
      <extLst>
        <ext xmlns:x14="http://schemas.microsoft.com/office/spreadsheetml/2009/9/main" uri="{B025F937-C7B1-47D3-B67F-A62EFF666E3E}">
          <x14:id>{B546D263-C616-4B0C-A055-A5B5D29CC578}</x14:id>
        </ext>
      </extLst>
    </cfRule>
  </conditionalFormatting>
  <conditionalFormatting sqref="C27:D27">
    <cfRule type="dataBar" priority="26">
      <dataBar>
        <cfvo type="min"/>
        <cfvo type="max"/>
        <color rgb="FF008AEF"/>
      </dataBar>
      <extLst>
        <ext xmlns:x14="http://schemas.microsoft.com/office/spreadsheetml/2009/9/main" uri="{B025F937-C7B1-47D3-B67F-A62EFF666E3E}">
          <x14:id>{FCAE1BC6-FE09-4341-B800-BB6EEA91F584}</x14:id>
        </ext>
      </extLst>
    </cfRule>
  </conditionalFormatting>
  <conditionalFormatting sqref="C28:D28">
    <cfRule type="dataBar" priority="25">
      <dataBar>
        <cfvo type="min"/>
        <cfvo type="max"/>
        <color rgb="FF008AEF"/>
      </dataBar>
      <extLst>
        <ext xmlns:x14="http://schemas.microsoft.com/office/spreadsheetml/2009/9/main" uri="{B025F937-C7B1-47D3-B67F-A62EFF666E3E}">
          <x14:id>{B491875F-9E55-4BB1-B1E1-7BF1D4C627EC}</x14:id>
        </ext>
      </extLst>
    </cfRule>
  </conditionalFormatting>
  <conditionalFormatting sqref="C29:D29">
    <cfRule type="dataBar" priority="24">
      <dataBar>
        <cfvo type="min"/>
        <cfvo type="max"/>
        <color rgb="FF008AEF"/>
      </dataBar>
      <extLst>
        <ext xmlns:x14="http://schemas.microsoft.com/office/spreadsheetml/2009/9/main" uri="{B025F937-C7B1-47D3-B67F-A62EFF666E3E}">
          <x14:id>{E24C77E0-5782-4CF0-98D7-AD8D3E64E563}</x14:id>
        </ext>
      </extLst>
    </cfRule>
  </conditionalFormatting>
  <conditionalFormatting sqref="C30:D30">
    <cfRule type="dataBar" priority="23">
      <dataBar>
        <cfvo type="min"/>
        <cfvo type="max"/>
        <color rgb="FF008AEF"/>
      </dataBar>
      <extLst>
        <ext xmlns:x14="http://schemas.microsoft.com/office/spreadsheetml/2009/9/main" uri="{B025F937-C7B1-47D3-B67F-A62EFF666E3E}">
          <x14:id>{B3F3C5A5-92AA-42A0-A335-CABA6F0C4821}</x14:id>
        </ext>
      </extLst>
    </cfRule>
  </conditionalFormatting>
  <conditionalFormatting sqref="C31:D31">
    <cfRule type="dataBar" priority="22">
      <dataBar>
        <cfvo type="min"/>
        <cfvo type="max"/>
        <color rgb="FF008AEF"/>
      </dataBar>
      <extLst>
        <ext xmlns:x14="http://schemas.microsoft.com/office/spreadsheetml/2009/9/main" uri="{B025F937-C7B1-47D3-B67F-A62EFF666E3E}">
          <x14:id>{1C1F8365-F53A-49BE-8C7E-B5F5AD194E15}</x14:id>
        </ext>
      </extLst>
    </cfRule>
  </conditionalFormatting>
  <conditionalFormatting sqref="C32:D32">
    <cfRule type="dataBar" priority="21">
      <dataBar>
        <cfvo type="min"/>
        <cfvo type="max"/>
        <color rgb="FF008AEF"/>
      </dataBar>
      <extLst>
        <ext xmlns:x14="http://schemas.microsoft.com/office/spreadsheetml/2009/9/main" uri="{B025F937-C7B1-47D3-B67F-A62EFF666E3E}">
          <x14:id>{EB6FBF3B-5D06-4C55-A667-EA4E475FFDC4}</x14:id>
        </ext>
      </extLst>
    </cfRule>
  </conditionalFormatting>
  <conditionalFormatting sqref="C33:D33">
    <cfRule type="dataBar" priority="20">
      <dataBar>
        <cfvo type="min"/>
        <cfvo type="max"/>
        <color rgb="FF008AEF"/>
      </dataBar>
      <extLst>
        <ext xmlns:x14="http://schemas.microsoft.com/office/spreadsheetml/2009/9/main" uri="{B025F937-C7B1-47D3-B67F-A62EFF666E3E}">
          <x14:id>{F1E76F5A-8F92-472B-A0E5-F775DD3875D9}</x14:id>
        </ext>
      </extLst>
    </cfRule>
  </conditionalFormatting>
  <conditionalFormatting sqref="C34:D34">
    <cfRule type="dataBar" priority="19">
      <dataBar>
        <cfvo type="min"/>
        <cfvo type="max"/>
        <color rgb="FF008AEF"/>
      </dataBar>
      <extLst>
        <ext xmlns:x14="http://schemas.microsoft.com/office/spreadsheetml/2009/9/main" uri="{B025F937-C7B1-47D3-B67F-A62EFF666E3E}">
          <x14:id>{A5AD001F-DA43-4BE2-A9C0-F23731073BF6}</x14:id>
        </ext>
      </extLst>
    </cfRule>
  </conditionalFormatting>
  <conditionalFormatting sqref="C35:D35">
    <cfRule type="dataBar" priority="18">
      <dataBar>
        <cfvo type="min"/>
        <cfvo type="max"/>
        <color rgb="FF008AEF"/>
      </dataBar>
      <extLst>
        <ext xmlns:x14="http://schemas.microsoft.com/office/spreadsheetml/2009/9/main" uri="{B025F937-C7B1-47D3-B67F-A62EFF666E3E}">
          <x14:id>{22247CD8-EA9D-4B2B-BA01-F3CA5C31F70F}</x14:id>
        </ext>
      </extLst>
    </cfRule>
  </conditionalFormatting>
  <conditionalFormatting sqref="C36:D36">
    <cfRule type="dataBar" priority="17">
      <dataBar>
        <cfvo type="min"/>
        <cfvo type="max"/>
        <color rgb="FF008AEF"/>
      </dataBar>
      <extLst>
        <ext xmlns:x14="http://schemas.microsoft.com/office/spreadsheetml/2009/9/main" uri="{B025F937-C7B1-47D3-B67F-A62EFF666E3E}">
          <x14:id>{794511E6-1B13-430B-A74B-A84CC8B5EE2F}</x14:id>
        </ext>
      </extLst>
    </cfRule>
  </conditionalFormatting>
  <conditionalFormatting sqref="C37:D37">
    <cfRule type="dataBar" priority="16">
      <dataBar>
        <cfvo type="min"/>
        <cfvo type="max"/>
        <color rgb="FF008AEF"/>
      </dataBar>
      <extLst>
        <ext xmlns:x14="http://schemas.microsoft.com/office/spreadsheetml/2009/9/main" uri="{B025F937-C7B1-47D3-B67F-A62EFF666E3E}">
          <x14:id>{BA3FADC9-6550-4DC6-A0F7-FEDB183B0EAE}</x14:id>
        </ext>
      </extLst>
    </cfRule>
  </conditionalFormatting>
  <conditionalFormatting sqref="C38:D38">
    <cfRule type="dataBar" priority="15">
      <dataBar>
        <cfvo type="min"/>
        <cfvo type="max"/>
        <color rgb="FF008AEF"/>
      </dataBar>
      <extLst>
        <ext xmlns:x14="http://schemas.microsoft.com/office/spreadsheetml/2009/9/main" uri="{B025F937-C7B1-47D3-B67F-A62EFF666E3E}">
          <x14:id>{EF723C08-6EFF-4F7B-8A4B-185F2E63B797}</x14:id>
        </ext>
      </extLst>
    </cfRule>
  </conditionalFormatting>
  <conditionalFormatting sqref="C39:D39">
    <cfRule type="dataBar" priority="14">
      <dataBar>
        <cfvo type="min"/>
        <cfvo type="max"/>
        <color rgb="FF008AEF"/>
      </dataBar>
      <extLst>
        <ext xmlns:x14="http://schemas.microsoft.com/office/spreadsheetml/2009/9/main" uri="{B025F937-C7B1-47D3-B67F-A62EFF666E3E}">
          <x14:id>{F1C32752-A32E-4487-8311-3683B139ED5B}</x14:id>
        </ext>
      </extLst>
    </cfRule>
  </conditionalFormatting>
  <conditionalFormatting sqref="E3:F35 E36:O39">
    <cfRule type="cellIs" dxfId="10" priority="3" operator="greaterThan">
      <formula>0</formula>
    </cfRule>
  </conditionalFormatting>
  <conditionalFormatting sqref="G12:O35">
    <cfRule type="cellIs" dxfId="9" priority="12" operator="greaterThan">
      <formula>0</formula>
    </cfRule>
  </conditionalFormatting>
  <conditionalFormatting sqref="G3:P11">
    <cfRule type="cellIs" dxfId="8" priority="4" operator="greaterThan">
      <formula>0</formula>
    </cfRule>
  </conditionalFormatting>
  <pageMargins left="0.7" right="0.7" top="0.75" bottom="0.75" header="0" footer="0"/>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F1DB107-A2E4-4ADC-9893-69B36A6B27C9}">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3BEEC39F-A2ED-425D-AEFD-3CD2AFE2EF13}">
            <x14:dataBar minLength="0" maxLength="100" gradient="0">
              <x14:cfvo type="autoMin"/>
              <x14:cfvo type="autoMax"/>
              <x14:negativeFillColor rgb="FFFF0000"/>
              <x14:axisColor rgb="FF000000"/>
            </x14:dataBar>
          </x14:cfRule>
          <xm:sqref>C3:D3 D4:D11</xm:sqref>
        </x14:conditionalFormatting>
        <x14:conditionalFormatting xmlns:xm="http://schemas.microsoft.com/office/excel/2006/main">
          <x14:cfRule type="dataBar" id="{48462E60-C043-4444-B73B-37EA7F71512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BED5DE2-A6A1-441D-844C-0D57EBBCD1F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9FCD812-02EA-4E4A-9628-F0545730111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34DF8AE-DE3E-47F3-B34F-1C37EFDE5333}">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08D1DE8-A6DC-4367-9760-76E547C6055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5763D52-3E73-493B-AF47-00BEC6D4E35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2BBA3596-6129-4D8A-B3EB-47EF14B449D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17B2696-EF9D-4B8B-B2F0-91125226DE1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C97DF34B-E77C-42FA-8465-5528DB424C7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5F6C57A-1E38-40F7-934A-C960BB611485}">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7AEA9386-266F-4F09-A784-878A312887D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228593A-B2F0-4252-A192-68DB83B66749}">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2E40AA6E-DE1C-4318-BF1B-8BF4655E034F}">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29BB57FF-0EBA-4A8F-964E-B60A34B1AA9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5C973B6-4B4E-43BA-884E-B5078A6A19A1}">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0BAE802-1C3C-4161-BD27-3F8E7C80D783}">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16E9D93-12FF-454D-8B3F-A791D6B4162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B5A15BD-4A5C-4387-B91A-B82BF9C691D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51D263F9-D087-40C0-A797-8824340D09E0}">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B0DC1578-D12D-4764-AF0A-714E4F87EB9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CB3030A2-15F8-4425-8E7B-1E885E807A8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546D263-C616-4B0C-A055-A5B5D29CC578}">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CAE1BC6-FE09-4341-B800-BB6EEA91F584}">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B491875F-9E55-4BB1-B1E1-7BF1D4C627E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24C77E0-5782-4CF0-98D7-AD8D3E64E56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3F3C5A5-92AA-42A0-A335-CABA6F0C4821}">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C1F8365-F53A-49BE-8C7E-B5F5AD194E15}">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EB6FBF3B-5D06-4C55-A667-EA4E475FFDC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F1E76F5A-8F92-472B-A0E5-F775DD3875D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5AD001F-DA43-4BE2-A9C0-F23731073BF6}">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2247CD8-EA9D-4B2B-BA01-F3CA5C31F70F}">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794511E6-1B13-430B-A74B-A84CC8B5EE2F}">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BA3FADC9-6550-4DC6-A0F7-FEDB183B0EAE}">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EF723C08-6EFF-4F7B-8A4B-185F2E63B797}">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F1C32752-A32E-4487-8311-3683B139ED5B}">
            <x14:dataBar minLength="0" maxLength="100" gradient="0">
              <x14:cfvo type="autoMin"/>
              <x14:cfvo type="autoMax"/>
              <x14:negativeFillColor rgb="FFFF0000"/>
              <x14:axisColor rgb="FF000000"/>
            </x14:dataBar>
          </x14:cfRule>
          <xm:sqref>C39:D39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8"/>
  <sheetViews>
    <sheetView topLeftCell="A5" zoomScale="55" zoomScaleNormal="55" workbookViewId="0">
      <selection activeCell="T15" sqref="T15"/>
    </sheetView>
  </sheetViews>
  <sheetFormatPr baseColWidth="10" defaultColWidth="11.42578125" defaultRowHeight="15" x14ac:dyDescent="0.25"/>
  <cols>
    <col min="1" max="1" width="6.85546875" style="2" customWidth="1"/>
    <col min="2" max="2" width="106.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44" t="s">
        <v>1</v>
      </c>
      <c r="B1" s="22" t="s">
        <v>32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5"/>
      <c r="B2" s="22"/>
      <c r="C2" s="3">
        <v>2026</v>
      </c>
      <c r="D2" s="3" t="s">
        <v>16</v>
      </c>
      <c r="E2" s="24"/>
      <c r="F2" s="24"/>
      <c r="G2" s="24"/>
      <c r="H2" s="24"/>
      <c r="I2" s="24"/>
      <c r="J2" s="24"/>
      <c r="K2" s="24"/>
      <c r="L2" s="24"/>
      <c r="M2" s="24"/>
      <c r="N2" s="24"/>
      <c r="O2" s="24"/>
      <c r="P2" s="24"/>
    </row>
    <row r="3" spans="1:16" ht="81" customHeight="1" thickBot="1" x14ac:dyDescent="0.3">
      <c r="A3" s="25" t="s">
        <v>18</v>
      </c>
      <c r="B3" s="5" t="s">
        <v>17</v>
      </c>
      <c r="C3" s="6">
        <v>2</v>
      </c>
      <c r="D3" s="23">
        <f t="shared" ref="D3:D8" si="0">SUM(E3:P3)</f>
        <v>1</v>
      </c>
      <c r="E3" s="26">
        <v>1</v>
      </c>
      <c r="F3" s="26"/>
      <c r="G3" s="26"/>
      <c r="H3" s="26"/>
      <c r="I3" s="26"/>
      <c r="J3" s="26"/>
      <c r="K3" s="26"/>
      <c r="L3" s="26"/>
      <c r="M3" s="26"/>
      <c r="N3" s="26"/>
      <c r="O3" s="26"/>
      <c r="P3" s="26"/>
    </row>
    <row r="4" spans="1:16" ht="81" customHeight="1" thickBot="1" x14ac:dyDescent="0.3">
      <c r="A4" s="27" t="s">
        <v>20</v>
      </c>
      <c r="B4" s="7" t="s">
        <v>19</v>
      </c>
      <c r="C4" s="28">
        <v>2</v>
      </c>
      <c r="D4" s="23">
        <f t="shared" si="0"/>
        <v>0</v>
      </c>
      <c r="E4" s="26">
        <v>0</v>
      </c>
      <c r="F4" s="26">
        <v>0</v>
      </c>
      <c r="G4" s="26">
        <v>0</v>
      </c>
      <c r="H4" s="26">
        <v>0</v>
      </c>
      <c r="I4" s="26"/>
      <c r="J4" s="26"/>
      <c r="K4" s="26"/>
      <c r="L4" s="26"/>
      <c r="M4" s="26"/>
      <c r="N4" s="26"/>
      <c r="O4" s="26"/>
      <c r="P4" s="26"/>
    </row>
    <row r="5" spans="1:16" ht="81" customHeight="1" thickBot="1" x14ac:dyDescent="0.3">
      <c r="A5" s="29" t="s">
        <v>22</v>
      </c>
      <c r="B5" s="8" t="s">
        <v>21</v>
      </c>
      <c r="C5" s="30">
        <v>2</v>
      </c>
      <c r="D5" s="23">
        <f t="shared" si="0"/>
        <v>0</v>
      </c>
      <c r="E5" s="26">
        <v>0</v>
      </c>
      <c r="F5" s="26">
        <v>0</v>
      </c>
      <c r="G5" s="26">
        <v>0</v>
      </c>
      <c r="H5" s="26">
        <v>0</v>
      </c>
      <c r="I5" s="26"/>
      <c r="J5" s="26"/>
      <c r="K5" s="26"/>
      <c r="L5" s="26"/>
      <c r="M5" s="26"/>
      <c r="N5" s="26"/>
      <c r="O5" s="26"/>
      <c r="P5" s="26"/>
    </row>
    <row r="6" spans="1:16" ht="81" customHeight="1" thickBot="1" x14ac:dyDescent="0.3">
      <c r="A6" s="25" t="s">
        <v>18</v>
      </c>
      <c r="B6" s="13" t="s">
        <v>33</v>
      </c>
      <c r="C6" s="31">
        <v>1</v>
      </c>
      <c r="D6" s="23">
        <f t="shared" si="0"/>
        <v>0</v>
      </c>
      <c r="E6" s="26"/>
      <c r="F6" s="26"/>
      <c r="G6" s="26"/>
      <c r="H6" s="26"/>
      <c r="I6" s="26"/>
      <c r="J6" s="26"/>
      <c r="K6" s="26"/>
      <c r="L6" s="26"/>
      <c r="M6" s="26"/>
      <c r="N6" s="26"/>
      <c r="O6" s="26"/>
      <c r="P6" s="26"/>
    </row>
    <row r="7" spans="1:16" ht="81" customHeight="1" thickBot="1" x14ac:dyDescent="0.3">
      <c r="A7" s="25" t="s">
        <v>18</v>
      </c>
      <c r="B7" s="13" t="s">
        <v>34</v>
      </c>
      <c r="C7" s="31">
        <v>2</v>
      </c>
      <c r="D7" s="23">
        <f t="shared" si="0"/>
        <v>1</v>
      </c>
      <c r="E7" s="26">
        <v>1</v>
      </c>
      <c r="F7" s="26"/>
      <c r="G7" s="26"/>
      <c r="H7" s="26"/>
      <c r="I7" s="26"/>
      <c r="J7" s="26"/>
      <c r="K7" s="26"/>
      <c r="L7" s="26"/>
      <c r="M7" s="26"/>
      <c r="N7" s="26"/>
      <c r="O7" s="26"/>
      <c r="P7" s="26"/>
    </row>
    <row r="8" spans="1:16" ht="81" customHeight="1" thickBot="1" x14ac:dyDescent="0.3">
      <c r="A8" s="25" t="s">
        <v>18</v>
      </c>
      <c r="B8" s="13" t="s">
        <v>35</v>
      </c>
      <c r="C8" s="31">
        <v>1</v>
      </c>
      <c r="D8" s="23">
        <f t="shared" si="0"/>
        <v>0</v>
      </c>
      <c r="E8" s="26"/>
      <c r="F8" s="26"/>
      <c r="G8" s="26"/>
      <c r="H8" s="26"/>
      <c r="I8" s="26"/>
      <c r="J8" s="26"/>
      <c r="K8" s="26"/>
      <c r="L8" s="26"/>
      <c r="M8" s="26"/>
      <c r="N8" s="26"/>
      <c r="O8" s="26"/>
      <c r="P8" s="26"/>
    </row>
    <row r="9" spans="1:16" ht="28.5" customHeight="1" x14ac:dyDescent="0.25">
      <c r="A9" s="46" t="s">
        <v>51</v>
      </c>
      <c r="B9" s="32" t="s">
        <v>52</v>
      </c>
      <c r="C9" s="31">
        <v>3</v>
      </c>
      <c r="D9" s="23">
        <f t="shared" ref="D9:D36" si="1">SUM(E9:O9)</f>
        <v>0</v>
      </c>
      <c r="E9" s="26"/>
      <c r="F9" s="26"/>
      <c r="G9" s="26"/>
      <c r="H9" s="26"/>
      <c r="I9" s="26"/>
      <c r="J9" s="26"/>
      <c r="K9" s="26"/>
      <c r="L9" s="26"/>
      <c r="M9" s="26"/>
      <c r="N9" s="26"/>
      <c r="O9" s="26"/>
      <c r="P9" s="33"/>
    </row>
    <row r="10" spans="1:16" ht="28.5" customHeight="1" x14ac:dyDescent="0.25">
      <c r="A10" s="47"/>
      <c r="B10" s="32" t="s">
        <v>53</v>
      </c>
      <c r="C10" s="31">
        <v>0</v>
      </c>
      <c r="D10" s="23">
        <f t="shared" si="1"/>
        <v>0</v>
      </c>
      <c r="E10" s="26"/>
      <c r="F10" s="26"/>
      <c r="G10" s="26"/>
      <c r="H10" s="26"/>
      <c r="I10" s="26"/>
      <c r="J10" s="26"/>
      <c r="K10" s="26"/>
      <c r="L10" s="26"/>
      <c r="M10" s="26"/>
      <c r="N10" s="26"/>
      <c r="O10" s="26"/>
      <c r="P10" s="33"/>
    </row>
    <row r="11" spans="1:16" ht="28.5" customHeight="1" x14ac:dyDescent="0.25">
      <c r="A11" s="47"/>
      <c r="B11" s="32" t="s">
        <v>54</v>
      </c>
      <c r="C11" s="31">
        <v>108</v>
      </c>
      <c r="D11" s="23">
        <f t="shared" si="1"/>
        <v>47</v>
      </c>
      <c r="E11" s="26">
        <v>3</v>
      </c>
      <c r="F11" s="26">
        <v>11</v>
      </c>
      <c r="G11" s="26">
        <v>8</v>
      </c>
      <c r="H11" s="26">
        <v>16</v>
      </c>
      <c r="I11" s="26">
        <v>9</v>
      </c>
      <c r="J11" s="26"/>
      <c r="K11" s="26"/>
      <c r="L11" s="26"/>
      <c r="M11" s="26"/>
      <c r="N11" s="26"/>
      <c r="O11" s="26"/>
      <c r="P11" s="33"/>
    </row>
    <row r="12" spans="1:16" ht="28.5" customHeight="1" x14ac:dyDescent="0.25">
      <c r="A12" s="47"/>
      <c r="B12" s="32" t="s">
        <v>55</v>
      </c>
      <c r="C12" s="31">
        <v>7</v>
      </c>
      <c r="D12" s="23">
        <f t="shared" si="1"/>
        <v>3</v>
      </c>
      <c r="E12" s="26"/>
      <c r="F12" s="26"/>
      <c r="G12" s="26"/>
      <c r="H12" s="26">
        <v>3</v>
      </c>
      <c r="I12" s="26"/>
      <c r="J12" s="26"/>
      <c r="K12" s="26"/>
      <c r="L12" s="26"/>
      <c r="M12" s="26"/>
      <c r="N12" s="26"/>
      <c r="O12" s="26"/>
      <c r="P12" s="33"/>
    </row>
    <row r="13" spans="1:16" ht="28.5" customHeight="1" x14ac:dyDescent="0.25">
      <c r="A13" s="47"/>
      <c r="B13" s="32" t="s">
        <v>56</v>
      </c>
      <c r="C13" s="31">
        <v>0</v>
      </c>
      <c r="D13" s="23">
        <f t="shared" si="1"/>
        <v>0</v>
      </c>
      <c r="E13" s="26"/>
      <c r="F13" s="26"/>
      <c r="G13" s="26"/>
      <c r="H13" s="26"/>
      <c r="I13" s="26"/>
      <c r="J13" s="26"/>
      <c r="K13" s="26"/>
      <c r="L13" s="26"/>
      <c r="M13" s="26"/>
      <c r="N13" s="26"/>
      <c r="O13" s="26"/>
      <c r="P13" s="33"/>
    </row>
    <row r="14" spans="1:16" ht="28.5" customHeight="1" x14ac:dyDescent="0.25">
      <c r="A14" s="47"/>
      <c r="B14" s="32" t="s">
        <v>57</v>
      </c>
      <c r="C14" s="31">
        <v>89</v>
      </c>
      <c r="D14" s="23">
        <f t="shared" si="1"/>
        <v>38</v>
      </c>
      <c r="E14" s="26">
        <v>2</v>
      </c>
      <c r="F14" s="26">
        <v>13</v>
      </c>
      <c r="G14" s="26">
        <v>2</v>
      </c>
      <c r="H14" s="26">
        <v>12</v>
      </c>
      <c r="I14" s="26">
        <v>9</v>
      </c>
      <c r="J14" s="26"/>
      <c r="K14" s="26"/>
      <c r="L14" s="26"/>
      <c r="M14" s="26"/>
      <c r="N14" s="26"/>
      <c r="O14" s="26"/>
      <c r="P14" s="33"/>
    </row>
    <row r="15" spans="1:16" ht="28.5" customHeight="1" x14ac:dyDescent="0.25">
      <c r="A15" s="47"/>
      <c r="B15" s="32" t="s">
        <v>58</v>
      </c>
      <c r="C15" s="31">
        <v>0</v>
      </c>
      <c r="D15" s="23">
        <f t="shared" si="1"/>
        <v>0</v>
      </c>
      <c r="E15" s="26"/>
      <c r="F15" s="26"/>
      <c r="G15" s="26"/>
      <c r="H15" s="26"/>
      <c r="I15" s="26"/>
      <c r="J15" s="26"/>
      <c r="K15" s="26"/>
      <c r="L15" s="26"/>
      <c r="M15" s="26"/>
      <c r="N15" s="26"/>
      <c r="O15" s="26"/>
      <c r="P15" s="33"/>
    </row>
    <row r="16" spans="1:16" ht="28.5" customHeight="1" x14ac:dyDescent="0.25">
      <c r="A16" s="47"/>
      <c r="B16" s="32" t="s">
        <v>59</v>
      </c>
      <c r="C16" s="31">
        <v>0</v>
      </c>
      <c r="D16" s="23">
        <f t="shared" si="1"/>
        <v>0</v>
      </c>
      <c r="E16" s="26"/>
      <c r="F16" s="26"/>
      <c r="G16" s="26"/>
      <c r="H16" s="26"/>
      <c r="I16" s="26"/>
      <c r="J16" s="26"/>
      <c r="K16" s="26"/>
      <c r="L16" s="26"/>
      <c r="M16" s="26"/>
      <c r="N16" s="26"/>
      <c r="O16" s="26"/>
      <c r="P16" s="33"/>
    </row>
    <row r="17" spans="1:16" ht="28.5" customHeight="1" x14ac:dyDescent="0.25">
      <c r="A17" s="47"/>
      <c r="B17" s="32" t="s">
        <v>60</v>
      </c>
      <c r="C17" s="31">
        <v>3</v>
      </c>
      <c r="D17" s="23">
        <f t="shared" si="1"/>
        <v>0</v>
      </c>
      <c r="E17" s="26"/>
      <c r="F17" s="26"/>
      <c r="G17" s="26"/>
      <c r="H17" s="26"/>
      <c r="I17" s="26"/>
      <c r="J17" s="26"/>
      <c r="K17" s="26"/>
      <c r="L17" s="26"/>
      <c r="M17" s="26"/>
      <c r="N17" s="26"/>
      <c r="O17" s="26"/>
      <c r="P17" s="33"/>
    </row>
    <row r="18" spans="1:16" ht="28.5" customHeight="1" x14ac:dyDescent="0.25">
      <c r="A18" s="47"/>
      <c r="B18" s="32" t="s">
        <v>61</v>
      </c>
      <c r="C18" s="31">
        <v>0</v>
      </c>
      <c r="D18" s="23">
        <f t="shared" si="1"/>
        <v>0</v>
      </c>
      <c r="E18" s="26"/>
      <c r="F18" s="26"/>
      <c r="G18" s="26"/>
      <c r="H18" s="26"/>
      <c r="I18" s="26"/>
      <c r="J18" s="26"/>
      <c r="K18" s="26"/>
      <c r="L18" s="26"/>
      <c r="M18" s="26"/>
      <c r="N18" s="26"/>
      <c r="O18" s="26"/>
      <c r="P18" s="33"/>
    </row>
    <row r="19" spans="1:16" ht="28.5" customHeight="1" x14ac:dyDescent="0.25">
      <c r="A19" s="47"/>
      <c r="B19" s="32" t="s">
        <v>62</v>
      </c>
      <c r="C19" s="31">
        <v>13</v>
      </c>
      <c r="D19" s="23">
        <f t="shared" si="1"/>
        <v>2</v>
      </c>
      <c r="E19" s="26">
        <v>1</v>
      </c>
      <c r="F19" s="26"/>
      <c r="G19" s="26"/>
      <c r="H19" s="26"/>
      <c r="I19" s="26">
        <v>1</v>
      </c>
      <c r="J19" s="26"/>
      <c r="K19" s="26"/>
      <c r="L19" s="26"/>
      <c r="M19" s="26"/>
      <c r="N19" s="26"/>
      <c r="O19" s="26"/>
      <c r="P19" s="33"/>
    </row>
    <row r="20" spans="1:16" ht="28.5" customHeight="1" x14ac:dyDescent="0.25">
      <c r="A20" s="47"/>
      <c r="B20" s="32" t="s">
        <v>63</v>
      </c>
      <c r="C20" s="31">
        <v>0</v>
      </c>
      <c r="D20" s="23">
        <f t="shared" si="1"/>
        <v>0</v>
      </c>
      <c r="E20" s="26"/>
      <c r="F20" s="26"/>
      <c r="G20" s="26"/>
      <c r="H20" s="26"/>
      <c r="I20" s="26"/>
      <c r="J20" s="26"/>
      <c r="K20" s="26"/>
      <c r="L20" s="26"/>
      <c r="M20" s="26"/>
      <c r="N20" s="26"/>
      <c r="O20" s="26"/>
      <c r="P20" s="33"/>
    </row>
    <row r="21" spans="1:16" ht="28.5" customHeight="1" x14ac:dyDescent="0.25">
      <c r="A21" s="47"/>
      <c r="B21" s="32" t="s">
        <v>64</v>
      </c>
      <c r="C21" s="31">
        <v>0</v>
      </c>
      <c r="D21" s="23">
        <f t="shared" si="1"/>
        <v>0</v>
      </c>
      <c r="E21" s="26"/>
      <c r="F21" s="26"/>
      <c r="G21" s="26"/>
      <c r="H21" s="26"/>
      <c r="I21" s="26"/>
      <c r="J21" s="26"/>
      <c r="K21" s="26"/>
      <c r="L21" s="26"/>
      <c r="M21" s="26"/>
      <c r="N21" s="26"/>
      <c r="O21" s="26"/>
      <c r="P21" s="33"/>
    </row>
    <row r="22" spans="1:16" ht="28.5" customHeight="1" x14ac:dyDescent="0.25">
      <c r="A22" s="47"/>
      <c r="B22" s="32" t="s">
        <v>65</v>
      </c>
      <c r="C22" s="31">
        <v>0</v>
      </c>
      <c r="D22" s="23">
        <f t="shared" si="1"/>
        <v>0</v>
      </c>
      <c r="E22" s="26"/>
      <c r="F22" s="26"/>
      <c r="G22" s="26"/>
      <c r="H22" s="26"/>
      <c r="I22" s="26"/>
      <c r="J22" s="26"/>
      <c r="K22" s="26"/>
      <c r="L22" s="26"/>
      <c r="M22" s="26"/>
      <c r="N22" s="26"/>
      <c r="O22" s="26"/>
      <c r="P22" s="33"/>
    </row>
    <row r="23" spans="1:16" ht="28.5" customHeight="1" x14ac:dyDescent="0.25">
      <c r="A23" s="47"/>
      <c r="B23" s="32" t="s">
        <v>66</v>
      </c>
      <c r="C23" s="31">
        <v>104</v>
      </c>
      <c r="D23" s="23">
        <f t="shared" si="1"/>
        <v>54</v>
      </c>
      <c r="E23" s="26">
        <v>27</v>
      </c>
      <c r="F23" s="26"/>
      <c r="G23" s="26"/>
      <c r="H23" s="26">
        <v>27</v>
      </c>
      <c r="I23" s="26"/>
      <c r="J23" s="26"/>
      <c r="K23" s="26"/>
      <c r="L23" s="26"/>
      <c r="M23" s="26"/>
      <c r="N23" s="26"/>
      <c r="O23" s="26"/>
      <c r="P23" s="33"/>
    </row>
    <row r="24" spans="1:16" ht="28.5" customHeight="1" x14ac:dyDescent="0.25">
      <c r="A24" s="47"/>
      <c r="B24" s="32" t="s">
        <v>67</v>
      </c>
      <c r="C24" s="31">
        <v>3</v>
      </c>
      <c r="D24" s="23">
        <f t="shared" si="1"/>
        <v>1</v>
      </c>
      <c r="E24" s="26"/>
      <c r="F24" s="26"/>
      <c r="G24" s="26"/>
      <c r="H24" s="26"/>
      <c r="I24" s="26"/>
      <c r="J24" s="26">
        <v>1</v>
      </c>
      <c r="K24" s="26"/>
      <c r="L24" s="26"/>
      <c r="M24" s="26"/>
      <c r="N24" s="26"/>
      <c r="O24" s="26"/>
      <c r="P24" s="33"/>
    </row>
    <row r="25" spans="1:16" ht="24" customHeight="1" x14ac:dyDescent="0.25">
      <c r="A25" s="47"/>
      <c r="B25" s="34" t="s">
        <v>68</v>
      </c>
      <c r="C25" s="31">
        <v>5</v>
      </c>
      <c r="D25" s="23">
        <f t="shared" si="1"/>
        <v>4</v>
      </c>
      <c r="E25" s="26"/>
      <c r="F25" s="26"/>
      <c r="G25" s="26"/>
      <c r="H25" s="26">
        <v>4</v>
      </c>
      <c r="I25" s="26"/>
      <c r="J25" s="26"/>
      <c r="K25" s="26"/>
      <c r="L25" s="26"/>
      <c r="M25" s="26"/>
      <c r="N25" s="26"/>
      <c r="O25" s="26"/>
      <c r="P25" s="33"/>
    </row>
    <row r="26" spans="1:16" ht="24" customHeight="1" x14ac:dyDescent="0.25">
      <c r="A26" s="47"/>
      <c r="B26" s="34" t="s">
        <v>69</v>
      </c>
      <c r="C26" s="31">
        <v>5</v>
      </c>
      <c r="D26" s="23">
        <f t="shared" si="1"/>
        <v>4</v>
      </c>
      <c r="E26" s="26"/>
      <c r="F26" s="26"/>
      <c r="G26" s="26"/>
      <c r="H26" s="26">
        <v>4</v>
      </c>
      <c r="I26" s="26"/>
      <c r="J26" s="26"/>
      <c r="K26" s="26"/>
      <c r="L26" s="26"/>
      <c r="M26" s="26"/>
      <c r="N26" s="26"/>
      <c r="O26" s="26"/>
      <c r="P26" s="33"/>
    </row>
    <row r="27" spans="1:16" ht="24" customHeight="1" x14ac:dyDescent="0.25">
      <c r="A27" s="47"/>
      <c r="B27" s="34" t="s">
        <v>70</v>
      </c>
      <c r="C27" s="31">
        <v>5</v>
      </c>
      <c r="D27" s="23">
        <f t="shared" si="1"/>
        <v>4</v>
      </c>
      <c r="E27" s="26"/>
      <c r="F27" s="26"/>
      <c r="G27" s="26"/>
      <c r="H27" s="26"/>
      <c r="I27" s="26">
        <v>4</v>
      </c>
      <c r="J27" s="26"/>
      <c r="K27" s="26"/>
      <c r="L27" s="26"/>
      <c r="M27" s="26"/>
      <c r="N27" s="26"/>
      <c r="O27" s="26"/>
      <c r="P27" s="33"/>
    </row>
    <row r="28" spans="1:16" ht="24" customHeight="1" x14ac:dyDescent="0.25">
      <c r="A28" s="47"/>
      <c r="B28" s="34" t="s">
        <v>71</v>
      </c>
      <c r="C28" s="31">
        <v>5</v>
      </c>
      <c r="D28" s="23">
        <f t="shared" si="1"/>
        <v>0</v>
      </c>
      <c r="E28" s="26"/>
      <c r="F28" s="26"/>
      <c r="G28" s="26"/>
      <c r="H28" s="26"/>
      <c r="I28" s="26"/>
      <c r="J28" s="26"/>
      <c r="K28" s="26"/>
      <c r="L28" s="26"/>
      <c r="M28" s="26"/>
      <c r="N28" s="26"/>
      <c r="O28" s="26"/>
      <c r="P28" s="33"/>
    </row>
    <row r="29" spans="1:16" ht="24" customHeight="1" x14ac:dyDescent="0.25">
      <c r="A29" s="47"/>
      <c r="B29" s="34" t="s">
        <v>72</v>
      </c>
      <c r="C29" s="31">
        <v>5</v>
      </c>
      <c r="D29" s="23">
        <f t="shared" si="1"/>
        <v>0</v>
      </c>
      <c r="E29" s="26"/>
      <c r="F29" s="26"/>
      <c r="G29" s="26"/>
      <c r="H29" s="26"/>
      <c r="I29" s="26"/>
      <c r="J29" s="26"/>
      <c r="K29" s="26"/>
      <c r="L29" s="26"/>
      <c r="M29" s="26"/>
      <c r="N29" s="26"/>
      <c r="O29" s="26"/>
      <c r="P29" s="33"/>
    </row>
    <row r="30" spans="1:16" ht="24" customHeight="1" x14ac:dyDescent="0.25">
      <c r="A30" s="47"/>
      <c r="B30" s="34" t="s">
        <v>73</v>
      </c>
      <c r="C30" s="31">
        <v>1</v>
      </c>
      <c r="D30" s="23">
        <f t="shared" si="1"/>
        <v>0</v>
      </c>
      <c r="E30" s="26"/>
      <c r="F30" s="26"/>
      <c r="G30" s="26"/>
      <c r="H30" s="26"/>
      <c r="I30" s="26"/>
      <c r="J30" s="26"/>
      <c r="K30" s="26"/>
      <c r="L30" s="26"/>
      <c r="M30" s="26"/>
      <c r="N30" s="26"/>
      <c r="O30" s="26"/>
      <c r="P30" s="33"/>
    </row>
    <row r="31" spans="1:16" ht="24" customHeight="1" x14ac:dyDescent="0.25">
      <c r="A31" s="47"/>
      <c r="B31" s="34" t="s">
        <v>74</v>
      </c>
      <c r="C31" s="31">
        <v>1</v>
      </c>
      <c r="D31" s="23">
        <f t="shared" si="1"/>
        <v>0</v>
      </c>
      <c r="E31" s="26"/>
      <c r="F31" s="26"/>
      <c r="G31" s="26"/>
      <c r="H31" s="26"/>
      <c r="I31" s="26"/>
      <c r="J31" s="26"/>
      <c r="K31" s="26"/>
      <c r="L31" s="26"/>
      <c r="M31" s="26"/>
      <c r="N31" s="26"/>
      <c r="O31" s="26"/>
      <c r="P31" s="33"/>
    </row>
    <row r="32" spans="1:16" ht="24" customHeight="1" x14ac:dyDescent="0.25">
      <c r="A32" s="47"/>
      <c r="B32" s="34" t="s">
        <v>75</v>
      </c>
      <c r="C32" s="31">
        <v>1</v>
      </c>
      <c r="D32" s="23">
        <f t="shared" si="1"/>
        <v>0</v>
      </c>
      <c r="E32" s="26"/>
      <c r="F32" s="26"/>
      <c r="G32" s="26"/>
      <c r="H32" s="26"/>
      <c r="I32" s="26"/>
      <c r="J32" s="26"/>
      <c r="K32" s="26"/>
      <c r="L32" s="26"/>
      <c r="M32" s="26"/>
      <c r="N32" s="26"/>
      <c r="O32" s="26"/>
      <c r="P32" s="33"/>
    </row>
    <row r="33" spans="1:16" ht="24" customHeight="1" x14ac:dyDescent="0.25">
      <c r="A33" s="47"/>
      <c r="B33" s="34" t="s">
        <v>76</v>
      </c>
      <c r="C33" s="31">
        <v>1</v>
      </c>
      <c r="D33" s="23">
        <f t="shared" si="1"/>
        <v>0</v>
      </c>
      <c r="E33" s="26"/>
      <c r="F33" s="26"/>
      <c r="G33" s="26"/>
      <c r="H33" s="26"/>
      <c r="I33" s="26"/>
      <c r="J33" s="26"/>
      <c r="K33" s="26"/>
      <c r="L33" s="26"/>
      <c r="M33" s="26"/>
      <c r="N33" s="26"/>
      <c r="O33" s="26"/>
      <c r="P33" s="33"/>
    </row>
    <row r="34" spans="1:16" ht="24" customHeight="1" x14ac:dyDescent="0.25">
      <c r="A34" s="47"/>
      <c r="B34" s="34" t="s">
        <v>77</v>
      </c>
      <c r="C34" s="31">
        <v>1</v>
      </c>
      <c r="D34" s="23">
        <f t="shared" si="1"/>
        <v>0</v>
      </c>
      <c r="E34" s="26"/>
      <c r="F34" s="26"/>
      <c r="G34" s="26"/>
      <c r="H34" s="26"/>
      <c r="I34" s="26"/>
      <c r="J34" s="26"/>
      <c r="K34" s="26"/>
      <c r="L34" s="26"/>
      <c r="M34" s="26"/>
      <c r="N34" s="26"/>
      <c r="O34" s="26"/>
      <c r="P34" s="33"/>
    </row>
    <row r="35" spans="1:16" ht="24" customHeight="1" x14ac:dyDescent="0.25">
      <c r="A35" s="47"/>
      <c r="B35" s="34" t="s">
        <v>78</v>
      </c>
      <c r="C35" s="31">
        <v>1</v>
      </c>
      <c r="D35" s="23">
        <f t="shared" si="1"/>
        <v>0</v>
      </c>
      <c r="E35" s="26"/>
      <c r="F35" s="26"/>
      <c r="G35" s="26"/>
      <c r="H35" s="26"/>
      <c r="I35" s="26"/>
      <c r="J35" s="26"/>
      <c r="K35" s="26"/>
      <c r="L35" s="26"/>
      <c r="M35" s="26"/>
      <c r="N35" s="26"/>
      <c r="O35" s="26"/>
      <c r="P35" s="33"/>
    </row>
    <row r="36" spans="1:16" ht="24" customHeight="1" thickBot="1" x14ac:dyDescent="0.3">
      <c r="A36" s="48"/>
      <c r="B36" s="35" t="s">
        <v>79</v>
      </c>
      <c r="C36" s="31">
        <v>1</v>
      </c>
      <c r="D36" s="23">
        <f t="shared" si="1"/>
        <v>0</v>
      </c>
      <c r="E36" s="26"/>
      <c r="F36" s="26"/>
      <c r="G36" s="26"/>
      <c r="H36" s="26"/>
      <c r="I36" s="26"/>
      <c r="J36" s="26"/>
      <c r="K36" s="26"/>
      <c r="L36" s="26"/>
      <c r="M36" s="26"/>
      <c r="N36" s="26"/>
      <c r="O36" s="26"/>
      <c r="P36" s="33"/>
    </row>
    <row r="37" spans="1:16" x14ac:dyDescent="0.25">
      <c r="C37" s="36">
        <f>SUM(C3:C36)</f>
        <v>372</v>
      </c>
      <c r="D37" s="37">
        <f>SUM(D3:D36)</f>
        <v>159</v>
      </c>
    </row>
    <row r="38" spans="1:16" x14ac:dyDescent="0.25">
      <c r="C38" s="38"/>
      <c r="D38" s="39">
        <f>D37/C37</f>
        <v>0.42741935483870969</v>
      </c>
    </row>
  </sheetData>
  <sheetProtection algorithmName="SHA-512" hashValue="bqci11BCgEq7Vfa/l53pMF0LkrpxDD6N93gtTtoML3E6W6cE/8861SF2H820HW40QrdJJhH4cNAVYgr8zz0tnw==" saltValue="aRTB1gZSr828SYKDp1LAbw==" spinCount="100000" sheet="1" objects="1" scenarios="1" autoFilter="0"/>
  <mergeCells count="2">
    <mergeCell ref="A1:A2"/>
    <mergeCell ref="A9:A36"/>
  </mergeCells>
  <conditionalFormatting sqref="C3:D3 D4:D8">
    <cfRule type="dataBar" priority="45">
      <dataBar>
        <cfvo type="min"/>
        <cfvo type="max"/>
        <color rgb="FF008AEF"/>
      </dataBar>
      <extLst>
        <ext xmlns:x14="http://schemas.microsoft.com/office/spreadsheetml/2009/9/main" uri="{B025F937-C7B1-47D3-B67F-A62EFF666E3E}">
          <x14:id>{F6B5AD0A-DE28-4C0C-91AC-393DCBE66217}</x14:id>
        </ext>
      </extLst>
    </cfRule>
  </conditionalFormatting>
  <conditionalFormatting sqref="C4:D4">
    <cfRule type="dataBar" priority="6">
      <dataBar>
        <cfvo type="min"/>
        <cfvo type="max"/>
        <color rgb="FF008AEF"/>
      </dataBar>
      <extLst>
        <ext xmlns:x14="http://schemas.microsoft.com/office/spreadsheetml/2009/9/main" uri="{B025F937-C7B1-47D3-B67F-A62EFF666E3E}">
          <x14:id>{C767C4DB-DCAC-43D2-B0CB-A4A385D12D76}</x14:id>
        </ext>
      </extLst>
    </cfRule>
  </conditionalFormatting>
  <conditionalFormatting sqref="C5:D5">
    <cfRule type="dataBar" priority="7">
      <dataBar>
        <cfvo type="min"/>
        <cfvo type="max"/>
        <color rgb="FF008AEF"/>
      </dataBar>
      <extLst>
        <ext xmlns:x14="http://schemas.microsoft.com/office/spreadsheetml/2009/9/main" uri="{B025F937-C7B1-47D3-B67F-A62EFF666E3E}">
          <x14:id>{2CDE1145-FEAC-4F13-A797-639BB43C2DDB}</x14:id>
        </ext>
      </extLst>
    </cfRule>
  </conditionalFormatting>
  <conditionalFormatting sqref="C6:D6">
    <cfRule type="dataBar" priority="8">
      <dataBar>
        <cfvo type="min"/>
        <cfvo type="max"/>
        <color rgb="FF008AEF"/>
      </dataBar>
      <extLst>
        <ext xmlns:x14="http://schemas.microsoft.com/office/spreadsheetml/2009/9/main" uri="{B025F937-C7B1-47D3-B67F-A62EFF666E3E}">
          <x14:id>{9D293D2B-A8C0-48A1-8A5A-AE0CCC4A762D}</x14:id>
        </ext>
      </extLst>
    </cfRule>
  </conditionalFormatting>
  <conditionalFormatting sqref="C7:D7">
    <cfRule type="dataBar" priority="9">
      <dataBar>
        <cfvo type="min"/>
        <cfvo type="max"/>
        <color rgb="FF008AEF"/>
      </dataBar>
      <extLst>
        <ext xmlns:x14="http://schemas.microsoft.com/office/spreadsheetml/2009/9/main" uri="{B025F937-C7B1-47D3-B67F-A62EFF666E3E}">
          <x14:id>{0B2E4942-D5F0-4388-9C2F-356EF3D15136}</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{A25AB9F9-0B6C-488A-811C-109A652046C5}</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{C8B3711F-7071-48D5-8E03-B2EE1FA39532}</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{F1B3000D-8D74-43C9-AE13-476A5041916E}</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{BF6F8E41-74D2-4D36-B0BE-456578742A7F}</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{B467203C-82E9-4FC3-BD01-86BC72D368BC}</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{B14EBAA7-A2A9-4D28-B1A5-2677AF5A1D41}</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{B538FDA8-C4BD-44F1-9A80-2EC92AC15A89}</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{05A3CCE6-DD00-40E5-95A1-86630B060BD0}</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{C50EBC76-D744-44CB-8AC4-33249F6713EC}</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{BD2B7B2B-143C-457A-BDCD-083BDD8D4669}</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{58F5F349-E6BD-408B-ACE2-86879EBD1AF6}</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{A64150C9-141D-41F0-9603-92749D2BB600}</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{5ED4F0DE-FAAA-40C2-A7BB-C497F5F44CF6}</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{A55D714F-198B-4B13-8DA5-03011180934F}</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{0E7D27C0-DB35-44C6-8258-6EE1857179F6}</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{D283F802-D6A4-4D10-8869-D4DD6A9C9921}</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{B151C621-564C-4CB8-9C2A-551D0F594C4A}</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{B34FE37E-8D7A-4E61-BF86-23D851A46A7B}</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{41A31A05-EBED-4B74-ADEA-73811E5874C3}</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{C44AD991-24F9-4143-A65E-9ADCA51A36A5}</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{2C807D21-A7A0-4F06-849B-798C376A13D0}</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{1A9A016B-B7EA-4535-A512-DDA27B7FF023}</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{EA001FC6-BD01-4542-AA81-F31B867F901E}</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{1F11ED4D-761E-4A06-9120-2818C113C136}</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{BF6AE02C-1097-4D85-8BB1-0E441701F8D1}</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{B2D30C03-CF5B-447C-A474-F0796606967E}</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{AD0164E6-903A-4A9C-806E-867AEA4A3191}</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{5903134D-E1EB-46E1-B493-0B1F0A2C3789}</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{2CF754A5-E3B6-49D3-BCAE-D5BA83FE872C}</x14:id>
        </ext>
      </extLst>
    </cfRule>
  </conditionalFormatting>
  <conditionalFormatting sqref="E3:F32 E33:O36">
    <cfRule type="cellIs" dxfId="7" priority="3" operator="greaterThan">
      <formula>0</formula>
    </cfRule>
  </conditionalFormatting>
  <conditionalFormatting sqref="G9:O32">
    <cfRule type="cellIs" dxfId="6" priority="12" operator="greaterThan">
      <formula>0</formula>
    </cfRule>
  </conditionalFormatting>
  <conditionalFormatting sqref="G3:P8">
    <cfRule type="cellIs" dxfId="5"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F6B5AD0A-DE28-4C0C-91AC-393DCBE66217}">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C767C4DB-DCAC-43D2-B0CB-A4A385D12D76}">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CDE1145-FEAC-4F13-A797-639BB43C2DD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D293D2B-A8C0-48A1-8A5A-AE0CCC4A762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B2E4942-D5F0-4388-9C2F-356EF3D1513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25AB9F9-0B6C-488A-811C-109A652046C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8B3711F-7071-48D5-8E03-B2EE1FA3953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F1B3000D-8D74-43C9-AE13-476A5041916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F6F8E41-74D2-4D36-B0BE-456578742A7F}">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467203C-82E9-4FC3-BD01-86BC72D368B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14EBAA7-A2A9-4D28-B1A5-2677AF5A1D41}">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538FDA8-C4BD-44F1-9A80-2EC92AC15A8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05A3CCE6-DD00-40E5-95A1-86630B060BD0}">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50EBC76-D744-44CB-8AC4-33249F6713E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BD2B7B2B-143C-457A-BDCD-083BDD8D4669}">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8F5F349-E6BD-408B-ACE2-86879EBD1AF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A64150C9-141D-41F0-9603-92749D2BB60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ED4F0DE-FAAA-40C2-A7BB-C497F5F44CF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A55D714F-198B-4B13-8DA5-03011180934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E7D27C0-DB35-44C6-8258-6EE1857179F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283F802-D6A4-4D10-8869-D4DD6A9C992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B151C621-564C-4CB8-9C2A-551D0F594C4A}">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34FE37E-8D7A-4E61-BF86-23D851A46A7B}">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1A31A05-EBED-4B74-ADEA-73811E5874C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44AD991-24F9-4143-A65E-9ADCA51A36A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C807D21-A7A0-4F06-849B-798C376A13D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A9A016B-B7EA-4535-A512-DDA27B7FF02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A001FC6-BD01-4542-AA81-F31B867F901E}">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F11ED4D-761E-4A06-9120-2818C113C13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F6AE02C-1097-4D85-8BB1-0E441701F8D1}">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2D30C03-CF5B-447C-A474-F0796606967E}">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D0164E6-903A-4A9C-806E-867AEA4A319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5903134D-E1EB-46E1-B493-0B1F0A2C3789}">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2CF754A5-E3B6-49D3-BCAE-D5BA83FE872C}">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40"/>
  <sheetViews>
    <sheetView topLeftCell="A9" zoomScale="70" zoomScaleNormal="70" workbookViewId="0">
      <selection activeCell="O22" sqref="O22"/>
    </sheetView>
  </sheetViews>
  <sheetFormatPr baseColWidth="10" defaultColWidth="11.42578125" defaultRowHeight="15" x14ac:dyDescent="0.25"/>
  <cols>
    <col min="1" max="1" width="5.28515625" style="2" customWidth="1"/>
    <col min="2" max="2" width="105.28515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4" t="s">
        <v>1</v>
      </c>
      <c r="B1" s="22" t="s">
        <v>36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5"/>
      <c r="B2" s="22"/>
      <c r="C2" s="3">
        <v>2026</v>
      </c>
      <c r="D2" s="3" t="s">
        <v>16</v>
      </c>
      <c r="E2" s="24"/>
      <c r="F2" s="24"/>
      <c r="G2" s="24"/>
      <c r="H2" s="24"/>
      <c r="I2" s="24"/>
      <c r="J2" s="24"/>
      <c r="K2" s="24"/>
      <c r="L2" s="24"/>
      <c r="M2" s="24"/>
      <c r="N2" s="24"/>
      <c r="O2" s="24"/>
      <c r="P2" s="24"/>
    </row>
    <row r="3" spans="1:16" ht="81" customHeight="1" x14ac:dyDescent="0.25">
      <c r="A3" s="25" t="s">
        <v>18</v>
      </c>
      <c r="B3" s="14" t="s">
        <v>17</v>
      </c>
      <c r="C3" s="6">
        <v>2</v>
      </c>
      <c r="D3" s="23">
        <f t="shared" ref="D3:D10" si="0">SUM(E3:P3)</f>
        <v>0</v>
      </c>
      <c r="E3" s="26"/>
      <c r="F3" s="26"/>
      <c r="G3" s="26"/>
      <c r="H3" s="26"/>
      <c r="I3" s="26"/>
      <c r="J3" s="26"/>
      <c r="K3" s="26"/>
      <c r="L3" s="26"/>
      <c r="M3" s="26"/>
      <c r="N3" s="26"/>
      <c r="O3" s="26"/>
      <c r="P3" s="26"/>
    </row>
    <row r="4" spans="1:16" ht="81" customHeight="1" x14ac:dyDescent="0.25">
      <c r="A4" s="27" t="s">
        <v>20</v>
      </c>
      <c r="B4" s="15" t="s">
        <v>37</v>
      </c>
      <c r="C4" s="28">
        <v>1</v>
      </c>
      <c r="D4" s="23">
        <f t="shared" si="0"/>
        <v>0</v>
      </c>
      <c r="E4" s="26">
        <v>0</v>
      </c>
      <c r="F4" s="26">
        <v>0</v>
      </c>
      <c r="G4" s="26">
        <v>0</v>
      </c>
      <c r="H4" s="26">
        <v>0</v>
      </c>
      <c r="I4" s="26"/>
      <c r="J4" s="26"/>
      <c r="K4" s="26"/>
      <c r="L4" s="26"/>
      <c r="M4" s="26"/>
      <c r="N4" s="26"/>
      <c r="O4" s="26"/>
      <c r="P4" s="26"/>
    </row>
    <row r="5" spans="1:16" ht="81" customHeight="1" x14ac:dyDescent="0.25">
      <c r="A5" s="29" t="s">
        <v>22</v>
      </c>
      <c r="B5" s="16" t="s">
        <v>25</v>
      </c>
      <c r="C5" s="30">
        <v>1</v>
      </c>
      <c r="D5" s="23">
        <f t="shared" si="0"/>
        <v>0</v>
      </c>
      <c r="E5" s="26">
        <v>0</v>
      </c>
      <c r="F5" s="26">
        <v>0</v>
      </c>
      <c r="G5" s="26">
        <v>0</v>
      </c>
      <c r="H5" s="26">
        <v>0</v>
      </c>
      <c r="I5" s="26"/>
      <c r="J5" s="26"/>
      <c r="K5" s="26"/>
      <c r="L5" s="26"/>
      <c r="M5" s="26"/>
      <c r="N5" s="26"/>
      <c r="O5" s="26"/>
      <c r="P5" s="26"/>
    </row>
    <row r="6" spans="1:16" ht="81" customHeight="1" x14ac:dyDescent="0.25">
      <c r="A6" s="25" t="s">
        <v>18</v>
      </c>
      <c r="B6" s="14" t="s">
        <v>26</v>
      </c>
      <c r="C6" s="31">
        <v>2</v>
      </c>
      <c r="D6" s="23">
        <f t="shared" si="0"/>
        <v>0</v>
      </c>
      <c r="E6" s="26"/>
      <c r="F6" s="26"/>
      <c r="G6" s="26"/>
      <c r="H6" s="26"/>
      <c r="I6" s="26"/>
      <c r="J6" s="26"/>
      <c r="K6" s="26"/>
      <c r="L6" s="26"/>
      <c r="M6" s="26"/>
      <c r="N6" s="26"/>
      <c r="O6" s="26"/>
      <c r="P6" s="26"/>
    </row>
    <row r="7" spans="1:16" ht="81" customHeight="1" x14ac:dyDescent="0.25">
      <c r="A7" s="25" t="s">
        <v>18</v>
      </c>
      <c r="B7" s="14" t="s">
        <v>38</v>
      </c>
      <c r="C7" s="31">
        <v>2</v>
      </c>
      <c r="D7" s="23">
        <f t="shared" si="0"/>
        <v>0</v>
      </c>
      <c r="E7" s="26"/>
      <c r="F7" s="26"/>
      <c r="G7" s="26"/>
      <c r="H7" s="26"/>
      <c r="I7" s="26"/>
      <c r="J7" s="26"/>
      <c r="K7" s="26"/>
      <c r="L7" s="26"/>
      <c r="M7" s="26"/>
      <c r="N7" s="26"/>
      <c r="O7" s="26"/>
      <c r="P7" s="26"/>
    </row>
    <row r="8" spans="1:16" ht="81" customHeight="1" x14ac:dyDescent="0.25">
      <c r="A8" s="25" t="s">
        <v>18</v>
      </c>
      <c r="B8" s="14" t="s">
        <v>28</v>
      </c>
      <c r="C8" s="31">
        <v>1</v>
      </c>
      <c r="D8" s="23">
        <f t="shared" si="0"/>
        <v>0</v>
      </c>
      <c r="E8" s="26"/>
      <c r="F8" s="26"/>
      <c r="G8" s="26"/>
      <c r="H8" s="26"/>
      <c r="I8" s="26"/>
      <c r="J8" s="26"/>
      <c r="K8" s="26"/>
      <c r="L8" s="26"/>
      <c r="M8" s="26"/>
      <c r="N8" s="26"/>
      <c r="O8" s="26"/>
      <c r="P8" s="26"/>
    </row>
    <row r="9" spans="1:16" ht="81" customHeight="1" x14ac:dyDescent="0.25">
      <c r="A9" s="25" t="s">
        <v>18</v>
      </c>
      <c r="B9" s="14" t="s">
        <v>39</v>
      </c>
      <c r="C9" s="31">
        <v>2</v>
      </c>
      <c r="D9" s="23">
        <f t="shared" si="0"/>
        <v>0</v>
      </c>
      <c r="E9" s="26"/>
      <c r="F9" s="26"/>
      <c r="G9" s="26"/>
      <c r="H9" s="26"/>
      <c r="I9" s="26"/>
      <c r="J9" s="26"/>
      <c r="K9" s="26"/>
      <c r="L9" s="26"/>
      <c r="M9" s="26"/>
      <c r="N9" s="26"/>
      <c r="O9" s="26"/>
      <c r="P9" s="26"/>
    </row>
    <row r="10" spans="1:16" ht="81" customHeight="1" x14ac:dyDescent="0.25">
      <c r="A10" s="25" t="s">
        <v>18</v>
      </c>
      <c r="B10" s="14" t="s">
        <v>30</v>
      </c>
      <c r="C10" s="31">
        <v>1</v>
      </c>
      <c r="D10" s="23">
        <f t="shared" si="0"/>
        <v>0</v>
      </c>
      <c r="E10" s="26"/>
      <c r="F10" s="26"/>
      <c r="G10" s="26"/>
      <c r="H10" s="26"/>
      <c r="I10" s="26"/>
      <c r="J10" s="26"/>
      <c r="K10" s="26"/>
      <c r="L10" s="26"/>
      <c r="M10" s="26"/>
      <c r="N10" s="26"/>
      <c r="O10" s="26"/>
      <c r="P10" s="26"/>
    </row>
    <row r="11" spans="1:16" ht="28.5" customHeight="1" x14ac:dyDescent="0.25">
      <c r="A11" s="46" t="s">
        <v>51</v>
      </c>
      <c r="B11" s="32" t="s">
        <v>52</v>
      </c>
      <c r="C11" s="31">
        <v>2</v>
      </c>
      <c r="D11" s="23">
        <f t="shared" ref="D11:D38" si="1">SUM(E11:O11)</f>
        <v>0</v>
      </c>
      <c r="E11" s="26"/>
      <c r="F11" s="26"/>
      <c r="G11" s="26"/>
      <c r="H11" s="26"/>
      <c r="I11" s="26"/>
      <c r="J11" s="26"/>
      <c r="K11" s="26"/>
      <c r="L11" s="26"/>
      <c r="M11" s="26"/>
      <c r="N11" s="26"/>
      <c r="O11" s="26"/>
      <c r="P11" s="33"/>
    </row>
    <row r="12" spans="1:16" ht="28.5" customHeight="1" x14ac:dyDescent="0.25">
      <c r="A12" s="47"/>
      <c r="B12" s="32" t="s">
        <v>53</v>
      </c>
      <c r="C12" s="31">
        <v>3</v>
      </c>
      <c r="D12" s="23">
        <f t="shared" si="1"/>
        <v>0</v>
      </c>
      <c r="E12" s="26"/>
      <c r="F12" s="26"/>
      <c r="G12" s="26"/>
      <c r="H12" s="26"/>
      <c r="I12" s="26"/>
      <c r="J12" s="26"/>
      <c r="K12" s="26"/>
      <c r="L12" s="26"/>
      <c r="M12" s="26"/>
      <c r="N12" s="26"/>
      <c r="O12" s="26"/>
      <c r="P12" s="33"/>
    </row>
    <row r="13" spans="1:16" ht="28.5" customHeight="1" x14ac:dyDescent="0.25">
      <c r="A13" s="47"/>
      <c r="B13" s="32" t="s">
        <v>54</v>
      </c>
      <c r="C13" s="31">
        <v>56</v>
      </c>
      <c r="D13" s="23">
        <f t="shared" si="1"/>
        <v>21</v>
      </c>
      <c r="E13" s="26"/>
      <c r="F13" s="26">
        <v>2</v>
      </c>
      <c r="G13" s="26">
        <v>6</v>
      </c>
      <c r="H13" s="26">
        <v>4</v>
      </c>
      <c r="I13" s="26">
        <v>9</v>
      </c>
      <c r="J13" s="26"/>
      <c r="K13" s="26"/>
      <c r="L13" s="26"/>
      <c r="M13" s="26"/>
      <c r="N13" s="26"/>
      <c r="O13" s="26"/>
      <c r="P13" s="33"/>
    </row>
    <row r="14" spans="1:16" ht="28.5" customHeight="1" x14ac:dyDescent="0.25">
      <c r="A14" s="47"/>
      <c r="B14" s="32" t="s">
        <v>55</v>
      </c>
      <c r="C14" s="31">
        <v>56</v>
      </c>
      <c r="D14" s="23">
        <f t="shared" si="1"/>
        <v>22</v>
      </c>
      <c r="E14" s="26"/>
      <c r="F14" s="26"/>
      <c r="G14" s="26">
        <v>14</v>
      </c>
      <c r="H14" s="26">
        <v>8</v>
      </c>
      <c r="I14" s="26"/>
      <c r="J14" s="26"/>
      <c r="K14" s="26"/>
      <c r="L14" s="26"/>
      <c r="M14" s="26"/>
      <c r="N14" s="26"/>
      <c r="O14" s="26"/>
      <c r="P14" s="33"/>
    </row>
    <row r="15" spans="1:16" ht="28.5" customHeight="1" x14ac:dyDescent="0.25">
      <c r="A15" s="47"/>
      <c r="B15" s="32" t="s">
        <v>56</v>
      </c>
      <c r="C15" s="31">
        <v>0</v>
      </c>
      <c r="D15" s="23">
        <f t="shared" si="1"/>
        <v>0</v>
      </c>
      <c r="E15" s="26"/>
      <c r="F15" s="26"/>
      <c r="G15" s="26"/>
      <c r="H15" s="26"/>
      <c r="I15" s="26"/>
      <c r="J15" s="26"/>
      <c r="K15" s="26"/>
      <c r="L15" s="26"/>
      <c r="M15" s="26"/>
      <c r="N15" s="26"/>
      <c r="O15" s="26"/>
      <c r="P15" s="33"/>
    </row>
    <row r="16" spans="1:16" ht="28.5" customHeight="1" x14ac:dyDescent="0.25">
      <c r="A16" s="47"/>
      <c r="B16" s="32" t="s">
        <v>57</v>
      </c>
      <c r="C16" s="31">
        <v>13</v>
      </c>
      <c r="D16" s="23">
        <f t="shared" si="1"/>
        <v>10</v>
      </c>
      <c r="E16" s="26"/>
      <c r="F16" s="26"/>
      <c r="G16" s="26"/>
      <c r="H16" s="26">
        <v>1</v>
      </c>
      <c r="I16" s="26">
        <v>8</v>
      </c>
      <c r="J16" s="26">
        <v>1</v>
      </c>
      <c r="K16" s="26"/>
      <c r="L16" s="26"/>
      <c r="M16" s="26"/>
      <c r="N16" s="26"/>
      <c r="O16" s="26"/>
      <c r="P16" s="33"/>
    </row>
    <row r="17" spans="1:16" ht="28.5" customHeight="1" x14ac:dyDescent="0.25">
      <c r="A17" s="47"/>
      <c r="B17" s="32" t="s">
        <v>58</v>
      </c>
      <c r="C17" s="31">
        <v>0</v>
      </c>
      <c r="D17" s="23">
        <f t="shared" si="1"/>
        <v>0</v>
      </c>
      <c r="E17" s="26"/>
      <c r="F17" s="26"/>
      <c r="G17" s="26"/>
      <c r="H17" s="26"/>
      <c r="I17" s="26"/>
      <c r="J17" s="26"/>
      <c r="K17" s="26"/>
      <c r="L17" s="26"/>
      <c r="M17" s="26"/>
      <c r="N17" s="26"/>
      <c r="O17" s="26"/>
      <c r="P17" s="33"/>
    </row>
    <row r="18" spans="1:16" ht="28.5" customHeight="1" x14ac:dyDescent="0.25">
      <c r="A18" s="47"/>
      <c r="B18" s="32" t="s">
        <v>59</v>
      </c>
      <c r="C18" s="31">
        <v>10</v>
      </c>
      <c r="D18" s="23">
        <f t="shared" si="1"/>
        <v>3</v>
      </c>
      <c r="E18" s="26"/>
      <c r="F18" s="26"/>
      <c r="G18" s="26">
        <v>3</v>
      </c>
      <c r="H18" s="26"/>
      <c r="I18" s="26"/>
      <c r="J18" s="26"/>
      <c r="K18" s="26"/>
      <c r="L18" s="26"/>
      <c r="M18" s="26"/>
      <c r="N18" s="26"/>
      <c r="O18" s="26"/>
      <c r="P18" s="33"/>
    </row>
    <row r="19" spans="1:16" ht="28.5" customHeight="1" x14ac:dyDescent="0.25">
      <c r="A19" s="47"/>
      <c r="B19" s="32" t="s">
        <v>60</v>
      </c>
      <c r="C19" s="31">
        <v>0</v>
      </c>
      <c r="D19" s="23">
        <f t="shared" si="1"/>
        <v>0</v>
      </c>
      <c r="E19" s="26"/>
      <c r="F19" s="26"/>
      <c r="G19" s="26"/>
      <c r="H19" s="26"/>
      <c r="I19" s="26"/>
      <c r="J19" s="26"/>
      <c r="K19" s="26"/>
      <c r="L19" s="26"/>
      <c r="M19" s="26"/>
      <c r="N19" s="26"/>
      <c r="O19" s="26"/>
      <c r="P19" s="33"/>
    </row>
    <row r="20" spans="1:16" ht="28.5" customHeight="1" x14ac:dyDescent="0.25">
      <c r="A20" s="47"/>
      <c r="B20" s="32" t="s">
        <v>61</v>
      </c>
      <c r="C20" s="31">
        <v>0</v>
      </c>
      <c r="D20" s="23">
        <f t="shared" si="1"/>
        <v>0</v>
      </c>
      <c r="E20" s="26"/>
      <c r="F20" s="26"/>
      <c r="G20" s="26"/>
      <c r="H20" s="26"/>
      <c r="I20" s="26"/>
      <c r="J20" s="26"/>
      <c r="K20" s="26"/>
      <c r="L20" s="26"/>
      <c r="M20" s="26"/>
      <c r="N20" s="26"/>
      <c r="O20" s="26"/>
      <c r="P20" s="33"/>
    </row>
    <row r="21" spans="1:16" ht="28.5" customHeight="1" x14ac:dyDescent="0.25">
      <c r="A21" s="47"/>
      <c r="B21" s="32" t="s">
        <v>62</v>
      </c>
      <c r="C21" s="31">
        <v>1</v>
      </c>
      <c r="D21" s="23">
        <f t="shared" si="1"/>
        <v>0</v>
      </c>
      <c r="E21" s="26"/>
      <c r="F21" s="26"/>
      <c r="G21" s="26"/>
      <c r="H21" s="26"/>
      <c r="I21" s="26"/>
      <c r="J21" s="26"/>
      <c r="K21" s="26"/>
      <c r="L21" s="26"/>
      <c r="M21" s="26"/>
      <c r="N21" s="26"/>
      <c r="O21" s="26"/>
      <c r="P21" s="33"/>
    </row>
    <row r="22" spans="1:16" ht="28.5" customHeight="1" x14ac:dyDescent="0.25">
      <c r="A22" s="47"/>
      <c r="B22" s="32" t="s">
        <v>63</v>
      </c>
      <c r="C22" s="31">
        <v>0</v>
      </c>
      <c r="D22" s="23">
        <f t="shared" si="1"/>
        <v>0</v>
      </c>
      <c r="E22" s="26"/>
      <c r="F22" s="26"/>
      <c r="G22" s="26"/>
      <c r="H22" s="26"/>
      <c r="I22" s="26"/>
      <c r="J22" s="26"/>
      <c r="K22" s="26"/>
      <c r="L22" s="26"/>
      <c r="M22" s="26"/>
      <c r="N22" s="26"/>
      <c r="O22" s="26"/>
      <c r="P22" s="33"/>
    </row>
    <row r="23" spans="1:16" ht="28.5" customHeight="1" x14ac:dyDescent="0.25">
      <c r="A23" s="47"/>
      <c r="B23" s="32" t="s">
        <v>64</v>
      </c>
      <c r="C23" s="31">
        <v>0</v>
      </c>
      <c r="D23" s="23">
        <f t="shared" si="1"/>
        <v>0</v>
      </c>
      <c r="E23" s="26"/>
      <c r="F23" s="26"/>
      <c r="G23" s="26"/>
      <c r="H23" s="26"/>
      <c r="I23" s="26"/>
      <c r="J23" s="26"/>
      <c r="K23" s="26"/>
      <c r="L23" s="26"/>
      <c r="M23" s="26"/>
      <c r="N23" s="26"/>
      <c r="O23" s="26"/>
      <c r="P23" s="33"/>
    </row>
    <row r="24" spans="1:16" ht="28.5" customHeight="1" x14ac:dyDescent="0.25">
      <c r="A24" s="47"/>
      <c r="B24" s="32" t="s">
        <v>65</v>
      </c>
      <c r="C24" s="31">
        <v>0</v>
      </c>
      <c r="D24" s="23">
        <f t="shared" si="1"/>
        <v>0</v>
      </c>
      <c r="E24" s="26"/>
      <c r="F24" s="26"/>
      <c r="G24" s="26"/>
      <c r="H24" s="26"/>
      <c r="I24" s="26"/>
      <c r="J24" s="26"/>
      <c r="K24" s="26"/>
      <c r="L24" s="26"/>
      <c r="M24" s="26"/>
      <c r="N24" s="26"/>
      <c r="O24" s="26"/>
      <c r="P24" s="33"/>
    </row>
    <row r="25" spans="1:16" ht="28.5" customHeight="1" x14ac:dyDescent="0.25">
      <c r="A25" s="47"/>
      <c r="B25" s="32" t="s">
        <v>66</v>
      </c>
      <c r="C25" s="31">
        <v>137</v>
      </c>
      <c r="D25" s="23">
        <f t="shared" si="1"/>
        <v>43</v>
      </c>
      <c r="E25" s="26"/>
      <c r="F25" s="26"/>
      <c r="G25" s="26">
        <v>30</v>
      </c>
      <c r="H25" s="26"/>
      <c r="I25" s="26">
        <v>13</v>
      </c>
      <c r="J25" s="26"/>
      <c r="K25" s="26"/>
      <c r="L25" s="26"/>
      <c r="M25" s="26"/>
      <c r="N25" s="26"/>
      <c r="O25" s="26"/>
      <c r="P25" s="33"/>
    </row>
    <row r="26" spans="1:16" ht="28.5" customHeight="1" x14ac:dyDescent="0.25">
      <c r="A26" s="47"/>
      <c r="B26" s="32" t="s">
        <v>67</v>
      </c>
      <c r="C26" s="31">
        <v>4</v>
      </c>
      <c r="D26" s="23">
        <f t="shared" si="1"/>
        <v>0</v>
      </c>
      <c r="E26" s="26"/>
      <c r="F26" s="26"/>
      <c r="G26" s="26"/>
      <c r="H26" s="26"/>
      <c r="I26" s="26"/>
      <c r="J26" s="26"/>
      <c r="K26" s="26"/>
      <c r="L26" s="26"/>
      <c r="M26" s="26"/>
      <c r="N26" s="26"/>
      <c r="O26" s="26"/>
      <c r="P26" s="33"/>
    </row>
    <row r="27" spans="1:16" ht="24" customHeight="1" x14ac:dyDescent="0.25">
      <c r="A27" s="47"/>
      <c r="B27" s="34" t="s">
        <v>68</v>
      </c>
      <c r="C27" s="31">
        <v>4</v>
      </c>
      <c r="D27" s="23">
        <f t="shared" si="1"/>
        <v>2</v>
      </c>
      <c r="E27" s="26"/>
      <c r="F27" s="26"/>
      <c r="G27" s="26"/>
      <c r="H27" s="26">
        <v>2</v>
      </c>
      <c r="I27" s="26"/>
      <c r="J27" s="26"/>
      <c r="K27" s="26"/>
      <c r="L27" s="26"/>
      <c r="M27" s="26"/>
      <c r="N27" s="26"/>
      <c r="O27" s="26"/>
      <c r="P27" s="33"/>
    </row>
    <row r="28" spans="1:16" ht="24" customHeight="1" x14ac:dyDescent="0.25">
      <c r="A28" s="47"/>
      <c r="B28" s="34" t="s">
        <v>69</v>
      </c>
      <c r="C28" s="31">
        <v>2</v>
      </c>
      <c r="D28" s="23">
        <f t="shared" si="1"/>
        <v>2</v>
      </c>
      <c r="E28" s="26"/>
      <c r="F28" s="26"/>
      <c r="G28" s="26"/>
      <c r="H28" s="26">
        <v>2</v>
      </c>
      <c r="I28" s="26"/>
      <c r="J28" s="26"/>
      <c r="K28" s="26"/>
      <c r="L28" s="26"/>
      <c r="M28" s="26"/>
      <c r="N28" s="26"/>
      <c r="O28" s="26"/>
      <c r="P28" s="33"/>
    </row>
    <row r="29" spans="1:16" ht="24" customHeight="1" x14ac:dyDescent="0.25">
      <c r="A29" s="47"/>
      <c r="B29" s="34" t="s">
        <v>70</v>
      </c>
      <c r="C29" s="31">
        <v>2</v>
      </c>
      <c r="D29" s="23">
        <f t="shared" si="1"/>
        <v>2</v>
      </c>
      <c r="E29" s="26"/>
      <c r="F29" s="26"/>
      <c r="G29" s="26"/>
      <c r="H29" s="26"/>
      <c r="I29" s="26">
        <v>2</v>
      </c>
      <c r="J29" s="26"/>
      <c r="K29" s="26"/>
      <c r="L29" s="26"/>
      <c r="M29" s="26"/>
      <c r="N29" s="26"/>
      <c r="O29" s="26"/>
      <c r="P29" s="33"/>
    </row>
    <row r="30" spans="1:16" ht="24" customHeight="1" x14ac:dyDescent="0.25">
      <c r="A30" s="47"/>
      <c r="B30" s="34" t="s">
        <v>71</v>
      </c>
      <c r="C30" s="31">
        <v>2</v>
      </c>
      <c r="D30" s="23">
        <f t="shared" si="1"/>
        <v>1</v>
      </c>
      <c r="E30" s="26"/>
      <c r="F30" s="26"/>
      <c r="G30" s="26"/>
      <c r="H30" s="26"/>
      <c r="I30" s="26"/>
      <c r="J30" s="26">
        <v>1</v>
      </c>
      <c r="K30" s="26"/>
      <c r="L30" s="26"/>
      <c r="M30" s="26"/>
      <c r="N30" s="26"/>
      <c r="O30" s="26"/>
      <c r="P30" s="33"/>
    </row>
    <row r="31" spans="1:16" ht="24" customHeight="1" x14ac:dyDescent="0.25">
      <c r="A31" s="47"/>
      <c r="B31" s="34" t="s">
        <v>72</v>
      </c>
      <c r="C31" s="31">
        <v>2</v>
      </c>
      <c r="D31" s="23">
        <f t="shared" si="1"/>
        <v>0</v>
      </c>
      <c r="E31" s="26"/>
      <c r="F31" s="26"/>
      <c r="G31" s="26"/>
      <c r="H31" s="26"/>
      <c r="I31" s="26"/>
      <c r="J31" s="26"/>
      <c r="K31" s="26"/>
      <c r="L31" s="26"/>
      <c r="M31" s="26"/>
      <c r="N31" s="26"/>
      <c r="O31" s="26"/>
      <c r="P31" s="33"/>
    </row>
    <row r="32" spans="1:16" ht="24" customHeight="1" x14ac:dyDescent="0.25">
      <c r="A32" s="47"/>
      <c r="B32" s="34" t="s">
        <v>73</v>
      </c>
      <c r="C32" s="31">
        <v>1</v>
      </c>
      <c r="D32" s="23">
        <f t="shared" si="1"/>
        <v>0</v>
      </c>
      <c r="E32" s="26"/>
      <c r="F32" s="26"/>
      <c r="G32" s="26"/>
      <c r="H32" s="26"/>
      <c r="I32" s="26"/>
      <c r="J32" s="26"/>
      <c r="K32" s="26"/>
      <c r="L32" s="26"/>
      <c r="M32" s="26"/>
      <c r="N32" s="26"/>
      <c r="O32" s="26"/>
      <c r="P32" s="33"/>
    </row>
    <row r="33" spans="1:16" ht="24" customHeight="1" x14ac:dyDescent="0.25">
      <c r="A33" s="47"/>
      <c r="B33" s="34" t="s">
        <v>74</v>
      </c>
      <c r="C33" s="31">
        <v>1</v>
      </c>
      <c r="D33" s="23">
        <f t="shared" si="1"/>
        <v>0</v>
      </c>
      <c r="E33" s="26"/>
      <c r="F33" s="26"/>
      <c r="G33" s="26"/>
      <c r="H33" s="26"/>
      <c r="I33" s="26"/>
      <c r="J33" s="26"/>
      <c r="K33" s="26"/>
      <c r="L33" s="26"/>
      <c r="M33" s="26"/>
      <c r="N33" s="26"/>
      <c r="O33" s="26"/>
      <c r="P33" s="33"/>
    </row>
    <row r="34" spans="1:16" ht="24" customHeight="1" x14ac:dyDescent="0.25">
      <c r="A34" s="47"/>
      <c r="B34" s="34" t="s">
        <v>75</v>
      </c>
      <c r="C34" s="31">
        <v>1</v>
      </c>
      <c r="D34" s="23">
        <f t="shared" si="1"/>
        <v>0</v>
      </c>
      <c r="E34" s="26"/>
      <c r="F34" s="26"/>
      <c r="G34" s="26"/>
      <c r="H34" s="26"/>
      <c r="I34" s="26"/>
      <c r="J34" s="26"/>
      <c r="K34" s="26"/>
      <c r="L34" s="26"/>
      <c r="M34" s="26"/>
      <c r="N34" s="26"/>
      <c r="O34" s="26"/>
      <c r="P34" s="33"/>
    </row>
    <row r="35" spans="1:16" ht="24" customHeight="1" x14ac:dyDescent="0.25">
      <c r="A35" s="47"/>
      <c r="B35" s="34" t="s">
        <v>76</v>
      </c>
      <c r="C35" s="31">
        <v>1</v>
      </c>
      <c r="D35" s="23">
        <f t="shared" si="1"/>
        <v>0</v>
      </c>
      <c r="E35" s="26"/>
      <c r="F35" s="26"/>
      <c r="G35" s="26"/>
      <c r="H35" s="26"/>
      <c r="I35" s="26"/>
      <c r="J35" s="26"/>
      <c r="K35" s="26"/>
      <c r="L35" s="26"/>
      <c r="M35" s="26"/>
      <c r="N35" s="26"/>
      <c r="O35" s="26"/>
      <c r="P35" s="33"/>
    </row>
    <row r="36" spans="1:16" ht="24" customHeight="1" x14ac:dyDescent="0.25">
      <c r="A36" s="47"/>
      <c r="B36" s="34" t="s">
        <v>77</v>
      </c>
      <c r="C36" s="31">
        <v>1</v>
      </c>
      <c r="D36" s="23">
        <f t="shared" si="1"/>
        <v>0</v>
      </c>
      <c r="E36" s="26"/>
      <c r="F36" s="26"/>
      <c r="G36" s="26"/>
      <c r="H36" s="26"/>
      <c r="I36" s="26"/>
      <c r="J36" s="26"/>
      <c r="K36" s="26"/>
      <c r="L36" s="26"/>
      <c r="M36" s="26"/>
      <c r="N36" s="26"/>
      <c r="O36" s="26"/>
      <c r="P36" s="33"/>
    </row>
    <row r="37" spans="1:16" ht="24" customHeight="1" x14ac:dyDescent="0.25">
      <c r="A37" s="47"/>
      <c r="B37" s="34" t="s">
        <v>78</v>
      </c>
      <c r="C37" s="31">
        <v>1</v>
      </c>
      <c r="D37" s="23">
        <f t="shared" si="1"/>
        <v>0</v>
      </c>
      <c r="E37" s="26"/>
      <c r="F37" s="26"/>
      <c r="G37" s="26"/>
      <c r="H37" s="26"/>
      <c r="I37" s="26"/>
      <c r="J37" s="26"/>
      <c r="K37" s="26"/>
      <c r="L37" s="26"/>
      <c r="M37" s="26"/>
      <c r="N37" s="26"/>
      <c r="O37" s="26"/>
      <c r="P37" s="33"/>
    </row>
    <row r="38" spans="1:16" ht="24" customHeight="1" thickBot="1" x14ac:dyDescent="0.3">
      <c r="A38" s="48"/>
      <c r="B38" s="35" t="s">
        <v>79</v>
      </c>
      <c r="C38" s="31">
        <v>1</v>
      </c>
      <c r="D38" s="23">
        <f t="shared" si="1"/>
        <v>0</v>
      </c>
      <c r="E38" s="26"/>
      <c r="F38" s="26"/>
      <c r="G38" s="26"/>
      <c r="H38" s="26"/>
      <c r="I38" s="26"/>
      <c r="J38" s="26"/>
      <c r="K38" s="26"/>
      <c r="L38" s="26"/>
      <c r="M38" s="26"/>
      <c r="N38" s="26"/>
      <c r="O38" s="26"/>
      <c r="P38" s="33"/>
    </row>
    <row r="39" spans="1:16" x14ac:dyDescent="0.25">
      <c r="C39" s="36">
        <f>SUM(C3:C38)</f>
        <v>313</v>
      </c>
      <c r="D39" s="37">
        <f>SUM(D3:D38)</f>
        <v>106</v>
      </c>
    </row>
    <row r="40" spans="1:16" x14ac:dyDescent="0.25">
      <c r="C40" s="38"/>
      <c r="D40" s="39">
        <f>D39/C39</f>
        <v>0.33865814696485624</v>
      </c>
    </row>
  </sheetData>
  <sheetProtection algorithmName="SHA-512" hashValue="/j6GKOl7ZnPy6ddqBc+zmi9NntO7CBxwdBKkGRctiiOklWujI9FVuZsqYVmwRG/fPIIVwQZmwnv4Ab2xR8ZLQg==" saltValue="kRW78IIVXLXyiSWnV5SrQg==" spinCount="100000" sheet="1" objects="1" scenarios="1" autoFilter="0"/>
  <mergeCells count="2">
    <mergeCell ref="A1:A2"/>
    <mergeCell ref="A11:A38"/>
  </mergeCells>
  <conditionalFormatting sqref="C10">
    <cfRule type="dataBar" priority="2">
      <dataBar>
        <cfvo type="min"/>
        <cfvo type="max"/>
        <color rgb="FF008AEF"/>
      </dataBar>
      <extLst>
        <ext xmlns:x14="http://schemas.microsoft.com/office/spreadsheetml/2009/9/main" uri="{B025F937-C7B1-47D3-B67F-A62EFF666E3E}">
          <x14:id>{975C633D-7E13-454A-8432-4E980837F4BC}</x14:id>
        </ext>
      </extLst>
    </cfRule>
  </conditionalFormatting>
  <conditionalFormatting sqref="C3:D3 D4:D10">
    <cfRule type="dataBar" priority="46">
      <dataBar>
        <cfvo type="min"/>
        <cfvo type="max"/>
        <color rgb="FF008AEF"/>
      </dataBar>
      <extLst>
        <ext xmlns:x14="http://schemas.microsoft.com/office/spreadsheetml/2009/9/main" uri="{B025F937-C7B1-47D3-B67F-A62EFF666E3E}">
          <x14:id>{10C9F4EB-6D59-4428-A06C-B5398365402E}</x14:id>
        </ext>
      </extLst>
    </cfRule>
  </conditionalFormatting>
  <conditionalFormatting sqref="C4:D4">
    <cfRule type="dataBar" priority="6">
      <dataBar>
        <cfvo type="min"/>
        <cfvo type="max"/>
        <color rgb="FF008AEF"/>
      </dataBar>
      <extLst>
        <ext xmlns:x14="http://schemas.microsoft.com/office/spreadsheetml/2009/9/main" uri="{B025F937-C7B1-47D3-B67F-A62EFF666E3E}">
          <x14:id>{65CBE1D2-F287-4989-9587-1280D434D5B3}</x14:id>
        </ext>
      </extLst>
    </cfRule>
  </conditionalFormatting>
  <conditionalFormatting sqref="C5:D5">
    <cfRule type="dataBar" priority="7">
      <dataBar>
        <cfvo type="min"/>
        <cfvo type="max"/>
        <color rgb="FF008AEF"/>
      </dataBar>
      <extLst>
        <ext xmlns:x14="http://schemas.microsoft.com/office/spreadsheetml/2009/9/main" uri="{B025F937-C7B1-47D3-B67F-A62EFF666E3E}">
          <x14:id>{19E53E66-4B78-4D24-8D34-C22F9805F5FB}</x14:id>
        </ext>
      </extLst>
    </cfRule>
  </conditionalFormatting>
  <conditionalFormatting sqref="C6:D6">
    <cfRule type="dataBar" priority="8">
      <dataBar>
        <cfvo type="min"/>
        <cfvo type="max"/>
        <color rgb="FF008AEF"/>
      </dataBar>
      <extLst>
        <ext xmlns:x14="http://schemas.microsoft.com/office/spreadsheetml/2009/9/main" uri="{B025F937-C7B1-47D3-B67F-A62EFF666E3E}">
          <x14:id>{8BA86557-E4E9-4F36-A1E5-4304DD4126B9}</x14:id>
        </ext>
      </extLst>
    </cfRule>
  </conditionalFormatting>
  <conditionalFormatting sqref="C7:D7">
    <cfRule type="dataBar" priority="9">
      <dataBar>
        <cfvo type="min"/>
        <cfvo type="max"/>
        <color rgb="FF008AEF"/>
      </dataBar>
      <extLst>
        <ext xmlns:x14="http://schemas.microsoft.com/office/spreadsheetml/2009/9/main" uri="{B025F937-C7B1-47D3-B67F-A62EFF666E3E}">
          <x14:id>{0BF0B11D-F2D0-4A78-A5E2-EC72B7409300}</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{B95881E5-C70E-4F6D-8E8B-A702456511D1}</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{23E0A357-AECB-4EEE-90AB-A5910776FDA5}</x14:id>
        </ext>
      </extLst>
    </cfRule>
  </conditionalFormatting>
  <conditionalFormatting sqref="C11:D11">
    <cfRule type="dataBar" priority="13">
      <dataBar>
        <cfvo type="min"/>
        <cfvo type="max"/>
        <color rgb="FF008AEF"/>
      </dataBar>
      <extLst>
        <ext xmlns:x14="http://schemas.microsoft.com/office/spreadsheetml/2009/9/main" uri="{B025F937-C7B1-47D3-B67F-A62EFF666E3E}">
          <x14:id>{02D805C7-C59E-463E-9B90-5C081A594FD9}</x14:id>
        </ext>
      </extLst>
    </cfRule>
  </conditionalFormatting>
  <conditionalFormatting sqref="C12:D12">
    <cfRule type="dataBar" priority="40">
      <dataBar>
        <cfvo type="min"/>
        <cfvo type="max"/>
        <color rgb="FF008AEF"/>
      </dataBar>
      <extLst>
        <ext xmlns:x14="http://schemas.microsoft.com/office/spreadsheetml/2009/9/main" uri="{B025F937-C7B1-47D3-B67F-A62EFF666E3E}">
          <x14:id>{B1354AF4-3689-4696-A88B-13B60BF44450}</x14:id>
        </ext>
      </extLst>
    </cfRule>
  </conditionalFormatting>
  <conditionalFormatting sqref="C13:D13">
    <cfRule type="dataBar" priority="39">
      <dataBar>
        <cfvo type="min"/>
        <cfvo type="max"/>
        <color rgb="FF008AEF"/>
      </dataBar>
      <extLst>
        <ext xmlns:x14="http://schemas.microsoft.com/office/spreadsheetml/2009/9/main" uri="{B025F937-C7B1-47D3-B67F-A62EFF666E3E}">
          <x14:id>{181D06D6-94F7-417D-8FE8-9E9945C1178A}</x14:id>
        </ext>
      </extLst>
    </cfRule>
  </conditionalFormatting>
  <conditionalFormatting sqref="C14:D14">
    <cfRule type="dataBar" priority="38">
      <dataBar>
        <cfvo type="min"/>
        <cfvo type="max"/>
        <color rgb="FF008AEF"/>
      </dataBar>
      <extLst>
        <ext xmlns:x14="http://schemas.microsoft.com/office/spreadsheetml/2009/9/main" uri="{B025F937-C7B1-47D3-B67F-A62EFF666E3E}">
          <x14:id>{049E26F0-E9CD-4D72-94D6-6BEB2B0FD077}</x14:id>
        </ext>
      </extLst>
    </cfRule>
  </conditionalFormatting>
  <conditionalFormatting sqref="C15:D15">
    <cfRule type="dataBar" priority="37">
      <dataBar>
        <cfvo type="min"/>
        <cfvo type="max"/>
        <color rgb="FF008AEF"/>
      </dataBar>
      <extLst>
        <ext xmlns:x14="http://schemas.microsoft.com/office/spreadsheetml/2009/9/main" uri="{B025F937-C7B1-47D3-B67F-A62EFF666E3E}">
          <x14:id>{93CE92F9-AC7E-48EB-921A-D4A02AB6CFBA}</x14:id>
        </ext>
      </extLst>
    </cfRule>
  </conditionalFormatting>
  <conditionalFormatting sqref="C16:D16">
    <cfRule type="dataBar" priority="36">
      <dataBar>
        <cfvo type="min"/>
        <cfvo type="max"/>
        <color rgb="FF008AEF"/>
      </dataBar>
      <extLst>
        <ext xmlns:x14="http://schemas.microsoft.com/office/spreadsheetml/2009/9/main" uri="{B025F937-C7B1-47D3-B67F-A62EFF666E3E}">
          <x14:id>{2FEE24F6-8796-4A17-BB4A-1658209D2CD6}</x14:id>
        </ext>
      </extLst>
    </cfRule>
  </conditionalFormatting>
  <conditionalFormatting sqref="C17:D17">
    <cfRule type="dataBar" priority="35">
      <dataBar>
        <cfvo type="min"/>
        <cfvo type="max"/>
        <color rgb="FF008AEF"/>
      </dataBar>
      <extLst>
        <ext xmlns:x14="http://schemas.microsoft.com/office/spreadsheetml/2009/9/main" uri="{B025F937-C7B1-47D3-B67F-A62EFF666E3E}">
          <x14:id>{ACF8CE38-C25B-4A4F-A8AF-182BF13498D3}</x14:id>
        </ext>
      </extLst>
    </cfRule>
  </conditionalFormatting>
  <conditionalFormatting sqref="C18:D18">
    <cfRule type="dataBar" priority="34">
      <dataBar>
        <cfvo type="min"/>
        <cfvo type="max"/>
        <color rgb="FF008AEF"/>
      </dataBar>
      <extLst>
        <ext xmlns:x14="http://schemas.microsoft.com/office/spreadsheetml/2009/9/main" uri="{B025F937-C7B1-47D3-B67F-A62EFF666E3E}">
          <x14:id>{1FC12268-839F-4582-A90B-523CC8DD316D}</x14:id>
        </ext>
      </extLst>
    </cfRule>
  </conditionalFormatting>
  <conditionalFormatting sqref="C19:D19">
    <cfRule type="dataBar" priority="33">
      <dataBar>
        <cfvo type="min"/>
        <cfvo type="max"/>
        <color rgb="FF008AEF"/>
      </dataBar>
      <extLst>
        <ext xmlns:x14="http://schemas.microsoft.com/office/spreadsheetml/2009/9/main" uri="{B025F937-C7B1-47D3-B67F-A62EFF666E3E}">
          <x14:id>{4E33B748-C9C2-4322-8730-9875B69E0016}</x14:id>
        </ext>
      </extLst>
    </cfRule>
  </conditionalFormatting>
  <conditionalFormatting sqref="C20:D20">
    <cfRule type="dataBar" priority="32">
      <dataBar>
        <cfvo type="min"/>
        <cfvo type="max"/>
        <color rgb="FF008AEF"/>
      </dataBar>
      <extLst>
        <ext xmlns:x14="http://schemas.microsoft.com/office/spreadsheetml/2009/9/main" uri="{B025F937-C7B1-47D3-B67F-A62EFF666E3E}">
          <x14:id>{B54F27FD-7764-40B1-99F1-C99FC726D6D0}</x14:id>
        </ext>
      </extLst>
    </cfRule>
  </conditionalFormatting>
  <conditionalFormatting sqref="C21:D21">
    <cfRule type="dataBar" priority="31">
      <dataBar>
        <cfvo type="min"/>
        <cfvo type="max"/>
        <color rgb="FF008AEF"/>
      </dataBar>
      <extLst>
        <ext xmlns:x14="http://schemas.microsoft.com/office/spreadsheetml/2009/9/main" uri="{B025F937-C7B1-47D3-B67F-A62EFF666E3E}">
          <x14:id>{6308EF56-EB04-43BD-A69E-F304E7FB29A5}</x14:id>
        </ext>
      </extLst>
    </cfRule>
  </conditionalFormatting>
  <conditionalFormatting sqref="C22:D22">
    <cfRule type="dataBar" priority="30">
      <dataBar>
        <cfvo type="min"/>
        <cfvo type="max"/>
        <color rgb="FF008AEF"/>
      </dataBar>
      <extLst>
        <ext xmlns:x14="http://schemas.microsoft.com/office/spreadsheetml/2009/9/main" uri="{B025F937-C7B1-47D3-B67F-A62EFF666E3E}">
          <x14:id>{C1A2239F-A257-4563-8995-8707290F2570}</x14:id>
        </ext>
      </extLst>
    </cfRule>
  </conditionalFormatting>
  <conditionalFormatting sqref="C23:D23">
    <cfRule type="dataBar" priority="29">
      <dataBar>
        <cfvo type="min"/>
        <cfvo type="max"/>
        <color rgb="FF008AEF"/>
      </dataBar>
      <extLst>
        <ext xmlns:x14="http://schemas.microsoft.com/office/spreadsheetml/2009/9/main" uri="{B025F937-C7B1-47D3-B67F-A62EFF666E3E}">
          <x14:id>{EB1BC57B-35DD-4F4D-83CB-3EFDB0BFA8A3}</x14:id>
        </ext>
      </extLst>
    </cfRule>
  </conditionalFormatting>
  <conditionalFormatting sqref="C24:D24">
    <cfRule type="dataBar" priority="28">
      <dataBar>
        <cfvo type="min"/>
        <cfvo type="max"/>
        <color rgb="FF008AEF"/>
      </dataBar>
      <extLst>
        <ext xmlns:x14="http://schemas.microsoft.com/office/spreadsheetml/2009/9/main" uri="{B025F937-C7B1-47D3-B67F-A62EFF666E3E}">
          <x14:id>{6AC1D6D3-7D7D-4F70-92B7-D3B81276C1E3}</x14:id>
        </ext>
      </extLst>
    </cfRule>
  </conditionalFormatting>
  <conditionalFormatting sqref="C25:D25">
    <cfRule type="dataBar" priority="27">
      <dataBar>
        <cfvo type="min"/>
        <cfvo type="max"/>
        <color rgb="FF008AEF"/>
      </dataBar>
      <extLst>
        <ext xmlns:x14="http://schemas.microsoft.com/office/spreadsheetml/2009/9/main" uri="{B025F937-C7B1-47D3-B67F-A62EFF666E3E}">
          <x14:id>{4212702D-37F4-431C-BDC8-59FA0578E2F7}</x14:id>
        </ext>
      </extLst>
    </cfRule>
  </conditionalFormatting>
  <conditionalFormatting sqref="C26:D26">
    <cfRule type="dataBar" priority="26">
      <dataBar>
        <cfvo type="min"/>
        <cfvo type="max"/>
        <color rgb="FF008AEF"/>
      </dataBar>
      <extLst>
        <ext xmlns:x14="http://schemas.microsoft.com/office/spreadsheetml/2009/9/main" uri="{B025F937-C7B1-47D3-B67F-A62EFF666E3E}">
          <x14:id>{BE7FF548-E3E4-451D-83BD-B40A06044F75}</x14:id>
        </ext>
      </extLst>
    </cfRule>
  </conditionalFormatting>
  <conditionalFormatting sqref="C27:D27">
    <cfRule type="dataBar" priority="25">
      <dataBar>
        <cfvo type="min"/>
        <cfvo type="max"/>
        <color rgb="FF008AEF"/>
      </dataBar>
      <extLst>
        <ext xmlns:x14="http://schemas.microsoft.com/office/spreadsheetml/2009/9/main" uri="{B025F937-C7B1-47D3-B67F-A62EFF666E3E}">
          <x14:id>{9EB74C7F-C867-4B92-9F28-C0849B0D78B1}</x14:id>
        </ext>
      </extLst>
    </cfRule>
  </conditionalFormatting>
  <conditionalFormatting sqref="C28:D28">
    <cfRule type="dataBar" priority="24">
      <dataBar>
        <cfvo type="min"/>
        <cfvo type="max"/>
        <color rgb="FF008AEF"/>
      </dataBar>
      <extLst>
        <ext xmlns:x14="http://schemas.microsoft.com/office/spreadsheetml/2009/9/main" uri="{B025F937-C7B1-47D3-B67F-A62EFF666E3E}">
          <x14:id>{87652AA5-129D-41F2-B3A3-57A5C413C94F}</x14:id>
        </ext>
      </extLst>
    </cfRule>
  </conditionalFormatting>
  <conditionalFormatting sqref="C29:D29">
    <cfRule type="dataBar" priority="23">
      <dataBar>
        <cfvo type="min"/>
        <cfvo type="max"/>
        <color rgb="FF008AEF"/>
      </dataBar>
      <extLst>
        <ext xmlns:x14="http://schemas.microsoft.com/office/spreadsheetml/2009/9/main" uri="{B025F937-C7B1-47D3-B67F-A62EFF666E3E}">
          <x14:id>{F7BEA48E-4513-466A-9871-2725F27B4CDE}</x14:id>
        </ext>
      </extLst>
    </cfRule>
  </conditionalFormatting>
  <conditionalFormatting sqref="C30:D30">
    <cfRule type="dataBar" priority="22">
      <dataBar>
        <cfvo type="min"/>
        <cfvo type="max"/>
        <color rgb="FF008AEF"/>
      </dataBar>
      <extLst>
        <ext xmlns:x14="http://schemas.microsoft.com/office/spreadsheetml/2009/9/main" uri="{B025F937-C7B1-47D3-B67F-A62EFF666E3E}">
          <x14:id>{A154D9BA-E4D3-496D-9FCA-FBCEB4F3FBFD}</x14:id>
        </ext>
      </extLst>
    </cfRule>
  </conditionalFormatting>
  <conditionalFormatting sqref="C31:D31">
    <cfRule type="dataBar" priority="21">
      <dataBar>
        <cfvo type="min"/>
        <cfvo type="max"/>
        <color rgb="FF008AEF"/>
      </dataBar>
      <extLst>
        <ext xmlns:x14="http://schemas.microsoft.com/office/spreadsheetml/2009/9/main" uri="{B025F937-C7B1-47D3-B67F-A62EFF666E3E}">
          <x14:id>{53425F7C-A3E1-46F3-A320-1282CCA16FBC}</x14:id>
        </ext>
      </extLst>
    </cfRule>
  </conditionalFormatting>
  <conditionalFormatting sqref="C32:D32">
    <cfRule type="dataBar" priority="20">
      <dataBar>
        <cfvo type="min"/>
        <cfvo type="max"/>
        <color rgb="FF008AEF"/>
      </dataBar>
      <extLst>
        <ext xmlns:x14="http://schemas.microsoft.com/office/spreadsheetml/2009/9/main" uri="{B025F937-C7B1-47D3-B67F-A62EFF666E3E}">
          <x14:id>{C10E323B-E77F-4583-A154-154983F0C036}</x14:id>
        </ext>
      </extLst>
    </cfRule>
  </conditionalFormatting>
  <conditionalFormatting sqref="C33:D33">
    <cfRule type="dataBar" priority="19">
      <dataBar>
        <cfvo type="min"/>
        <cfvo type="max"/>
        <color rgb="FF008AEF"/>
      </dataBar>
      <extLst>
        <ext xmlns:x14="http://schemas.microsoft.com/office/spreadsheetml/2009/9/main" uri="{B025F937-C7B1-47D3-B67F-A62EFF666E3E}">
          <x14:id>{75E01306-16FA-4D42-A51D-652AD9D563F0}</x14:id>
        </ext>
      </extLst>
    </cfRule>
  </conditionalFormatting>
  <conditionalFormatting sqref="C34:D34">
    <cfRule type="dataBar" priority="18">
      <dataBar>
        <cfvo type="min"/>
        <cfvo type="max"/>
        <color rgb="FF008AEF"/>
      </dataBar>
      <extLst>
        <ext xmlns:x14="http://schemas.microsoft.com/office/spreadsheetml/2009/9/main" uri="{B025F937-C7B1-47D3-B67F-A62EFF666E3E}">
          <x14:id>{7F0C5976-E895-4E0A-B082-8A7318722191}</x14:id>
        </ext>
      </extLst>
    </cfRule>
  </conditionalFormatting>
  <conditionalFormatting sqref="C35:D35">
    <cfRule type="dataBar" priority="17">
      <dataBar>
        <cfvo type="min"/>
        <cfvo type="max"/>
        <color rgb="FF008AEF"/>
      </dataBar>
      <extLst>
        <ext xmlns:x14="http://schemas.microsoft.com/office/spreadsheetml/2009/9/main" uri="{B025F937-C7B1-47D3-B67F-A62EFF666E3E}">
          <x14:id>{81BA256B-90DD-4226-8089-D1462F12C3AD}</x14:id>
        </ext>
      </extLst>
    </cfRule>
  </conditionalFormatting>
  <conditionalFormatting sqref="C36:D36">
    <cfRule type="dataBar" priority="16">
      <dataBar>
        <cfvo type="min"/>
        <cfvo type="max"/>
        <color rgb="FF008AEF"/>
      </dataBar>
      <extLst>
        <ext xmlns:x14="http://schemas.microsoft.com/office/spreadsheetml/2009/9/main" uri="{B025F937-C7B1-47D3-B67F-A62EFF666E3E}">
          <x14:id>{FA054EA9-D3A8-42EE-9346-9A9F7B96D651}</x14:id>
        </ext>
      </extLst>
    </cfRule>
  </conditionalFormatting>
  <conditionalFormatting sqref="C37:D37">
    <cfRule type="dataBar" priority="15">
      <dataBar>
        <cfvo type="min"/>
        <cfvo type="max"/>
        <color rgb="FF008AEF"/>
      </dataBar>
      <extLst>
        <ext xmlns:x14="http://schemas.microsoft.com/office/spreadsheetml/2009/9/main" uri="{B025F937-C7B1-47D3-B67F-A62EFF666E3E}">
          <x14:id>{FEEF49F9-C5B1-4441-B280-7F415D767B73}</x14:id>
        </ext>
      </extLst>
    </cfRule>
  </conditionalFormatting>
  <conditionalFormatting sqref="C38:D38">
    <cfRule type="dataBar" priority="14">
      <dataBar>
        <cfvo type="min"/>
        <cfvo type="max"/>
        <color rgb="FF008AEF"/>
      </dataBar>
      <extLst>
        <ext xmlns:x14="http://schemas.microsoft.com/office/spreadsheetml/2009/9/main" uri="{B025F937-C7B1-47D3-B67F-A62EFF666E3E}">
          <x14:id>{B7316F63-50BF-4A3B-B0CE-C2F793E337F5}</x14:id>
        </ext>
      </extLst>
    </cfRule>
  </conditionalFormatting>
  <conditionalFormatting sqref="E3:F34 E35:O38">
    <cfRule type="cellIs" dxfId="4" priority="3" operator="greaterThan">
      <formula>0</formula>
    </cfRule>
  </conditionalFormatting>
  <conditionalFormatting sqref="G11:O34">
    <cfRule type="cellIs" dxfId="3" priority="12" operator="greaterThan">
      <formula>0</formula>
    </cfRule>
  </conditionalFormatting>
  <conditionalFormatting sqref="G3:P10">
    <cfRule type="cellIs" dxfId="2"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975C633D-7E13-454A-8432-4E980837F4BC}">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10C9F4EB-6D59-4428-A06C-B5398365402E}">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65CBE1D2-F287-4989-9587-1280D434D5B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19E53E66-4B78-4D24-8D34-C22F9805F5F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8BA86557-E4E9-4F36-A1E5-4304DD4126B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0BF0B11D-F2D0-4A78-A5E2-EC72B740930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95881E5-C70E-4F6D-8E8B-A702456511D1}">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23E0A357-AECB-4EEE-90AB-A5910776FDA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2D805C7-C59E-463E-9B90-5C081A594FD9}">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1354AF4-3689-4696-A88B-13B60BF4445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81D06D6-94F7-417D-8FE8-9E9945C1178A}">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049E26F0-E9CD-4D72-94D6-6BEB2B0FD07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3CE92F9-AC7E-48EB-921A-D4A02AB6CFBA}">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2FEE24F6-8796-4A17-BB4A-1658209D2CD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ACF8CE38-C25B-4A4F-A8AF-182BF13498D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FC12268-839F-4582-A90B-523CC8DD316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E33B748-C9C2-4322-8730-9875B69E0016}">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B54F27FD-7764-40B1-99F1-C99FC726D6D0}">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308EF56-EB04-43BD-A69E-F304E7FB29A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1A2239F-A257-4563-8995-8707290F257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B1BC57B-35DD-4F4D-83CB-3EFDB0BFA8A3}">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6AC1D6D3-7D7D-4F70-92B7-D3B81276C1E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212702D-37F4-431C-BDC8-59FA0578E2F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E7FF548-E3E4-451D-83BD-B40A06044F7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EB74C7F-C867-4B92-9F28-C0849B0D78B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7652AA5-129D-41F2-B3A3-57A5C413C94F}">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7BEA48E-4513-466A-9871-2725F27B4CDE}">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154D9BA-E4D3-496D-9FCA-FBCEB4F3FBF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3425F7C-A3E1-46F3-A320-1282CCA16FBC}">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10E323B-E77F-4583-A154-154983F0C03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5E01306-16FA-4D42-A51D-652AD9D563F0}">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F0C5976-E895-4E0A-B082-8A731872219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81BA256B-90DD-4226-8089-D1462F12C3AD}">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FA054EA9-D3A8-42EE-9346-9A9F7B96D651}">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FEEF49F9-C5B1-4441-B280-7F415D767B73}">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B7316F63-50BF-4A3B-B0CE-C2F793E337F5}">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6"/>
  <sheetViews>
    <sheetView tabSelected="1" workbookViewId="0">
      <selection activeCell="H30" sqref="H30"/>
    </sheetView>
  </sheetViews>
  <sheetFormatPr baseColWidth="10" defaultRowHeight="15" x14ac:dyDescent="0.25"/>
  <cols>
    <col min="1" max="1" width="11.28515625" customWidth="1"/>
    <col min="2" max="2" width="24" customWidth="1"/>
    <col min="3" max="3" width="11.85546875" bestFit="1" customWidth="1"/>
  </cols>
  <sheetData>
    <row r="1" spans="1:5" x14ac:dyDescent="0.25">
      <c r="A1" s="49" t="s">
        <v>40</v>
      </c>
      <c r="B1" s="49"/>
      <c r="C1" s="19" t="s">
        <v>2</v>
      </c>
      <c r="D1" s="19" t="s">
        <v>49</v>
      </c>
      <c r="E1" s="19" t="s">
        <v>80</v>
      </c>
    </row>
    <row r="2" spans="1:5" x14ac:dyDescent="0.25">
      <c r="A2" s="17" t="s">
        <v>41</v>
      </c>
      <c r="B2" s="42" t="s">
        <v>45</v>
      </c>
      <c r="C2" s="20">
        <f>'D94 Golfito'!C34</f>
        <v>413</v>
      </c>
      <c r="D2" s="20">
        <f>'D94 Golfito'!D34</f>
        <v>205</v>
      </c>
      <c r="E2" s="41">
        <f>D2/C2</f>
        <v>0.49636803874092011</v>
      </c>
    </row>
    <row r="3" spans="1:5" x14ac:dyDescent="0.25">
      <c r="A3" s="17" t="s">
        <v>42</v>
      </c>
      <c r="B3" s="42" t="s">
        <v>46</v>
      </c>
      <c r="C3" s="21">
        <f>'D95 Coto Brus'!C40</f>
        <v>566</v>
      </c>
      <c r="D3" s="21">
        <f>'D95 Coto Brus'!D40</f>
        <v>239</v>
      </c>
      <c r="E3" s="41">
        <f t="shared" ref="E3:E4" si="0">D3/C3</f>
        <v>0.42226148409893993</v>
      </c>
    </row>
    <row r="4" spans="1:5" x14ac:dyDescent="0.25">
      <c r="A4" s="17" t="s">
        <v>43</v>
      </c>
      <c r="B4" s="42" t="s">
        <v>47</v>
      </c>
      <c r="C4" s="20">
        <f>'D96 Corredores'!C37</f>
        <v>372</v>
      </c>
      <c r="D4" s="20">
        <f>'D96 Corredores'!D37</f>
        <v>159</v>
      </c>
      <c r="E4" s="41">
        <f t="shared" si="0"/>
        <v>0.42741935483870969</v>
      </c>
    </row>
    <row r="5" spans="1:5" x14ac:dyDescent="0.25">
      <c r="A5" s="17" t="s">
        <v>44</v>
      </c>
      <c r="B5" s="42" t="s">
        <v>48</v>
      </c>
      <c r="C5" s="20">
        <f>'D97 Puerto Jiménez'!C39</f>
        <v>313</v>
      </c>
      <c r="D5" s="20">
        <f>'D97 Puerto Jiménez'!D39</f>
        <v>106</v>
      </c>
      <c r="E5" s="41">
        <f>D5/C5</f>
        <v>0.33865814696485624</v>
      </c>
    </row>
    <row r="6" spans="1:5" x14ac:dyDescent="0.25">
      <c r="B6" s="18" t="s">
        <v>50</v>
      </c>
      <c r="C6" s="40">
        <f>SUM(C2:C5)</f>
        <v>1664</v>
      </c>
      <c r="D6" s="40">
        <f>SUM(D2:D5)</f>
        <v>709</v>
      </c>
      <c r="E6" s="41">
        <f>D6/C6</f>
        <v>0.42608173076923078</v>
      </c>
    </row>
  </sheetData>
  <sheetProtection autoFilter="0"/>
  <mergeCells count="1">
    <mergeCell ref="A1:B1"/>
  </mergeCells>
  <conditionalFormatting sqref="C2:D2">
    <cfRule type="dataBar" priority="13">
      <dataBar>
        <cfvo type="min"/>
        <cfvo type="max"/>
        <color rgb="FF008AEF"/>
      </dataBar>
      <extLst>
        <ext xmlns:x14="http://schemas.microsoft.com/office/spreadsheetml/2009/9/main" uri="{B025F937-C7B1-47D3-B67F-A62EFF666E3E}">
          <x14:id>{3F9BD2E8-1CBD-4ACD-AB2B-6F2234D5B8A8}</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{03A8B338-3B0B-4541-B534-3A4EEA564556}</x14:id>
        </ext>
      </extLst>
    </cfRule>
  </conditionalFormatting>
  <conditionalFormatting sqref="C4:D4">
    <cfRule type="dataBar" priority="11">
      <dataBar>
        <cfvo type="min"/>
        <cfvo type="max"/>
        <color rgb="FF008AEF"/>
      </dataBar>
      <extLst>
        <ext xmlns:x14="http://schemas.microsoft.com/office/spreadsheetml/2009/9/main" uri="{B025F937-C7B1-47D3-B67F-A62EFF666E3E}">
          <x14:id>{4058DCEA-5C1E-40EA-9C1D-4CC694EC8B3E}</x14:id>
        </ext>
      </extLst>
    </cfRule>
  </conditionalFormatting>
  <conditionalFormatting sqref="C5:D5">
    <cfRule type="dataBar" priority="10">
      <dataBar>
        <cfvo type="min"/>
        <cfvo type="max"/>
        <color rgb="FF008AEF"/>
      </dataBar>
      <extLst>
        <ext xmlns:x14="http://schemas.microsoft.com/office/spreadsheetml/2009/9/main" uri="{B025F937-C7B1-47D3-B67F-A62EFF666E3E}">
          <x14:id>{3AB4C7E8-7522-4EA1-8A49-1A44E912E3DD}</x14:id>
        </ext>
      </extLst>
    </cfRule>
  </conditionalFormatting>
  <conditionalFormatting sqref="E2:E6">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9BD2E8-1CBD-4ACD-AB2B-6F2234D5B8A8}">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03A8B338-3B0B-4541-B534-3A4EEA564556}">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4058DCEA-5C1E-40EA-9C1D-4CC694EC8B3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3AB4C7E8-7522-4EA1-8A49-1A44E912E3DD}">
            <x14:dataBar minLength="0" maxLength="100" gradient="0">
              <x14:cfvo type="autoMin"/>
              <x14:cfvo type="autoMax"/>
              <x14:negativeFillColor rgb="FFFF0000"/>
              <x14:axisColor rgb="FF000000"/>
            </x14:dataBar>
          </x14:cfRule>
          <xm:sqref>C5:D5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D94 Golfito</vt:lpstr>
      <vt:lpstr>D95 Coto Brus</vt:lpstr>
      <vt:lpstr>D96 Corredores</vt:lpstr>
      <vt:lpstr>D97 Puerto Jiménez</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2025-07-06T19:52:41Z</dcterms:created>
  <dcterms:modified xsi:type="dcterms:W3CDTF">2026-06-20T01:20:21Z</dcterms:modified>
</cp:coreProperties>
</file>