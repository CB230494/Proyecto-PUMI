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C:\Users\108720436\Desktop\CONTEO NACIONAL PAO 2026\AVANCE IER SEMESTRE JUNIO\"/>
    </mc:Choice>
  </mc:AlternateContent>
  <xr:revisionPtr revIDLastSave="0" documentId="8_{091A8AE8-34B2-4071-8506-FFCCE47B05C8}" xr6:coauthVersionLast="47" xr6:coauthVersionMax="47" xr10:uidLastSave="{00000000-0000-0000-0000-000000000000}"/>
  <bookViews>
    <workbookView xWindow="-120" yWindow="-120" windowWidth="29040" windowHeight="15720" xr2:uid="{00000000-000D-0000-FFFF-FFFF00000000}"/>
  </bookViews>
  <sheets>
    <sheet name="D26 Alajuela Sur" sheetId="1" r:id="rId1"/>
    <sheet name="D27 Alajuela Norte" sheetId="2" r:id="rId2"/>
    <sheet name="D28 San Ramón" sheetId="3" r:id="rId3"/>
    <sheet name="D29 Grecia" sheetId="4" r:id="rId4"/>
    <sheet name="D30 San Mateo" sheetId="5" r:id="rId5"/>
    <sheet name="D31 Atenas" sheetId="6" r:id="rId6"/>
    <sheet name="D32 Naranjo" sheetId="7" r:id="rId7"/>
    <sheet name="D33 Palmares" sheetId="8" r:id="rId8"/>
    <sheet name="D34 Poás" sheetId="9" r:id="rId9"/>
    <sheet name="D35 Orotina" sheetId="10" r:id="rId10"/>
    <sheet name="D36 Sarchí" sheetId="11" r:id="rId11"/>
    <sheet name="Total Región" sheetId="12"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ABANG" localSheetId="1">[1]DAT2!#REF!</definedName>
    <definedName name="ABANG" localSheetId="2">[2]DAT2!#REF!</definedName>
    <definedName name="ABANG" localSheetId="3">[3]DAT2!#REF!</definedName>
    <definedName name="ABANG" localSheetId="4">[4]DAT2!#REF!</definedName>
    <definedName name="ABANG" localSheetId="5">[5]DAT2!#REF!</definedName>
    <definedName name="ABANG" localSheetId="6">[6]DAT2!#REF!</definedName>
    <definedName name="ABANG" localSheetId="7">[7]DAT2!#REF!</definedName>
    <definedName name="ABANG" localSheetId="8">[8]DAT2!#REF!</definedName>
    <definedName name="ABANG" localSheetId="9">[9]DAT2!#REF!</definedName>
    <definedName name="ABANG" localSheetId="10">[10]DAT2!#REF!</definedName>
    <definedName name="ABANG" localSheetId="11">[11]DAT2!#REF!</definedName>
    <definedName name="ABANG">[12]DAT2!#REF!</definedName>
    <definedName name="ACOS" localSheetId="1">[1]DAT2!#REF!</definedName>
    <definedName name="ACOS" localSheetId="2">[2]DAT2!#REF!</definedName>
    <definedName name="ACOS" localSheetId="3">[3]DAT2!#REF!</definedName>
    <definedName name="ACOS" localSheetId="4">[4]DAT2!#REF!</definedName>
    <definedName name="ACOS" localSheetId="5">[5]DAT2!#REF!</definedName>
    <definedName name="ACOS" localSheetId="6">[6]DAT2!#REF!</definedName>
    <definedName name="ACOS" localSheetId="7">[7]DAT2!#REF!</definedName>
    <definedName name="ACOS" localSheetId="8">[8]DAT2!#REF!</definedName>
    <definedName name="ACOS" localSheetId="9">[9]DAT2!#REF!</definedName>
    <definedName name="ACOS" localSheetId="10">[10]DAT2!#REF!</definedName>
    <definedName name="ACOS" localSheetId="11">[11]DAT2!#REF!</definedName>
    <definedName name="ACOS">[12]DAT2!#REF!</definedName>
    <definedName name="ALAJU" localSheetId="1">[1]DAT2!#REF!</definedName>
    <definedName name="ALAJU" localSheetId="2">[2]DAT2!#REF!</definedName>
    <definedName name="ALAJU" localSheetId="3">[3]DAT2!#REF!</definedName>
    <definedName name="ALAJU" localSheetId="4">[4]DAT2!#REF!</definedName>
    <definedName name="ALAJU" localSheetId="5">[5]DAT2!#REF!</definedName>
    <definedName name="ALAJU" localSheetId="6">[6]DAT2!#REF!</definedName>
    <definedName name="ALAJU" localSheetId="7">[7]DAT2!#REF!</definedName>
    <definedName name="ALAJU" localSheetId="8">[8]DAT2!#REF!</definedName>
    <definedName name="ALAJU" localSheetId="9">[9]DAT2!#REF!</definedName>
    <definedName name="ALAJU" localSheetId="10">[10]DAT2!#REF!</definedName>
    <definedName name="ALAJU" localSheetId="11">[11]DAT2!#REF!</definedName>
    <definedName name="ALAJU">[12]DAT2!#REF!</definedName>
    <definedName name="ALAJUE" localSheetId="1">[1]DAT2!#REF!</definedName>
    <definedName name="ALAJUE" localSheetId="2">[2]DAT2!#REF!</definedName>
    <definedName name="ALAJUE" localSheetId="3">[3]DAT2!#REF!</definedName>
    <definedName name="ALAJUE" localSheetId="4">[4]DAT2!#REF!</definedName>
    <definedName name="ALAJUE" localSheetId="5">[5]DAT2!#REF!</definedName>
    <definedName name="ALAJUE" localSheetId="6">[6]DAT2!#REF!</definedName>
    <definedName name="ALAJUE" localSheetId="7">[7]DAT2!#REF!</definedName>
    <definedName name="ALAJUE" localSheetId="8">[8]DAT2!#REF!</definedName>
    <definedName name="ALAJUE" localSheetId="9">[9]DAT2!#REF!</definedName>
    <definedName name="ALAJUE" localSheetId="10">[10]DAT2!#REF!</definedName>
    <definedName name="ALAJUE" localSheetId="11">[11]DAT2!#REF!</definedName>
    <definedName name="ALAJUE">[12]DAT2!#REF!</definedName>
    <definedName name="ALVA" localSheetId="1">[1]DAT2!#REF!</definedName>
    <definedName name="ALVA" localSheetId="2">[2]DAT2!#REF!</definedName>
    <definedName name="ALVA" localSheetId="3">[3]DAT2!#REF!</definedName>
    <definedName name="ALVA" localSheetId="4">[4]DAT2!#REF!</definedName>
    <definedName name="ALVA" localSheetId="5">[5]DAT2!#REF!</definedName>
    <definedName name="ALVA" localSheetId="6">[6]DAT2!#REF!</definedName>
    <definedName name="ALVA" localSheetId="7">[7]DAT2!#REF!</definedName>
    <definedName name="ALVA" localSheetId="8">[8]DAT2!#REF!</definedName>
    <definedName name="ALVA" localSheetId="9">[9]DAT2!#REF!</definedName>
    <definedName name="ALVA" localSheetId="10">[10]DAT2!#REF!</definedName>
    <definedName name="ALVA" localSheetId="11">[11]DAT2!#REF!</definedName>
    <definedName name="ALVA">[12]DAT2!#REF!</definedName>
    <definedName name="ASERR" localSheetId="1">[1]DAT2!#REF!</definedName>
    <definedName name="ASERR" localSheetId="2">[2]DAT2!#REF!</definedName>
    <definedName name="ASERR" localSheetId="3">[3]DAT2!#REF!</definedName>
    <definedName name="ASERR" localSheetId="4">[4]DAT2!#REF!</definedName>
    <definedName name="ASERR" localSheetId="5">[5]DAT2!#REF!</definedName>
    <definedName name="ASERR" localSheetId="6">[6]DAT2!#REF!</definedName>
    <definedName name="ASERR" localSheetId="7">[7]DAT2!#REF!</definedName>
    <definedName name="ASERR" localSheetId="8">[8]DAT2!#REF!</definedName>
    <definedName name="ASERR" localSheetId="9">[9]DAT2!#REF!</definedName>
    <definedName name="ASERR" localSheetId="10">[10]DAT2!#REF!</definedName>
    <definedName name="ASERR" localSheetId="11">[11]DAT2!#REF!</definedName>
    <definedName name="ASERR">[12]DAT2!#REF!</definedName>
    <definedName name="ATE" localSheetId="1">[1]DAT2!#REF!</definedName>
    <definedName name="ATE" localSheetId="2">[2]DAT2!#REF!</definedName>
    <definedName name="ATE" localSheetId="3">[3]DAT2!#REF!</definedName>
    <definedName name="ATE" localSheetId="4">[4]DAT2!#REF!</definedName>
    <definedName name="ATE" localSheetId="5">[5]DAT2!#REF!</definedName>
    <definedName name="ATE" localSheetId="6">[6]DAT2!#REF!</definedName>
    <definedName name="ATE" localSheetId="7">[7]DAT2!#REF!</definedName>
    <definedName name="ATE" localSheetId="8">[8]DAT2!#REF!</definedName>
    <definedName name="ATE" localSheetId="9">[9]DAT2!#REF!</definedName>
    <definedName name="ATE" localSheetId="10">[10]DAT2!#REF!</definedName>
    <definedName name="ATE" localSheetId="11">[11]DAT2!#REF!</definedName>
    <definedName name="ATE">[12]DAT2!#REF!</definedName>
    <definedName name="BAGAC" localSheetId="1">[1]DAT2!#REF!</definedName>
    <definedName name="BAGAC" localSheetId="2">[2]DAT2!#REF!</definedName>
    <definedName name="BAGAC" localSheetId="3">[3]DAT2!#REF!</definedName>
    <definedName name="BAGAC" localSheetId="4">[4]DAT2!#REF!</definedName>
    <definedName name="BAGAC" localSheetId="5">[5]DAT2!#REF!</definedName>
    <definedName name="BAGAC" localSheetId="6">[6]DAT2!#REF!</definedName>
    <definedName name="BAGAC" localSheetId="7">[7]DAT2!#REF!</definedName>
    <definedName name="BAGAC" localSheetId="8">[8]DAT2!#REF!</definedName>
    <definedName name="BAGAC" localSheetId="9">[9]DAT2!#REF!</definedName>
    <definedName name="BAGAC" localSheetId="10">[10]DAT2!#REF!</definedName>
    <definedName name="BAGAC" localSheetId="11">[11]DAT2!#REF!</definedName>
    <definedName name="BAGAC">[12]DAT2!#REF!</definedName>
    <definedName name="BARV" localSheetId="1">[1]DAT2!#REF!</definedName>
    <definedName name="BARV" localSheetId="2">[2]DAT2!#REF!</definedName>
    <definedName name="BARV" localSheetId="3">[3]DAT2!#REF!</definedName>
    <definedName name="BARV" localSheetId="4">[4]DAT2!#REF!</definedName>
    <definedName name="BARV" localSheetId="5">[5]DAT2!#REF!</definedName>
    <definedName name="BARV" localSheetId="6">[6]DAT2!#REF!</definedName>
    <definedName name="BARV" localSheetId="7">[7]DAT2!#REF!</definedName>
    <definedName name="BARV" localSheetId="8">[8]DAT2!#REF!</definedName>
    <definedName name="BARV" localSheetId="9">[9]DAT2!#REF!</definedName>
    <definedName name="BARV" localSheetId="10">[10]DAT2!#REF!</definedName>
    <definedName name="BARV" localSheetId="11">[11]DAT2!#REF!</definedName>
    <definedName name="BARV">[12]DAT2!#REF!</definedName>
    <definedName name="BEL" localSheetId="1">[1]DAT2!#REF!</definedName>
    <definedName name="BEL" localSheetId="2">[2]DAT2!#REF!</definedName>
    <definedName name="BEL" localSheetId="3">[3]DAT2!#REF!</definedName>
    <definedName name="BEL" localSheetId="4">[4]DAT2!#REF!</definedName>
    <definedName name="BEL" localSheetId="5">[5]DAT2!#REF!</definedName>
    <definedName name="BEL" localSheetId="6">[6]DAT2!#REF!</definedName>
    <definedName name="BEL" localSheetId="7">[7]DAT2!#REF!</definedName>
    <definedName name="BEL" localSheetId="8">[8]DAT2!#REF!</definedName>
    <definedName name="BEL" localSheetId="9">[9]DAT2!#REF!</definedName>
    <definedName name="BEL" localSheetId="10">[10]DAT2!#REF!</definedName>
    <definedName name="BEL" localSheetId="11">[11]DAT2!#REF!</definedName>
    <definedName name="BEL">[12]DAT2!#REF!</definedName>
    <definedName name="BUEN" localSheetId="1">[1]DAT2!#REF!</definedName>
    <definedName name="BUEN" localSheetId="2">[2]DAT2!#REF!</definedName>
    <definedName name="BUEN" localSheetId="3">[3]DAT2!#REF!</definedName>
    <definedName name="BUEN" localSheetId="4">[4]DAT2!#REF!</definedName>
    <definedName name="BUEN" localSheetId="5">[5]DAT2!#REF!</definedName>
    <definedName name="BUEN" localSheetId="6">[6]DAT2!#REF!</definedName>
    <definedName name="BUEN" localSheetId="7">[7]DAT2!#REF!</definedName>
    <definedName name="BUEN" localSheetId="8">[8]DAT2!#REF!</definedName>
    <definedName name="BUEN" localSheetId="9">[9]DAT2!#REF!</definedName>
    <definedName name="BUEN" localSheetId="10">[10]DAT2!#REF!</definedName>
    <definedName name="BUEN" localSheetId="11">[11]DAT2!#REF!</definedName>
    <definedName name="BUEN">[12]DAT2!#REF!</definedName>
    <definedName name="CANTÓNN">[12]!Tabla103[#All]</definedName>
    <definedName name="CAÑ" localSheetId="1">[1]DAT2!#REF!</definedName>
    <definedName name="CAÑ" localSheetId="2">[2]DAT2!#REF!</definedName>
    <definedName name="CAÑ" localSheetId="3">[3]DAT2!#REF!</definedName>
    <definedName name="CAÑ" localSheetId="4">[4]DAT2!#REF!</definedName>
    <definedName name="CAÑ" localSheetId="5">[5]DAT2!#REF!</definedName>
    <definedName name="CAÑ" localSheetId="6">[6]DAT2!#REF!</definedName>
    <definedName name="CAÑ" localSheetId="7">[7]DAT2!#REF!</definedName>
    <definedName name="CAÑ" localSheetId="8">[8]DAT2!#REF!</definedName>
    <definedName name="CAÑ" localSheetId="9">[9]DAT2!#REF!</definedName>
    <definedName name="CAÑ" localSheetId="10">[10]DAT2!#REF!</definedName>
    <definedName name="CAÑ" localSheetId="11">[11]DAT2!#REF!</definedName>
    <definedName name="CAÑ">[12]DAT2!#REF!</definedName>
    <definedName name="CARR" localSheetId="1">[1]DAT2!#REF!</definedName>
    <definedName name="CARR" localSheetId="2">[2]DAT2!#REF!</definedName>
    <definedName name="CARR" localSheetId="3">[3]DAT2!#REF!</definedName>
    <definedName name="CARR" localSheetId="4">[4]DAT2!#REF!</definedName>
    <definedName name="CARR" localSheetId="5">[5]DAT2!#REF!</definedName>
    <definedName name="CARR" localSheetId="6">[6]DAT2!#REF!</definedName>
    <definedName name="CARR" localSheetId="7">[7]DAT2!#REF!</definedName>
    <definedName name="CARR" localSheetId="8">[8]DAT2!#REF!</definedName>
    <definedName name="CARR" localSheetId="9">[9]DAT2!#REF!</definedName>
    <definedName name="CARR" localSheetId="10">[10]DAT2!#REF!</definedName>
    <definedName name="CARR" localSheetId="11">[11]DAT2!#REF!</definedName>
    <definedName name="CARR">[12]DAT2!#REF!</definedName>
    <definedName name="CARTAG" localSheetId="1">[1]DAT2!#REF!</definedName>
    <definedName name="CARTAG" localSheetId="2">[2]DAT2!#REF!</definedName>
    <definedName name="CARTAG" localSheetId="3">[3]DAT2!#REF!</definedName>
    <definedName name="CARTAG" localSheetId="4">[4]DAT2!#REF!</definedName>
    <definedName name="CARTAG" localSheetId="5">[5]DAT2!#REF!</definedName>
    <definedName name="CARTAG" localSheetId="6">[6]DAT2!#REF!</definedName>
    <definedName name="CARTAG" localSheetId="7">[7]DAT2!#REF!</definedName>
    <definedName name="CARTAG" localSheetId="8">[8]DAT2!#REF!</definedName>
    <definedName name="CARTAG" localSheetId="9">[9]DAT2!#REF!</definedName>
    <definedName name="CARTAG" localSheetId="10">[10]DAT2!#REF!</definedName>
    <definedName name="CARTAG" localSheetId="11">[11]DAT2!#REF!</definedName>
    <definedName name="CARTAG">[12]DAT2!#REF!</definedName>
    <definedName name="CORR" localSheetId="1">[1]DAT2!#REF!</definedName>
    <definedName name="CORR" localSheetId="2">[2]DAT2!#REF!</definedName>
    <definedName name="CORR" localSheetId="3">[3]DAT2!#REF!</definedName>
    <definedName name="CORR" localSheetId="4">[4]DAT2!#REF!</definedName>
    <definedName name="CORR" localSheetId="5">[5]DAT2!#REF!</definedName>
    <definedName name="CORR" localSheetId="6">[6]DAT2!#REF!</definedName>
    <definedName name="CORR" localSheetId="7">[7]DAT2!#REF!</definedName>
    <definedName name="CORR" localSheetId="8">[8]DAT2!#REF!</definedName>
    <definedName name="CORR" localSheetId="9">[9]DAT2!#REF!</definedName>
    <definedName name="CORR" localSheetId="10">[10]DAT2!#REF!</definedName>
    <definedName name="CORR" localSheetId="11">[11]DAT2!#REF!</definedName>
    <definedName name="CORR">[12]DAT2!#REF!</definedName>
    <definedName name="COTB" localSheetId="1">[1]DAT2!#REF!</definedName>
    <definedName name="COTB" localSheetId="2">[2]DAT2!#REF!</definedName>
    <definedName name="COTB" localSheetId="3">[3]DAT2!#REF!</definedName>
    <definedName name="COTB" localSheetId="4">[4]DAT2!#REF!</definedName>
    <definedName name="COTB" localSheetId="5">[5]DAT2!#REF!</definedName>
    <definedName name="COTB" localSheetId="6">[6]DAT2!#REF!</definedName>
    <definedName name="COTB" localSheetId="7">[7]DAT2!#REF!</definedName>
    <definedName name="COTB" localSheetId="8">[8]DAT2!#REF!</definedName>
    <definedName name="COTB" localSheetId="9">[9]DAT2!#REF!</definedName>
    <definedName name="COTB" localSheetId="10">[10]DAT2!#REF!</definedName>
    <definedName name="COTB" localSheetId="11">[11]DAT2!#REF!</definedName>
    <definedName name="COTB">[12]DAT2!#REF!</definedName>
    <definedName name="CURRI" localSheetId="1">[1]DAT2!#REF!</definedName>
    <definedName name="CURRI" localSheetId="2">[2]DAT2!#REF!</definedName>
    <definedName name="CURRI" localSheetId="3">[3]DAT2!#REF!</definedName>
    <definedName name="CURRI" localSheetId="4">[4]DAT2!#REF!</definedName>
    <definedName name="CURRI" localSheetId="5">[5]DAT2!#REF!</definedName>
    <definedName name="CURRI" localSheetId="6">[6]DAT2!#REF!</definedName>
    <definedName name="CURRI" localSheetId="7">[7]DAT2!#REF!</definedName>
    <definedName name="CURRI" localSheetId="8">[8]DAT2!#REF!</definedName>
    <definedName name="CURRI" localSheetId="9">[9]DAT2!#REF!</definedName>
    <definedName name="CURRI" localSheetId="10">[10]DAT2!#REF!</definedName>
    <definedName name="CURRI" localSheetId="11">[11]DAT2!#REF!</definedName>
    <definedName name="CURRI">[12]DAT2!#REF!</definedName>
    <definedName name="DESAMP" localSheetId="1">[1]DAT2!#REF!</definedName>
    <definedName name="DESAMP" localSheetId="2">[2]DAT2!#REF!</definedName>
    <definedName name="DESAMP" localSheetId="3">[3]DAT2!#REF!</definedName>
    <definedName name="DESAMP" localSheetId="4">[4]DAT2!#REF!</definedName>
    <definedName name="DESAMP" localSheetId="5">[5]DAT2!#REF!</definedName>
    <definedName name="DESAMP" localSheetId="6">[6]DAT2!#REF!</definedName>
    <definedName name="DESAMP" localSheetId="7">[7]DAT2!#REF!</definedName>
    <definedName name="DESAMP" localSheetId="8">[8]DAT2!#REF!</definedName>
    <definedName name="DESAMP" localSheetId="9">[9]DAT2!#REF!</definedName>
    <definedName name="DESAMP" localSheetId="10">[10]DAT2!#REF!</definedName>
    <definedName name="DESAMP" localSheetId="11">[11]DAT2!#REF!</definedName>
    <definedName name="DESAMP">[12]DAT2!#REF!</definedName>
    <definedName name="DISTRI" localSheetId="1">#REF!</definedName>
    <definedName name="DISTRI" localSheetId="2">#REF!</definedName>
    <definedName name="DISTRI" localSheetId="3">#REF!</definedName>
    <definedName name="DISTRI" localSheetId="4">#REF!</definedName>
    <definedName name="DISTRI" localSheetId="5">#REF!</definedName>
    <definedName name="DISTRI" localSheetId="6">#REF!</definedName>
    <definedName name="DISTRI" localSheetId="7">#REF!</definedName>
    <definedName name="DISTRI" localSheetId="8">#REF!</definedName>
    <definedName name="DISTRI" localSheetId="9">#REF!</definedName>
    <definedName name="DISTRI" localSheetId="11">#REF!</definedName>
    <definedName name="DISTRI">#REF!</definedName>
    <definedName name="DOTA" localSheetId="1">[1]DAT2!#REF!</definedName>
    <definedName name="DOTA" localSheetId="2">[2]DAT2!#REF!</definedName>
    <definedName name="DOTA" localSheetId="3">[3]DAT2!#REF!</definedName>
    <definedName name="DOTA" localSheetId="4">[4]DAT2!#REF!</definedName>
    <definedName name="DOTA" localSheetId="5">[5]DAT2!#REF!</definedName>
    <definedName name="DOTA" localSheetId="6">[6]DAT2!#REF!</definedName>
    <definedName name="DOTA" localSheetId="7">[7]DAT2!#REF!</definedName>
    <definedName name="DOTA" localSheetId="8">[8]DAT2!#REF!</definedName>
    <definedName name="DOTA" localSheetId="9">[9]DAT2!#REF!</definedName>
    <definedName name="DOTA" localSheetId="10">[10]DAT2!#REF!</definedName>
    <definedName name="DOTA" localSheetId="11">[11]DAT2!#REF!</definedName>
    <definedName name="DOTA">[12]DAT2!#REF!</definedName>
    <definedName name="ELGUA" localSheetId="1">[1]DAT2!#REF!</definedName>
    <definedName name="ELGUA" localSheetId="2">[2]DAT2!#REF!</definedName>
    <definedName name="ELGUA" localSheetId="3">[3]DAT2!#REF!</definedName>
    <definedName name="ELGUA" localSheetId="4">[4]DAT2!#REF!</definedName>
    <definedName name="ELGUA" localSheetId="5">[5]DAT2!#REF!</definedName>
    <definedName name="ELGUA" localSheetId="6">[6]DAT2!#REF!</definedName>
    <definedName name="ELGUA" localSheetId="7">[7]DAT2!#REF!</definedName>
    <definedName name="ELGUA" localSheetId="8">[8]DAT2!#REF!</definedName>
    <definedName name="ELGUA" localSheetId="9">[9]DAT2!#REF!</definedName>
    <definedName name="ELGUA" localSheetId="10">[10]DAT2!#REF!</definedName>
    <definedName name="ELGUA" localSheetId="11">[11]DAT2!#REF!</definedName>
    <definedName name="ELGUA">[12]DAT2!#REF!</definedName>
    <definedName name="ESCAZ" localSheetId="1">[1]DAT2!#REF!</definedName>
    <definedName name="ESCAZ" localSheetId="2">[2]DAT2!#REF!</definedName>
    <definedName name="ESCAZ" localSheetId="3">[3]DAT2!#REF!</definedName>
    <definedName name="ESCAZ" localSheetId="4">[4]DAT2!#REF!</definedName>
    <definedName name="ESCAZ" localSheetId="5">[5]DAT2!#REF!</definedName>
    <definedName name="ESCAZ" localSheetId="6">[6]DAT2!#REF!</definedName>
    <definedName name="ESCAZ" localSheetId="7">[7]DAT2!#REF!</definedName>
    <definedName name="ESCAZ" localSheetId="8">[8]DAT2!#REF!</definedName>
    <definedName name="ESCAZ" localSheetId="9">[9]DAT2!#REF!</definedName>
    <definedName name="ESCAZ" localSheetId="10">[10]DAT2!#REF!</definedName>
    <definedName name="ESCAZ" localSheetId="11">[11]DAT2!#REF!</definedName>
    <definedName name="ESCAZ">[12]DAT2!#REF!</definedName>
    <definedName name="ESPA" localSheetId="1">[1]DAT2!#REF!</definedName>
    <definedName name="ESPA" localSheetId="2">[2]DAT2!#REF!</definedName>
    <definedName name="ESPA" localSheetId="3">[3]DAT2!#REF!</definedName>
    <definedName name="ESPA" localSheetId="4">[4]DAT2!#REF!</definedName>
    <definedName name="ESPA" localSheetId="5">[5]DAT2!#REF!</definedName>
    <definedName name="ESPA" localSheetId="6">[6]DAT2!#REF!</definedName>
    <definedName name="ESPA" localSheetId="7">[7]DAT2!#REF!</definedName>
    <definedName name="ESPA" localSheetId="8">[8]DAT2!#REF!</definedName>
    <definedName name="ESPA" localSheetId="9">[9]DAT2!#REF!</definedName>
    <definedName name="ESPA" localSheetId="10">[10]DAT2!#REF!</definedName>
    <definedName name="ESPA" localSheetId="11">[11]DAT2!#REF!</definedName>
    <definedName name="ESPA">[12]DAT2!#REF!</definedName>
    <definedName name="FLOR" localSheetId="1">[1]DAT2!#REF!</definedName>
    <definedName name="FLOR" localSheetId="2">[2]DAT2!#REF!</definedName>
    <definedName name="FLOR" localSheetId="3">[3]DAT2!#REF!</definedName>
    <definedName name="FLOR" localSheetId="4">[4]DAT2!#REF!</definedName>
    <definedName name="FLOR" localSheetId="5">[5]DAT2!#REF!</definedName>
    <definedName name="FLOR" localSheetId="6">[6]DAT2!#REF!</definedName>
    <definedName name="FLOR" localSheetId="7">[7]DAT2!#REF!</definedName>
    <definedName name="FLOR" localSheetId="8">[8]DAT2!#REF!</definedName>
    <definedName name="FLOR" localSheetId="9">[9]DAT2!#REF!</definedName>
    <definedName name="FLOR" localSheetId="10">[10]DAT2!#REF!</definedName>
    <definedName name="FLOR" localSheetId="11">[11]DAT2!#REF!</definedName>
    <definedName name="FLOR">[12]DAT2!#REF!</definedName>
    <definedName name="GARAB" localSheetId="1">[1]DAT2!#REF!</definedName>
    <definedName name="GARAB" localSheetId="2">[2]DAT2!#REF!</definedName>
    <definedName name="GARAB" localSheetId="3">[3]DAT2!#REF!</definedName>
    <definedName name="GARAB" localSheetId="4">[4]DAT2!#REF!</definedName>
    <definedName name="GARAB" localSheetId="5">[5]DAT2!#REF!</definedName>
    <definedName name="GARAB" localSheetId="6">[6]DAT2!#REF!</definedName>
    <definedName name="GARAB" localSheetId="7">[7]DAT2!#REF!</definedName>
    <definedName name="GARAB" localSheetId="8">[8]DAT2!#REF!</definedName>
    <definedName name="GARAB" localSheetId="9">[9]DAT2!#REF!</definedName>
    <definedName name="GARAB" localSheetId="10">[10]DAT2!#REF!</definedName>
    <definedName name="GARAB" localSheetId="11">[11]DAT2!#REF!</definedName>
    <definedName name="GARAB">[12]DAT2!#REF!</definedName>
    <definedName name="GOIC" localSheetId="1">[1]DAT2!#REF!</definedName>
    <definedName name="GOIC" localSheetId="2">[2]DAT2!#REF!</definedName>
    <definedName name="GOIC" localSheetId="3">[3]DAT2!#REF!</definedName>
    <definedName name="GOIC" localSheetId="4">[4]DAT2!#REF!</definedName>
    <definedName name="GOIC" localSheetId="5">[5]DAT2!#REF!</definedName>
    <definedName name="GOIC" localSheetId="6">[6]DAT2!#REF!</definedName>
    <definedName name="GOIC" localSheetId="7">[7]DAT2!#REF!</definedName>
    <definedName name="GOIC" localSheetId="8">[8]DAT2!#REF!</definedName>
    <definedName name="GOIC" localSheetId="9">[9]DAT2!#REF!</definedName>
    <definedName name="GOIC" localSheetId="10">[10]DAT2!#REF!</definedName>
    <definedName name="GOIC" localSheetId="11">[11]DAT2!#REF!</definedName>
    <definedName name="GOIC">[12]DAT2!#REF!</definedName>
    <definedName name="GOLF" localSheetId="1">[1]DAT2!#REF!</definedName>
    <definedName name="GOLF" localSheetId="2">[2]DAT2!#REF!</definedName>
    <definedName name="GOLF" localSheetId="3">[3]DAT2!#REF!</definedName>
    <definedName name="GOLF" localSheetId="4">[4]DAT2!#REF!</definedName>
    <definedName name="GOLF" localSheetId="5">[5]DAT2!#REF!</definedName>
    <definedName name="GOLF" localSheetId="6">[6]DAT2!#REF!</definedName>
    <definedName name="GOLF" localSheetId="7">[7]DAT2!#REF!</definedName>
    <definedName name="GOLF" localSheetId="8">[8]DAT2!#REF!</definedName>
    <definedName name="GOLF" localSheetId="9">[9]DAT2!#REF!</definedName>
    <definedName name="GOLF" localSheetId="10">[10]DAT2!#REF!</definedName>
    <definedName name="GOLF" localSheetId="11">[11]DAT2!#REF!</definedName>
    <definedName name="GOLF">[12]DAT2!#REF!</definedName>
    <definedName name="GREC" localSheetId="1">[1]DAT2!#REF!</definedName>
    <definedName name="GREC" localSheetId="2">[2]DAT2!#REF!</definedName>
    <definedName name="GREC" localSheetId="3">[3]DAT2!#REF!</definedName>
    <definedName name="GREC" localSheetId="4">[4]DAT2!#REF!</definedName>
    <definedName name="GREC" localSheetId="5">[5]DAT2!#REF!</definedName>
    <definedName name="GREC" localSheetId="6">[6]DAT2!#REF!</definedName>
    <definedName name="GREC" localSheetId="7">[7]DAT2!#REF!</definedName>
    <definedName name="GREC" localSheetId="8">[8]DAT2!#REF!</definedName>
    <definedName name="GREC" localSheetId="9">[9]DAT2!#REF!</definedName>
    <definedName name="GREC" localSheetId="10">[10]DAT2!#REF!</definedName>
    <definedName name="GREC" localSheetId="11">[11]DAT2!#REF!</definedName>
    <definedName name="GREC">[12]DAT2!#REF!</definedName>
    <definedName name="GUAC" localSheetId="1">[1]DAT2!#REF!</definedName>
    <definedName name="GUAC" localSheetId="2">[2]DAT2!#REF!</definedName>
    <definedName name="GUAC" localSheetId="3">[3]DAT2!#REF!</definedName>
    <definedName name="GUAC" localSheetId="4">[4]DAT2!#REF!</definedName>
    <definedName name="GUAC" localSheetId="5">[5]DAT2!#REF!</definedName>
    <definedName name="GUAC" localSheetId="6">[6]DAT2!#REF!</definedName>
    <definedName name="GUAC" localSheetId="7">[7]DAT2!#REF!</definedName>
    <definedName name="GUAC" localSheetId="8">[8]DAT2!#REF!</definedName>
    <definedName name="GUAC" localSheetId="9">[9]DAT2!#REF!</definedName>
    <definedName name="GUAC" localSheetId="10">[10]DAT2!#REF!</definedName>
    <definedName name="GUAC" localSheetId="11">[11]DAT2!#REF!</definedName>
    <definedName name="GUAC">[12]DAT2!#REF!</definedName>
    <definedName name="GUATU" localSheetId="1">[1]DAT2!#REF!</definedName>
    <definedName name="GUATU" localSheetId="2">[2]DAT2!#REF!</definedName>
    <definedName name="GUATU" localSheetId="3">[3]DAT2!#REF!</definedName>
    <definedName name="GUATU" localSheetId="4">[4]DAT2!#REF!</definedName>
    <definedName name="GUATU" localSheetId="5">[5]DAT2!#REF!</definedName>
    <definedName name="GUATU" localSheetId="6">[6]DAT2!#REF!</definedName>
    <definedName name="GUATU" localSheetId="7">[7]DAT2!#REF!</definedName>
    <definedName name="GUATU" localSheetId="8">[8]DAT2!#REF!</definedName>
    <definedName name="GUATU" localSheetId="9">[9]DAT2!#REF!</definedName>
    <definedName name="GUATU" localSheetId="10">[10]DAT2!#REF!</definedName>
    <definedName name="GUATU" localSheetId="11">[11]DAT2!#REF!</definedName>
    <definedName name="GUATU">[12]DAT2!#REF!</definedName>
    <definedName name="HERED" localSheetId="1">[1]DAT2!#REF!</definedName>
    <definedName name="HERED" localSheetId="2">[2]DAT2!#REF!</definedName>
    <definedName name="HERED" localSheetId="3">[3]DAT2!#REF!</definedName>
    <definedName name="HERED" localSheetId="4">[4]DAT2!#REF!</definedName>
    <definedName name="HERED" localSheetId="5">[5]DAT2!#REF!</definedName>
    <definedName name="HERED" localSheetId="6">[6]DAT2!#REF!</definedName>
    <definedName name="HERED" localSheetId="7">[7]DAT2!#REF!</definedName>
    <definedName name="HERED" localSheetId="8">[8]DAT2!#REF!</definedName>
    <definedName name="HERED" localSheetId="9">[9]DAT2!#REF!</definedName>
    <definedName name="HERED" localSheetId="10">[10]DAT2!#REF!</definedName>
    <definedName name="HERED" localSheetId="11">[11]DAT2!#REF!</definedName>
    <definedName name="HERED">[12]DAT2!#REF!</definedName>
    <definedName name="HOJA" localSheetId="1">[1]DAT2!#REF!</definedName>
    <definedName name="HOJA" localSheetId="2">[2]DAT2!#REF!</definedName>
    <definedName name="HOJA" localSheetId="3">[3]DAT2!#REF!</definedName>
    <definedName name="HOJA" localSheetId="4">[4]DAT2!#REF!</definedName>
    <definedName name="HOJA" localSheetId="5">[5]DAT2!#REF!</definedName>
    <definedName name="HOJA" localSheetId="6">[6]DAT2!#REF!</definedName>
    <definedName name="HOJA" localSheetId="7">[7]DAT2!#REF!</definedName>
    <definedName name="HOJA" localSheetId="8">[8]DAT2!#REF!</definedName>
    <definedName name="HOJA" localSheetId="9">[9]DAT2!#REF!</definedName>
    <definedName name="HOJA" localSheetId="10">[10]DAT2!#REF!</definedName>
    <definedName name="HOJA" localSheetId="11">[11]DAT2!#REF!</definedName>
    <definedName name="HOJA">[12]DAT2!#REF!</definedName>
    <definedName name="JE">[12]!Tabla103[#All]</definedName>
    <definedName name="jes">[12]!Tabla103[#All]</definedName>
    <definedName name="JIME" localSheetId="1">[1]DAT2!#REF!</definedName>
    <definedName name="JIME" localSheetId="2">[2]DAT2!#REF!</definedName>
    <definedName name="JIME" localSheetId="3">[3]DAT2!#REF!</definedName>
    <definedName name="JIME" localSheetId="4">[4]DAT2!#REF!</definedName>
    <definedName name="JIME" localSheetId="5">[5]DAT2!#REF!</definedName>
    <definedName name="JIME" localSheetId="6">[6]DAT2!#REF!</definedName>
    <definedName name="JIME" localSheetId="7">[7]DAT2!#REF!</definedName>
    <definedName name="JIME" localSheetId="8">[8]DAT2!#REF!</definedName>
    <definedName name="JIME" localSheetId="9">[9]DAT2!#REF!</definedName>
    <definedName name="JIME" localSheetId="10">[10]DAT2!#REF!</definedName>
    <definedName name="JIME" localSheetId="11">[11]DAT2!#REF!</definedName>
    <definedName name="JIME">[12]DAT2!#REF!</definedName>
    <definedName name="LACRU" localSheetId="1">[1]DAT2!#REF!</definedName>
    <definedName name="LACRU" localSheetId="2">[2]DAT2!#REF!</definedName>
    <definedName name="LACRU" localSheetId="3">[3]DAT2!#REF!</definedName>
    <definedName name="LACRU" localSheetId="4">[4]DAT2!#REF!</definedName>
    <definedName name="LACRU" localSheetId="5">[5]DAT2!#REF!</definedName>
    <definedName name="LACRU" localSheetId="6">[6]DAT2!#REF!</definedName>
    <definedName name="LACRU" localSheetId="7">[7]DAT2!#REF!</definedName>
    <definedName name="LACRU" localSheetId="8">[8]DAT2!#REF!</definedName>
    <definedName name="LACRU" localSheetId="9">[9]DAT2!#REF!</definedName>
    <definedName name="LACRU" localSheetId="10">[10]DAT2!#REF!</definedName>
    <definedName name="LACRU" localSheetId="11">[11]DAT2!#REF!</definedName>
    <definedName name="LACRU">[12]DAT2!#REF!</definedName>
    <definedName name="LAUN" localSheetId="1">[1]DAT2!#REF!</definedName>
    <definedName name="LAUN" localSheetId="2">[2]DAT2!#REF!</definedName>
    <definedName name="LAUN" localSheetId="3">[3]DAT2!#REF!</definedName>
    <definedName name="LAUN" localSheetId="4">[4]DAT2!#REF!</definedName>
    <definedName name="LAUN" localSheetId="5">[5]DAT2!#REF!</definedName>
    <definedName name="LAUN" localSheetId="6">[6]DAT2!#REF!</definedName>
    <definedName name="LAUN" localSheetId="7">[7]DAT2!#REF!</definedName>
    <definedName name="LAUN" localSheetId="8">[8]DAT2!#REF!</definedName>
    <definedName name="LAUN" localSheetId="9">[9]DAT2!#REF!</definedName>
    <definedName name="LAUN" localSheetId="10">[10]DAT2!#REF!</definedName>
    <definedName name="LAUN" localSheetId="11">[11]DAT2!#REF!</definedName>
    <definedName name="LAUN">[12]DAT2!#REF!</definedName>
    <definedName name="LEO" localSheetId="1">[1]DAT1!#REF!</definedName>
    <definedName name="LEO" localSheetId="2">[2]DAT1!#REF!</definedName>
    <definedName name="LEO" localSheetId="3">[3]DAT1!#REF!</definedName>
    <definedName name="LEO" localSheetId="4">[4]DAT1!#REF!</definedName>
    <definedName name="LEO" localSheetId="5">[5]DAT1!#REF!</definedName>
    <definedName name="LEO" localSheetId="6">[6]DAT1!#REF!</definedName>
    <definedName name="LEO" localSheetId="7">[7]DAT1!#REF!</definedName>
    <definedName name="LEO" localSheetId="8">[8]DAT1!#REF!</definedName>
    <definedName name="LEO" localSheetId="9">[9]DAT1!#REF!</definedName>
    <definedName name="LEO" localSheetId="10">[10]DAT1!#REF!</definedName>
    <definedName name="LEO" localSheetId="11">[11]DAT1!#REF!</definedName>
    <definedName name="LEO">[12]DAT1!#REF!</definedName>
    <definedName name="LIB" localSheetId="1">[1]DAT2!#REF!</definedName>
    <definedName name="LIB" localSheetId="2">[2]DAT2!#REF!</definedName>
    <definedName name="LIB" localSheetId="3">[3]DAT2!#REF!</definedName>
    <definedName name="LIB" localSheetId="4">[4]DAT2!#REF!</definedName>
    <definedName name="LIB" localSheetId="5">[5]DAT2!#REF!</definedName>
    <definedName name="LIB" localSheetId="6">[6]DAT2!#REF!</definedName>
    <definedName name="LIB" localSheetId="7">[7]DAT2!#REF!</definedName>
    <definedName name="LIB" localSheetId="8">[8]DAT2!#REF!</definedName>
    <definedName name="LIB" localSheetId="9">[9]DAT2!#REF!</definedName>
    <definedName name="LIB" localSheetId="10">[10]DAT2!#REF!</definedName>
    <definedName name="LIB" localSheetId="11">[11]DAT2!#REF!</definedName>
    <definedName name="LIB">[12]DAT2!#REF!</definedName>
    <definedName name="LIM" localSheetId="1">[1]DAT2!#REF!</definedName>
    <definedName name="LIM" localSheetId="2">[2]DAT2!#REF!</definedName>
    <definedName name="LIM" localSheetId="3">[3]DAT2!#REF!</definedName>
    <definedName name="LIM" localSheetId="4">[4]DAT2!#REF!</definedName>
    <definedName name="LIM" localSheetId="5">[5]DAT2!#REF!</definedName>
    <definedName name="LIM" localSheetId="6">[6]DAT2!#REF!</definedName>
    <definedName name="LIM" localSheetId="7">[7]DAT2!#REF!</definedName>
    <definedName name="LIM" localSheetId="8">[8]DAT2!#REF!</definedName>
    <definedName name="LIM" localSheetId="9">[9]DAT2!#REF!</definedName>
    <definedName name="LIM" localSheetId="10">[10]DAT2!#REF!</definedName>
    <definedName name="LIM" localSheetId="11">[11]DAT2!#REF!</definedName>
    <definedName name="LIM">[12]DAT2!#REF!</definedName>
    <definedName name="LOSCHI" localSheetId="1">[1]DAT2!#REF!</definedName>
    <definedName name="LOSCHI" localSheetId="2">[2]DAT2!#REF!</definedName>
    <definedName name="LOSCHI" localSheetId="3">[3]DAT2!#REF!</definedName>
    <definedName name="LOSCHI" localSheetId="4">[4]DAT2!#REF!</definedName>
    <definedName name="LOSCHI" localSheetId="5">[5]DAT2!#REF!</definedName>
    <definedName name="LOSCHI" localSheetId="6">[6]DAT2!#REF!</definedName>
    <definedName name="LOSCHI" localSheetId="7">[7]DAT2!#REF!</definedName>
    <definedName name="LOSCHI" localSheetId="8">[8]DAT2!#REF!</definedName>
    <definedName name="LOSCHI" localSheetId="9">[9]DAT2!#REF!</definedName>
    <definedName name="LOSCHI" localSheetId="10">[10]DAT2!#REF!</definedName>
    <definedName name="LOSCHI" localSheetId="11">[11]DAT2!#REF!</definedName>
    <definedName name="LOSCHI">[12]DAT2!#REF!</definedName>
    <definedName name="MAT" localSheetId="1">[1]DAT2!#REF!</definedName>
    <definedName name="MAT" localSheetId="2">[2]DAT2!#REF!</definedName>
    <definedName name="MAT" localSheetId="3">[3]DAT2!#REF!</definedName>
    <definedName name="MAT" localSheetId="4">[4]DAT2!#REF!</definedName>
    <definedName name="MAT" localSheetId="5">[5]DAT2!#REF!</definedName>
    <definedName name="MAT" localSheetId="6">[6]DAT2!#REF!</definedName>
    <definedName name="MAT" localSheetId="7">[7]DAT2!#REF!</definedName>
    <definedName name="MAT" localSheetId="8">[8]DAT2!#REF!</definedName>
    <definedName name="MAT" localSheetId="9">[9]DAT2!#REF!</definedName>
    <definedName name="MAT" localSheetId="10">[10]DAT2!#REF!</definedName>
    <definedName name="MAT" localSheetId="11">[11]DAT2!#REF!</definedName>
    <definedName name="MAT">[12]DAT2!#REF!</definedName>
    <definedName name="MONTEV" localSheetId="1">[1]DAT2!#REF!</definedName>
    <definedName name="MONTEV" localSheetId="2">[2]DAT2!#REF!</definedName>
    <definedName name="MONTEV" localSheetId="3">[3]DAT2!#REF!</definedName>
    <definedName name="MONTEV" localSheetId="4">[4]DAT2!#REF!</definedName>
    <definedName name="MONTEV" localSheetId="5">[5]DAT2!#REF!</definedName>
    <definedName name="MONTEV" localSheetId="6">[6]DAT2!#REF!</definedName>
    <definedName name="MONTEV" localSheetId="7">[7]DAT2!#REF!</definedName>
    <definedName name="MONTEV" localSheetId="8">[8]DAT2!#REF!</definedName>
    <definedName name="MONTEV" localSheetId="9">[9]DAT2!#REF!</definedName>
    <definedName name="MONTEV" localSheetId="10">[10]DAT2!#REF!</definedName>
    <definedName name="MONTEV" localSheetId="11">[11]DAT2!#REF!</definedName>
    <definedName name="MONTEV">[12]DAT2!#REF!</definedName>
    <definedName name="MONTOC" localSheetId="1">[1]DAT2!#REF!</definedName>
    <definedName name="MONTOC" localSheetId="2">[2]DAT2!#REF!</definedName>
    <definedName name="MONTOC" localSheetId="3">[3]DAT2!#REF!</definedName>
    <definedName name="MONTOC" localSheetId="4">[4]DAT2!#REF!</definedName>
    <definedName name="MONTOC" localSheetId="5">[5]DAT2!#REF!</definedName>
    <definedName name="MONTOC" localSheetId="6">[6]DAT2!#REF!</definedName>
    <definedName name="MONTOC" localSheetId="7">[7]DAT2!#REF!</definedName>
    <definedName name="MONTOC" localSheetId="8">[8]DAT2!#REF!</definedName>
    <definedName name="MONTOC" localSheetId="9">[9]DAT2!#REF!</definedName>
    <definedName name="MONTOC" localSheetId="10">[10]DAT2!#REF!</definedName>
    <definedName name="MONTOC" localSheetId="11">[11]DAT2!#REF!</definedName>
    <definedName name="MONTOC">[12]DAT2!#REF!</definedName>
    <definedName name="MONTOR" localSheetId="1">[1]DAT2!#REF!</definedName>
    <definedName name="MONTOR" localSheetId="2">[2]DAT2!#REF!</definedName>
    <definedName name="MONTOR" localSheetId="3">[3]DAT2!#REF!</definedName>
    <definedName name="MONTOR" localSheetId="4">[4]DAT2!#REF!</definedName>
    <definedName name="MONTOR" localSheetId="5">[5]DAT2!#REF!</definedName>
    <definedName name="MONTOR" localSheetId="6">[6]DAT2!#REF!</definedName>
    <definedName name="MONTOR" localSheetId="7">[7]DAT2!#REF!</definedName>
    <definedName name="MONTOR" localSheetId="8">[8]DAT2!#REF!</definedName>
    <definedName name="MONTOR" localSheetId="9">[9]DAT2!#REF!</definedName>
    <definedName name="MONTOR" localSheetId="10">[10]DAT2!#REF!</definedName>
    <definedName name="MONTOR" localSheetId="11">[11]DAT2!#REF!</definedName>
    <definedName name="MONTOR">[12]DAT2!#REF!</definedName>
    <definedName name="MOR" localSheetId="1">[1]DAT2!#REF!</definedName>
    <definedName name="MOR" localSheetId="2">[2]DAT2!#REF!</definedName>
    <definedName name="MOR" localSheetId="3">[3]DAT2!#REF!</definedName>
    <definedName name="MOR" localSheetId="4">[4]DAT2!#REF!</definedName>
    <definedName name="MOR" localSheetId="5">[5]DAT2!#REF!</definedName>
    <definedName name="MOR" localSheetId="6">[6]DAT2!#REF!</definedName>
    <definedName name="MOR" localSheetId="7">[7]DAT2!#REF!</definedName>
    <definedName name="MOR" localSheetId="8">[8]DAT2!#REF!</definedName>
    <definedName name="MOR" localSheetId="9">[9]DAT2!#REF!</definedName>
    <definedName name="MOR" localSheetId="10">[10]DAT2!#REF!</definedName>
    <definedName name="MOR" localSheetId="11">[11]DAT2!#REF!</definedName>
    <definedName name="MOR">[12]DAT2!#REF!</definedName>
    <definedName name="MORAV" localSheetId="1">[1]DAT2!#REF!</definedName>
    <definedName name="MORAV" localSheetId="2">[2]DAT2!#REF!</definedName>
    <definedName name="MORAV" localSheetId="3">[3]DAT2!#REF!</definedName>
    <definedName name="MORAV" localSheetId="4">[4]DAT2!#REF!</definedName>
    <definedName name="MORAV" localSheetId="5">[5]DAT2!#REF!</definedName>
    <definedName name="MORAV" localSheetId="6">[6]DAT2!#REF!</definedName>
    <definedName name="MORAV" localSheetId="7">[7]DAT2!#REF!</definedName>
    <definedName name="MORAV" localSheetId="8">[8]DAT2!#REF!</definedName>
    <definedName name="MORAV" localSheetId="9">[9]DAT2!#REF!</definedName>
    <definedName name="MORAV" localSheetId="10">[10]DAT2!#REF!</definedName>
    <definedName name="MORAV" localSheetId="11">[11]DAT2!#REF!</definedName>
    <definedName name="MORAV">[12]DAT2!#REF!</definedName>
    <definedName name="NAND" localSheetId="1">[1]DAT2!#REF!</definedName>
    <definedName name="NAND" localSheetId="2">[2]DAT2!#REF!</definedName>
    <definedName name="NAND" localSheetId="3">[3]DAT2!#REF!</definedName>
    <definedName name="NAND" localSheetId="4">[4]DAT2!#REF!</definedName>
    <definedName name="NAND" localSheetId="5">[5]DAT2!#REF!</definedName>
    <definedName name="NAND" localSheetId="6">[6]DAT2!#REF!</definedName>
    <definedName name="NAND" localSheetId="7">[7]DAT2!#REF!</definedName>
    <definedName name="NAND" localSheetId="8">[8]DAT2!#REF!</definedName>
    <definedName name="NAND" localSheetId="9">[9]DAT2!#REF!</definedName>
    <definedName name="NAND" localSheetId="10">[10]DAT2!#REF!</definedName>
    <definedName name="NAND" localSheetId="11">[11]DAT2!#REF!</definedName>
    <definedName name="NAND">[12]DAT2!#REF!</definedName>
    <definedName name="NARA" localSheetId="1">[1]DAT2!#REF!</definedName>
    <definedName name="NARA" localSheetId="2">[2]DAT2!#REF!</definedName>
    <definedName name="NARA" localSheetId="3">[3]DAT2!#REF!</definedName>
    <definedName name="NARA" localSheetId="4">[4]DAT2!#REF!</definedName>
    <definedName name="NARA" localSheetId="5">[5]DAT2!#REF!</definedName>
    <definedName name="NARA" localSheetId="6">[6]DAT2!#REF!</definedName>
    <definedName name="NARA" localSheetId="7">[7]DAT2!#REF!</definedName>
    <definedName name="NARA" localSheetId="8">[8]DAT2!#REF!</definedName>
    <definedName name="NARA" localSheetId="9">[9]DAT2!#REF!</definedName>
    <definedName name="NARA" localSheetId="10">[10]DAT2!#REF!</definedName>
    <definedName name="NARA" localSheetId="11">[11]DAT2!#REF!</definedName>
    <definedName name="NARA">[12]DAT2!#REF!</definedName>
    <definedName name="NICO" localSheetId="1">[1]DAT2!#REF!</definedName>
    <definedName name="NICO" localSheetId="2">[2]DAT2!#REF!</definedName>
    <definedName name="NICO" localSheetId="3">[3]DAT2!#REF!</definedName>
    <definedName name="NICO" localSheetId="4">[4]DAT2!#REF!</definedName>
    <definedName name="NICO" localSheetId="5">[5]DAT2!#REF!</definedName>
    <definedName name="NICO" localSheetId="6">[6]DAT2!#REF!</definedName>
    <definedName name="NICO" localSheetId="7">[7]DAT2!#REF!</definedName>
    <definedName name="NICO" localSheetId="8">[8]DAT2!#REF!</definedName>
    <definedName name="NICO" localSheetId="9">[9]DAT2!#REF!</definedName>
    <definedName name="NICO" localSheetId="10">[10]DAT2!#REF!</definedName>
    <definedName name="NICO" localSheetId="11">[11]DAT2!#REF!</definedName>
    <definedName name="NICO">[12]DAT2!#REF!</definedName>
    <definedName name="OREAMU" localSheetId="1">[1]DAT2!#REF!</definedName>
    <definedName name="OREAMU" localSheetId="2">[2]DAT2!#REF!</definedName>
    <definedName name="OREAMU" localSheetId="3">[3]DAT2!#REF!</definedName>
    <definedName name="OREAMU" localSheetId="4">[4]DAT2!#REF!</definedName>
    <definedName name="OREAMU" localSheetId="5">[5]DAT2!#REF!</definedName>
    <definedName name="OREAMU" localSheetId="6">[6]DAT2!#REF!</definedName>
    <definedName name="OREAMU" localSheetId="7">[7]DAT2!#REF!</definedName>
    <definedName name="OREAMU" localSheetId="8">[8]DAT2!#REF!</definedName>
    <definedName name="OREAMU" localSheetId="9">[9]DAT2!#REF!</definedName>
    <definedName name="OREAMU" localSheetId="10">[10]DAT2!#REF!</definedName>
    <definedName name="OREAMU" localSheetId="11">[11]DAT2!#REF!</definedName>
    <definedName name="OREAMU">[12]DAT2!#REF!</definedName>
    <definedName name="OROT" localSheetId="1">[1]DAT2!#REF!</definedName>
    <definedName name="OROT" localSheetId="2">[2]DAT2!#REF!</definedName>
    <definedName name="OROT" localSheetId="3">[3]DAT2!#REF!</definedName>
    <definedName name="OROT" localSheetId="4">[4]DAT2!#REF!</definedName>
    <definedName name="OROT" localSheetId="5">[5]DAT2!#REF!</definedName>
    <definedName name="OROT" localSheetId="6">[6]DAT2!#REF!</definedName>
    <definedName name="OROT" localSheetId="7">[7]DAT2!#REF!</definedName>
    <definedName name="OROT" localSheetId="8">[8]DAT2!#REF!</definedName>
    <definedName name="OROT" localSheetId="9">[9]DAT2!#REF!</definedName>
    <definedName name="OROT" localSheetId="10">[10]DAT2!#REF!</definedName>
    <definedName name="OROT" localSheetId="11">[11]DAT2!#REF!</definedName>
    <definedName name="OROT">[12]DAT2!#REF!</definedName>
    <definedName name="OSA" localSheetId="1">[1]DAT2!#REF!</definedName>
    <definedName name="OSA" localSheetId="2">[2]DAT2!#REF!</definedName>
    <definedName name="OSA" localSheetId="3">[3]DAT2!#REF!</definedName>
    <definedName name="OSA" localSheetId="4">[4]DAT2!#REF!</definedName>
    <definedName name="OSA" localSheetId="5">[5]DAT2!#REF!</definedName>
    <definedName name="OSA" localSheetId="6">[6]DAT2!#REF!</definedName>
    <definedName name="OSA" localSheetId="7">[7]DAT2!#REF!</definedName>
    <definedName name="OSA" localSheetId="8">[8]DAT2!#REF!</definedName>
    <definedName name="OSA" localSheetId="9">[9]DAT2!#REF!</definedName>
    <definedName name="OSA" localSheetId="10">[10]DAT2!#REF!</definedName>
    <definedName name="OSA" localSheetId="11">[11]DAT2!#REF!</definedName>
    <definedName name="OSA">[12]DAT2!#REF!</definedName>
    <definedName name="PALMA" localSheetId="1">[1]DAT2!#REF!</definedName>
    <definedName name="PALMA" localSheetId="2">[2]DAT2!#REF!</definedName>
    <definedName name="PALMA" localSheetId="3">[3]DAT2!#REF!</definedName>
    <definedName name="PALMA" localSheetId="4">[4]DAT2!#REF!</definedName>
    <definedName name="PALMA" localSheetId="5">[5]DAT2!#REF!</definedName>
    <definedName name="PALMA" localSheetId="6">[6]DAT2!#REF!</definedName>
    <definedName name="PALMA" localSheetId="7">[7]DAT2!#REF!</definedName>
    <definedName name="PALMA" localSheetId="8">[8]DAT2!#REF!</definedName>
    <definedName name="PALMA" localSheetId="9">[9]DAT2!#REF!</definedName>
    <definedName name="PALMA" localSheetId="10">[10]DAT2!#REF!</definedName>
    <definedName name="PALMA" localSheetId="11">[11]DAT2!#REF!</definedName>
    <definedName name="PALMA">[12]DAT2!#REF!</definedName>
    <definedName name="PARA" localSheetId="1">[1]DAT2!#REF!</definedName>
    <definedName name="PARA" localSheetId="2">[2]DAT2!#REF!</definedName>
    <definedName name="PARA" localSheetId="3">[3]DAT2!#REF!</definedName>
    <definedName name="PARA" localSheetId="4">[4]DAT2!#REF!</definedName>
    <definedName name="PARA" localSheetId="5">[5]DAT2!#REF!</definedName>
    <definedName name="PARA" localSheetId="6">[6]DAT2!#REF!</definedName>
    <definedName name="PARA" localSheetId="7">[7]DAT2!#REF!</definedName>
    <definedName name="PARA" localSheetId="8">[8]DAT2!#REF!</definedName>
    <definedName name="PARA" localSheetId="9">[9]DAT2!#REF!</definedName>
    <definedName name="PARA" localSheetId="10">[10]DAT2!#REF!</definedName>
    <definedName name="PARA" localSheetId="11">[11]DAT2!#REF!</definedName>
    <definedName name="PARA">[12]DAT2!#REF!</definedName>
    <definedName name="PARR" localSheetId="1">[1]DAT2!#REF!</definedName>
    <definedName name="PARR" localSheetId="2">[2]DAT2!#REF!</definedName>
    <definedName name="PARR" localSheetId="3">[3]DAT2!#REF!</definedName>
    <definedName name="PARR" localSheetId="4">[4]DAT2!#REF!</definedName>
    <definedName name="PARR" localSheetId="5">[5]DAT2!#REF!</definedName>
    <definedName name="PARR" localSheetId="6">[6]DAT2!#REF!</definedName>
    <definedName name="PARR" localSheetId="7">[7]DAT2!#REF!</definedName>
    <definedName name="PARR" localSheetId="8">[8]DAT2!#REF!</definedName>
    <definedName name="PARR" localSheetId="9">[9]DAT2!#REF!</definedName>
    <definedName name="PARR" localSheetId="10">[10]DAT2!#REF!</definedName>
    <definedName name="PARR" localSheetId="11">[11]DAT2!#REF!</definedName>
    <definedName name="PARR">[12]DAT2!#REF!</definedName>
    <definedName name="POA" localSheetId="1">[1]DAT2!#REF!</definedName>
    <definedName name="POA" localSheetId="2">[2]DAT2!#REF!</definedName>
    <definedName name="POA" localSheetId="3">[3]DAT2!#REF!</definedName>
    <definedName name="POA" localSheetId="4">[4]DAT2!#REF!</definedName>
    <definedName name="POA" localSheetId="5">[5]DAT2!#REF!</definedName>
    <definedName name="POA" localSheetId="6">[6]DAT2!#REF!</definedName>
    <definedName name="POA" localSheetId="7">[7]DAT2!#REF!</definedName>
    <definedName name="POA" localSheetId="8">[8]DAT2!#REF!</definedName>
    <definedName name="POA" localSheetId="9">[9]DAT2!#REF!</definedName>
    <definedName name="POA" localSheetId="10">[10]DAT2!#REF!</definedName>
    <definedName name="POA" localSheetId="11">[11]DAT2!#REF!</definedName>
    <definedName name="POA">[12]DAT2!#REF!</definedName>
    <definedName name="POCOC" localSheetId="1">[1]DAT2!#REF!</definedName>
    <definedName name="POCOC" localSheetId="2">[2]DAT2!#REF!</definedName>
    <definedName name="POCOC" localSheetId="3">[3]DAT2!#REF!</definedName>
    <definedName name="POCOC" localSheetId="4">[4]DAT2!#REF!</definedName>
    <definedName name="POCOC" localSheetId="5">[5]DAT2!#REF!</definedName>
    <definedName name="POCOC" localSheetId="6">[6]DAT2!#REF!</definedName>
    <definedName name="POCOC" localSheetId="7">[7]DAT2!#REF!</definedName>
    <definedName name="POCOC" localSheetId="8">[8]DAT2!#REF!</definedName>
    <definedName name="POCOC" localSheetId="9">[9]DAT2!#REF!</definedName>
    <definedName name="POCOC" localSheetId="10">[10]DAT2!#REF!</definedName>
    <definedName name="POCOC" localSheetId="11">[11]DAT2!#REF!</definedName>
    <definedName name="POCOC">[12]DAT2!#REF!</definedName>
    <definedName name="PUERTOJ" localSheetId="1">[1]DAT2!#REF!</definedName>
    <definedName name="PUERTOJ" localSheetId="2">[2]DAT2!#REF!</definedName>
    <definedName name="PUERTOJ" localSheetId="3">[3]DAT2!#REF!</definedName>
    <definedName name="PUERTOJ" localSheetId="4">[4]DAT2!#REF!</definedName>
    <definedName name="PUERTOJ" localSheetId="5">[5]DAT2!#REF!</definedName>
    <definedName name="PUERTOJ" localSheetId="6">[6]DAT2!#REF!</definedName>
    <definedName name="PUERTOJ" localSheetId="7">[7]DAT2!#REF!</definedName>
    <definedName name="PUERTOJ" localSheetId="8">[8]DAT2!#REF!</definedName>
    <definedName name="PUERTOJ" localSheetId="9">[9]DAT2!#REF!</definedName>
    <definedName name="PUERTOJ" localSheetId="10">[10]DAT2!#REF!</definedName>
    <definedName name="PUERTOJ" localSheetId="11">[11]DAT2!#REF!</definedName>
    <definedName name="PUERTOJ">[12]DAT2!#REF!</definedName>
    <definedName name="PUNTAR" localSheetId="1">[1]DAT2!#REF!</definedName>
    <definedName name="PUNTAR" localSheetId="2">[2]DAT2!#REF!</definedName>
    <definedName name="PUNTAR" localSheetId="3">[3]DAT2!#REF!</definedName>
    <definedName name="PUNTAR" localSheetId="4">[4]DAT2!#REF!</definedName>
    <definedName name="PUNTAR" localSheetId="5">[5]DAT2!#REF!</definedName>
    <definedName name="PUNTAR" localSheetId="6">[6]DAT2!#REF!</definedName>
    <definedName name="PUNTAR" localSheetId="7">[7]DAT2!#REF!</definedName>
    <definedName name="PUNTAR" localSheetId="8">[8]DAT2!#REF!</definedName>
    <definedName name="PUNTAR" localSheetId="9">[9]DAT2!#REF!</definedName>
    <definedName name="PUNTAR" localSheetId="10">[10]DAT2!#REF!</definedName>
    <definedName name="PUNTAR" localSheetId="11">[11]DAT2!#REF!</definedName>
    <definedName name="PUNTAR">[12]DAT2!#REF!</definedName>
    <definedName name="PURIS" localSheetId="1">[1]DAT2!#REF!</definedName>
    <definedName name="PURIS" localSheetId="2">[2]DAT2!#REF!</definedName>
    <definedName name="PURIS" localSheetId="3">[3]DAT2!#REF!</definedName>
    <definedName name="PURIS" localSheetId="4">[4]DAT2!#REF!</definedName>
    <definedName name="PURIS" localSheetId="5">[5]DAT2!#REF!</definedName>
    <definedName name="PURIS" localSheetId="6">[6]DAT2!#REF!</definedName>
    <definedName name="PURIS" localSheetId="7">[7]DAT2!#REF!</definedName>
    <definedName name="PURIS" localSheetId="8">[8]DAT2!#REF!</definedName>
    <definedName name="PURIS" localSheetId="9">[9]DAT2!#REF!</definedName>
    <definedName name="PURIS" localSheetId="10">[10]DAT2!#REF!</definedName>
    <definedName name="PURIS" localSheetId="11">[11]DAT2!#REF!</definedName>
    <definedName name="PURIS">[12]DAT2!#REF!</definedName>
    <definedName name="PZ" localSheetId="1">[1]DAT2!#REF!</definedName>
    <definedName name="PZ" localSheetId="2">[2]DAT2!#REF!</definedName>
    <definedName name="PZ" localSheetId="3">[3]DAT2!#REF!</definedName>
    <definedName name="PZ" localSheetId="4">[4]DAT2!#REF!</definedName>
    <definedName name="PZ" localSheetId="5">[5]DAT2!#REF!</definedName>
    <definedName name="PZ" localSheetId="6">[6]DAT2!#REF!</definedName>
    <definedName name="PZ" localSheetId="7">[7]DAT2!#REF!</definedName>
    <definedName name="PZ" localSheetId="8">[8]DAT2!#REF!</definedName>
    <definedName name="PZ" localSheetId="9">[9]DAT2!#REF!</definedName>
    <definedName name="PZ" localSheetId="10">[10]DAT2!#REF!</definedName>
    <definedName name="PZ" localSheetId="11">[11]DAT2!#REF!</definedName>
    <definedName name="PZ">[12]DAT2!#REF!</definedName>
    <definedName name="QUEP" localSheetId="1">[1]DAT2!#REF!</definedName>
    <definedName name="QUEP" localSheetId="2">[2]DAT2!#REF!</definedName>
    <definedName name="QUEP" localSheetId="3">[3]DAT2!#REF!</definedName>
    <definedName name="QUEP" localSheetId="4">[4]DAT2!#REF!</definedName>
    <definedName name="QUEP" localSheetId="5">[5]DAT2!#REF!</definedName>
    <definedName name="QUEP" localSheetId="6">[6]DAT2!#REF!</definedName>
    <definedName name="QUEP" localSheetId="7">[7]DAT2!#REF!</definedName>
    <definedName name="QUEP" localSheetId="8">[8]DAT2!#REF!</definedName>
    <definedName name="QUEP" localSheetId="9">[9]DAT2!#REF!</definedName>
    <definedName name="QUEP" localSheetId="10">[10]DAT2!#REF!</definedName>
    <definedName name="QUEP" localSheetId="11">[11]DAT2!#REF!</definedName>
    <definedName name="QUEP">[12]DAT2!#REF!</definedName>
    <definedName name="RIOCU" localSheetId="1">[1]DAT2!#REF!</definedName>
    <definedName name="RIOCU" localSheetId="2">[2]DAT2!#REF!</definedName>
    <definedName name="RIOCU" localSheetId="3">[3]DAT2!#REF!</definedName>
    <definedName name="RIOCU" localSheetId="4">[4]DAT2!#REF!</definedName>
    <definedName name="RIOCU" localSheetId="5">[5]DAT2!#REF!</definedName>
    <definedName name="RIOCU" localSheetId="6">[6]DAT2!#REF!</definedName>
    <definedName name="RIOCU" localSheetId="7">[7]DAT2!#REF!</definedName>
    <definedName name="RIOCU" localSheetId="8">[8]DAT2!#REF!</definedName>
    <definedName name="RIOCU" localSheetId="9">[9]DAT2!#REF!</definedName>
    <definedName name="RIOCU" localSheetId="10">[10]DAT2!#REF!</definedName>
    <definedName name="RIOCU" localSheetId="11">[11]DAT2!#REF!</definedName>
    <definedName name="RIOCU">[12]DAT2!#REF!</definedName>
    <definedName name="SANCAR" localSheetId="1">[1]DAT2!#REF!</definedName>
    <definedName name="SANCAR" localSheetId="2">[2]DAT2!#REF!</definedName>
    <definedName name="SANCAR" localSheetId="3">[3]DAT2!#REF!</definedName>
    <definedName name="SANCAR" localSheetId="4">[4]DAT2!#REF!</definedName>
    <definedName name="SANCAR" localSheetId="5">[5]DAT2!#REF!</definedName>
    <definedName name="SANCAR" localSheetId="6">[6]DAT2!#REF!</definedName>
    <definedName name="SANCAR" localSheetId="7">[7]DAT2!#REF!</definedName>
    <definedName name="SANCAR" localSheetId="8">[8]DAT2!#REF!</definedName>
    <definedName name="SANCAR" localSheetId="9">[9]DAT2!#REF!</definedName>
    <definedName name="SANCAR" localSheetId="10">[10]DAT2!#REF!</definedName>
    <definedName name="SANCAR" localSheetId="11">[11]DAT2!#REF!</definedName>
    <definedName name="SANCAR">[12]DAT2!#REF!</definedName>
    <definedName name="SANISI" localSheetId="1">[1]DAT2!#REF!</definedName>
    <definedName name="SANISI" localSheetId="2">[2]DAT2!#REF!</definedName>
    <definedName name="SANISI" localSheetId="3">[3]DAT2!#REF!</definedName>
    <definedName name="SANISI" localSheetId="4">[4]DAT2!#REF!</definedName>
    <definedName name="SANISI" localSheetId="5">[5]DAT2!#REF!</definedName>
    <definedName name="SANISI" localSheetId="6">[6]DAT2!#REF!</definedName>
    <definedName name="SANISI" localSheetId="7">[7]DAT2!#REF!</definedName>
    <definedName name="SANISI" localSheetId="8">[8]DAT2!#REF!</definedName>
    <definedName name="SANISI" localSheetId="9">[9]DAT2!#REF!</definedName>
    <definedName name="SANISI" localSheetId="10">[10]DAT2!#REF!</definedName>
    <definedName name="SANISI" localSheetId="11">[11]DAT2!#REF!</definedName>
    <definedName name="SANISI">[12]DAT2!#REF!</definedName>
    <definedName name="SANMAT" localSheetId="1">[1]DAT2!#REF!</definedName>
    <definedName name="SANMAT" localSheetId="2">[2]DAT2!#REF!</definedName>
    <definedName name="SANMAT" localSheetId="3">[3]DAT2!#REF!</definedName>
    <definedName name="SANMAT" localSheetId="4">[4]DAT2!#REF!</definedName>
    <definedName name="SANMAT" localSheetId="5">[5]DAT2!#REF!</definedName>
    <definedName name="SANMAT" localSheetId="6">[6]DAT2!#REF!</definedName>
    <definedName name="SANMAT" localSheetId="7">[7]DAT2!#REF!</definedName>
    <definedName name="SANMAT" localSheetId="8">[8]DAT2!#REF!</definedName>
    <definedName name="SANMAT" localSheetId="9">[9]DAT2!#REF!</definedName>
    <definedName name="SANMAT" localSheetId="10">[10]DAT2!#REF!</definedName>
    <definedName name="SANMAT" localSheetId="11">[11]DAT2!#REF!</definedName>
    <definedName name="SANMAT">[12]DAT2!#REF!</definedName>
    <definedName name="SANPA" localSheetId="1">[1]DAT2!#REF!</definedName>
    <definedName name="SANPA" localSheetId="2">[2]DAT2!#REF!</definedName>
    <definedName name="SANPA" localSheetId="3">[3]DAT2!#REF!</definedName>
    <definedName name="SANPA" localSheetId="4">[4]DAT2!#REF!</definedName>
    <definedName name="SANPA" localSheetId="5">[5]DAT2!#REF!</definedName>
    <definedName name="SANPA" localSheetId="6">[6]DAT2!#REF!</definedName>
    <definedName name="SANPA" localSheetId="7">[7]DAT2!#REF!</definedName>
    <definedName name="SANPA" localSheetId="8">[8]DAT2!#REF!</definedName>
    <definedName name="SANPA" localSheetId="9">[9]DAT2!#REF!</definedName>
    <definedName name="SANPA" localSheetId="10">[10]DAT2!#REF!</definedName>
    <definedName name="SANPA" localSheetId="11">[11]DAT2!#REF!</definedName>
    <definedName name="SANPA">[12]DAT2!#REF!</definedName>
    <definedName name="SANRA" localSheetId="1">[1]DAT2!#REF!</definedName>
    <definedName name="SANRA" localSheetId="2">[2]DAT2!#REF!</definedName>
    <definedName name="SANRA" localSheetId="3">[3]DAT2!#REF!</definedName>
    <definedName name="SANRA" localSheetId="4">[4]DAT2!#REF!</definedName>
    <definedName name="SANRA" localSheetId="5">[5]DAT2!#REF!</definedName>
    <definedName name="SANRA" localSheetId="6">[6]DAT2!#REF!</definedName>
    <definedName name="SANRA" localSheetId="7">[7]DAT2!#REF!</definedName>
    <definedName name="SANRA" localSheetId="8">[8]DAT2!#REF!</definedName>
    <definedName name="SANRA" localSheetId="9">[9]DAT2!#REF!</definedName>
    <definedName name="SANRA" localSheetId="10">[10]DAT2!#REF!</definedName>
    <definedName name="SANRA" localSheetId="11">[11]DAT2!#REF!</definedName>
    <definedName name="SANRA">[12]DAT2!#REF!</definedName>
    <definedName name="SANRAF" localSheetId="1">[1]DAT2!#REF!</definedName>
    <definedName name="SANRAF" localSheetId="2">[2]DAT2!#REF!</definedName>
    <definedName name="SANRAF" localSheetId="3">[3]DAT2!#REF!</definedName>
    <definedName name="SANRAF" localSheetId="4">[4]DAT2!#REF!</definedName>
    <definedName name="SANRAF" localSheetId="5">[5]DAT2!#REF!</definedName>
    <definedName name="SANRAF" localSheetId="6">[6]DAT2!#REF!</definedName>
    <definedName name="SANRAF" localSheetId="7">[7]DAT2!#REF!</definedName>
    <definedName name="SANRAF" localSheetId="8">[8]DAT2!#REF!</definedName>
    <definedName name="SANRAF" localSheetId="9">[9]DAT2!#REF!</definedName>
    <definedName name="SANRAF" localSheetId="10">[10]DAT2!#REF!</definedName>
    <definedName name="SANRAF" localSheetId="11">[11]DAT2!#REF!</definedName>
    <definedName name="SANRAF">[12]DAT2!#REF!</definedName>
    <definedName name="SANTA" localSheetId="1">[1]DAT2!#REF!</definedName>
    <definedName name="SANTA" localSheetId="2">[2]DAT2!#REF!</definedName>
    <definedName name="SANTA" localSheetId="3">[3]DAT2!#REF!</definedName>
    <definedName name="SANTA" localSheetId="4">[4]DAT2!#REF!</definedName>
    <definedName name="SANTA" localSheetId="5">[5]DAT2!#REF!</definedName>
    <definedName name="SANTA" localSheetId="6">[6]DAT2!#REF!</definedName>
    <definedName name="SANTA" localSheetId="7">[7]DAT2!#REF!</definedName>
    <definedName name="SANTA" localSheetId="8">[8]DAT2!#REF!</definedName>
    <definedName name="SANTA" localSheetId="9">[9]DAT2!#REF!</definedName>
    <definedName name="SANTA" localSheetId="10">[10]DAT2!#REF!</definedName>
    <definedName name="SANTA" localSheetId="11">[11]DAT2!#REF!</definedName>
    <definedName name="SANTA">[12]DAT2!#REF!</definedName>
    <definedName name="SANTABA" localSheetId="1">[1]DAT2!#REF!</definedName>
    <definedName name="SANTABA" localSheetId="2">[2]DAT2!#REF!</definedName>
    <definedName name="SANTABA" localSheetId="3">[3]DAT2!#REF!</definedName>
    <definedName name="SANTABA" localSheetId="4">[4]DAT2!#REF!</definedName>
    <definedName name="SANTABA" localSheetId="5">[5]DAT2!#REF!</definedName>
    <definedName name="SANTABA" localSheetId="6">[6]DAT2!#REF!</definedName>
    <definedName name="SANTABA" localSheetId="7">[7]DAT2!#REF!</definedName>
    <definedName name="SANTABA" localSheetId="8">[8]DAT2!#REF!</definedName>
    <definedName name="SANTABA" localSheetId="9">[9]DAT2!#REF!</definedName>
    <definedName name="SANTABA" localSheetId="10">[10]DAT2!#REF!</definedName>
    <definedName name="SANTABA" localSheetId="11">[11]DAT2!#REF!</definedName>
    <definedName name="SANTABA">[12]DAT2!#REF!</definedName>
    <definedName name="SANTACRU" localSheetId="1">[1]DAT2!#REF!</definedName>
    <definedName name="SANTACRU" localSheetId="2">[2]DAT2!#REF!</definedName>
    <definedName name="SANTACRU" localSheetId="3">[3]DAT2!#REF!</definedName>
    <definedName name="SANTACRU" localSheetId="4">[4]DAT2!#REF!</definedName>
    <definedName name="SANTACRU" localSheetId="5">[5]DAT2!#REF!</definedName>
    <definedName name="SANTACRU" localSheetId="6">[6]DAT2!#REF!</definedName>
    <definedName name="SANTACRU" localSheetId="7">[7]DAT2!#REF!</definedName>
    <definedName name="SANTACRU" localSheetId="8">[8]DAT2!#REF!</definedName>
    <definedName name="SANTACRU" localSheetId="9">[9]DAT2!#REF!</definedName>
    <definedName name="SANTACRU" localSheetId="10">[10]DAT2!#REF!</definedName>
    <definedName name="SANTACRU" localSheetId="11">[11]DAT2!#REF!</definedName>
    <definedName name="SANTACRU">[12]DAT2!#REF!</definedName>
    <definedName name="SANTODO" localSheetId="1">[1]DAT2!#REF!</definedName>
    <definedName name="SANTODO" localSheetId="2">[2]DAT2!#REF!</definedName>
    <definedName name="SANTODO" localSheetId="3">[3]DAT2!#REF!</definedName>
    <definedName name="SANTODO" localSheetId="4">[4]DAT2!#REF!</definedName>
    <definedName name="SANTODO" localSheetId="5">[5]DAT2!#REF!</definedName>
    <definedName name="SANTODO" localSheetId="6">[6]DAT2!#REF!</definedName>
    <definedName name="SANTODO" localSheetId="7">[7]DAT2!#REF!</definedName>
    <definedName name="SANTODO" localSheetId="8">[8]DAT2!#REF!</definedName>
    <definedName name="SANTODO" localSheetId="9">[9]DAT2!#REF!</definedName>
    <definedName name="SANTODO" localSheetId="10">[10]DAT2!#REF!</definedName>
    <definedName name="SANTODO" localSheetId="11">[11]DAT2!#REF!</definedName>
    <definedName name="SANTODO">[12]DAT2!#REF!</definedName>
    <definedName name="SAR" localSheetId="1">[1]DAT2!#REF!</definedName>
    <definedName name="SAR" localSheetId="2">[2]DAT2!#REF!</definedName>
    <definedName name="SAR" localSheetId="3">[3]DAT2!#REF!</definedName>
    <definedName name="SAR" localSheetId="4">[4]DAT2!#REF!</definedName>
    <definedName name="SAR" localSheetId="5">[5]DAT2!#REF!</definedName>
    <definedName name="SAR" localSheetId="6">[6]DAT2!#REF!</definedName>
    <definedName name="SAR" localSheetId="7">[7]DAT2!#REF!</definedName>
    <definedName name="SAR" localSheetId="8">[8]DAT2!#REF!</definedName>
    <definedName name="SAR" localSheetId="9">[9]DAT2!#REF!</definedName>
    <definedName name="SAR" localSheetId="10">[10]DAT2!#REF!</definedName>
    <definedName name="SAR" localSheetId="11">[11]DAT2!#REF!</definedName>
    <definedName name="SAR">[12]DAT2!#REF!</definedName>
    <definedName name="SARAP" localSheetId="1">[1]DAT2!#REF!</definedName>
    <definedName name="SARAP" localSheetId="2">[2]DAT2!#REF!</definedName>
    <definedName name="SARAP" localSheetId="3">[3]DAT2!#REF!</definedName>
    <definedName name="SARAP" localSheetId="4">[4]DAT2!#REF!</definedName>
    <definedName name="SARAP" localSheetId="5">[5]DAT2!#REF!</definedName>
    <definedName name="SARAP" localSheetId="6">[6]DAT2!#REF!</definedName>
    <definedName name="SARAP" localSheetId="7">[7]DAT2!#REF!</definedName>
    <definedName name="SARAP" localSheetId="8">[8]DAT2!#REF!</definedName>
    <definedName name="SARAP" localSheetId="9">[9]DAT2!#REF!</definedName>
    <definedName name="SARAP" localSheetId="10">[10]DAT2!#REF!</definedName>
    <definedName name="SARAP" localSheetId="11">[11]DAT2!#REF!</definedName>
    <definedName name="SARAP">[12]DAT2!#REF!</definedName>
    <definedName name="SIQUIRR" localSheetId="1">[1]DAT2!#REF!</definedName>
    <definedName name="SIQUIRR" localSheetId="2">[2]DAT2!#REF!</definedName>
    <definedName name="SIQUIRR" localSheetId="3">[3]DAT2!#REF!</definedName>
    <definedName name="SIQUIRR" localSheetId="4">[4]DAT2!#REF!</definedName>
    <definedName name="SIQUIRR" localSheetId="5">[5]DAT2!#REF!</definedName>
    <definedName name="SIQUIRR" localSheetId="6">[6]DAT2!#REF!</definedName>
    <definedName name="SIQUIRR" localSheetId="7">[7]DAT2!#REF!</definedName>
    <definedName name="SIQUIRR" localSheetId="8">[8]DAT2!#REF!</definedName>
    <definedName name="SIQUIRR" localSheetId="9">[9]DAT2!#REF!</definedName>
    <definedName name="SIQUIRR" localSheetId="10">[10]DAT2!#REF!</definedName>
    <definedName name="SIQUIRR" localSheetId="11">[11]DAT2!#REF!</definedName>
    <definedName name="SIQUIRR">[12]DAT2!#REF!</definedName>
    <definedName name="TALAMA" localSheetId="1">[1]DAT2!#REF!</definedName>
    <definedName name="TALAMA" localSheetId="2">[2]DAT2!#REF!</definedName>
    <definedName name="TALAMA" localSheetId="3">[3]DAT2!#REF!</definedName>
    <definedName name="TALAMA" localSheetId="4">[4]DAT2!#REF!</definedName>
    <definedName name="TALAMA" localSheetId="5">[5]DAT2!#REF!</definedName>
    <definedName name="TALAMA" localSheetId="6">[6]DAT2!#REF!</definedName>
    <definedName name="TALAMA" localSheetId="7">[7]DAT2!#REF!</definedName>
    <definedName name="TALAMA" localSheetId="8">[8]DAT2!#REF!</definedName>
    <definedName name="TALAMA" localSheetId="9">[9]DAT2!#REF!</definedName>
    <definedName name="TALAMA" localSheetId="10">[10]DAT2!#REF!</definedName>
    <definedName name="TALAMA" localSheetId="11">[11]DAT2!#REF!</definedName>
    <definedName name="TALAMA">[12]DAT2!#REF!</definedName>
    <definedName name="TARRAZ" localSheetId="1">[1]DAT2!#REF!</definedName>
    <definedName name="TARRAZ" localSheetId="2">[2]DAT2!#REF!</definedName>
    <definedName name="TARRAZ" localSheetId="3">[3]DAT2!#REF!</definedName>
    <definedName name="TARRAZ" localSheetId="4">[4]DAT2!#REF!</definedName>
    <definedName name="TARRAZ" localSheetId="5">[5]DAT2!#REF!</definedName>
    <definedName name="TARRAZ" localSheetId="6">[6]DAT2!#REF!</definedName>
    <definedName name="TARRAZ" localSheetId="7">[7]DAT2!#REF!</definedName>
    <definedName name="TARRAZ" localSheetId="8">[8]DAT2!#REF!</definedName>
    <definedName name="TARRAZ" localSheetId="9">[9]DAT2!#REF!</definedName>
    <definedName name="TARRAZ" localSheetId="10">[10]DAT2!#REF!</definedName>
    <definedName name="TARRAZ" localSheetId="11">[11]DAT2!#REF!</definedName>
    <definedName name="TARRAZ">[12]DAT2!#REF!</definedName>
    <definedName name="TIB" localSheetId="1">[1]DAT2!#REF!</definedName>
    <definedName name="TIB" localSheetId="2">[2]DAT2!#REF!</definedName>
    <definedName name="TIB" localSheetId="3">[3]DAT2!#REF!</definedName>
    <definedName name="TIB" localSheetId="4">[4]DAT2!#REF!</definedName>
    <definedName name="TIB" localSheetId="5">[5]DAT2!#REF!</definedName>
    <definedName name="TIB" localSheetId="6">[6]DAT2!#REF!</definedName>
    <definedName name="TIB" localSheetId="7">[7]DAT2!#REF!</definedName>
    <definedName name="TIB" localSheetId="8">[8]DAT2!#REF!</definedName>
    <definedName name="TIB" localSheetId="9">[9]DAT2!#REF!</definedName>
    <definedName name="TIB" localSheetId="10">[10]DAT2!#REF!</definedName>
    <definedName name="TIB" localSheetId="11">[11]DAT2!#REF!</definedName>
    <definedName name="TIB">[12]DAT2!#REF!</definedName>
    <definedName name="TILAR" localSheetId="1">[1]DAT2!#REF!</definedName>
    <definedName name="TILAR" localSheetId="2">[2]DAT2!#REF!</definedName>
    <definedName name="TILAR" localSheetId="3">[3]DAT2!#REF!</definedName>
    <definedName name="TILAR" localSheetId="4">[4]DAT2!#REF!</definedName>
    <definedName name="TILAR" localSheetId="5">[5]DAT2!#REF!</definedName>
    <definedName name="TILAR" localSheetId="6">[6]DAT2!#REF!</definedName>
    <definedName name="TILAR" localSheetId="7">[7]DAT2!#REF!</definedName>
    <definedName name="TILAR" localSheetId="8">[8]DAT2!#REF!</definedName>
    <definedName name="TILAR" localSheetId="9">[9]DAT2!#REF!</definedName>
    <definedName name="TILAR" localSheetId="10">[10]DAT2!#REF!</definedName>
    <definedName name="TILAR" localSheetId="11">[11]DAT2!#REF!</definedName>
    <definedName name="TILAR">[12]DAT2!#REF!</definedName>
    <definedName name="TURR" localSheetId="1">[1]DAT2!#REF!</definedName>
    <definedName name="TURR" localSheetId="2">[2]DAT2!#REF!</definedName>
    <definedName name="TURR" localSheetId="3">[3]DAT2!#REF!</definedName>
    <definedName name="TURR" localSheetId="4">[4]DAT2!#REF!</definedName>
    <definedName name="TURR" localSheetId="5">[5]DAT2!#REF!</definedName>
    <definedName name="TURR" localSheetId="6">[6]DAT2!#REF!</definedName>
    <definedName name="TURR" localSheetId="7">[7]DAT2!#REF!</definedName>
    <definedName name="TURR" localSheetId="8">[8]DAT2!#REF!</definedName>
    <definedName name="TURR" localSheetId="9">[9]DAT2!#REF!</definedName>
    <definedName name="TURR" localSheetId="10">[10]DAT2!#REF!</definedName>
    <definedName name="TURR" localSheetId="11">[11]DAT2!#REF!</definedName>
    <definedName name="TURR">[12]DAT2!#REF!</definedName>
    <definedName name="TURRI" localSheetId="1">[1]DAT2!#REF!</definedName>
    <definedName name="TURRI" localSheetId="2">[2]DAT2!#REF!</definedName>
    <definedName name="TURRI" localSheetId="3">[3]DAT2!#REF!</definedName>
    <definedName name="TURRI" localSheetId="4">[4]DAT2!#REF!</definedName>
    <definedName name="TURRI" localSheetId="5">[5]DAT2!#REF!</definedName>
    <definedName name="TURRI" localSheetId="6">[6]DAT2!#REF!</definedName>
    <definedName name="TURRI" localSheetId="7">[7]DAT2!#REF!</definedName>
    <definedName name="TURRI" localSheetId="8">[8]DAT2!#REF!</definedName>
    <definedName name="TURRI" localSheetId="9">[9]DAT2!#REF!</definedName>
    <definedName name="TURRI" localSheetId="10">[10]DAT2!#REF!</definedName>
    <definedName name="TURRI" localSheetId="11">[11]DAT2!#REF!</definedName>
    <definedName name="TURRI">[12]DAT2!#REF!</definedName>
    <definedName name="U">[12]!Tabla103[#All]</definedName>
    <definedName name="UPA" localSheetId="1">[1]DAT2!#REF!</definedName>
    <definedName name="UPA" localSheetId="2">[2]DAT2!#REF!</definedName>
    <definedName name="UPA" localSheetId="3">[3]DAT2!#REF!</definedName>
    <definedName name="UPA" localSheetId="4">[4]DAT2!#REF!</definedName>
    <definedName name="UPA" localSheetId="5">[5]DAT2!#REF!</definedName>
    <definedName name="UPA" localSheetId="6">[6]DAT2!#REF!</definedName>
    <definedName name="UPA" localSheetId="7">[7]DAT2!#REF!</definedName>
    <definedName name="UPA" localSheetId="8">[8]DAT2!#REF!</definedName>
    <definedName name="UPA" localSheetId="9">[9]DAT2!#REF!</definedName>
    <definedName name="UPA" localSheetId="10">[10]DAT2!#REF!</definedName>
    <definedName name="UPA" localSheetId="11">[11]DAT2!#REF!</definedName>
    <definedName name="UPA">[12]DAT2!#REF!</definedName>
    <definedName name="uu">[12]!Tabla103[#All]</definedName>
    <definedName name="uum">[12]!Tabla103[#All]</definedName>
    <definedName name="uuu">[12]!Tabla103[#All]</definedName>
    <definedName name="VASQUE" localSheetId="1">[1]DAT2!#REF!</definedName>
    <definedName name="VASQUE" localSheetId="2">[2]DAT2!#REF!</definedName>
    <definedName name="VASQUE" localSheetId="3">[3]DAT2!#REF!</definedName>
    <definedName name="VASQUE" localSheetId="4">[4]DAT2!#REF!</definedName>
    <definedName name="VASQUE" localSheetId="5">[5]DAT2!#REF!</definedName>
    <definedName name="VASQUE" localSheetId="6">[6]DAT2!#REF!</definedName>
    <definedName name="VASQUE" localSheetId="7">[7]DAT2!#REF!</definedName>
    <definedName name="VASQUE" localSheetId="8">[8]DAT2!#REF!</definedName>
    <definedName name="VASQUE" localSheetId="9">[9]DAT2!#REF!</definedName>
    <definedName name="VASQUE" localSheetId="10">[10]DAT2!#REF!</definedName>
    <definedName name="VASQUE" localSheetId="11">[11]DAT2!#REF!</definedName>
    <definedName name="VASQUE">[12]DAT2!#REF!</definedName>
    <definedName name="ZAR" localSheetId="1">[1]DAT2!#REF!</definedName>
    <definedName name="ZAR" localSheetId="2">[2]DAT2!#REF!</definedName>
    <definedName name="ZAR" localSheetId="3">[3]DAT2!#REF!</definedName>
    <definedName name="ZAR" localSheetId="4">[4]DAT2!#REF!</definedName>
    <definedName name="ZAR" localSheetId="5">[5]DAT2!#REF!</definedName>
    <definedName name="ZAR" localSheetId="6">[6]DAT2!#REF!</definedName>
    <definedName name="ZAR" localSheetId="7">[7]DAT2!#REF!</definedName>
    <definedName name="ZAR" localSheetId="8">[8]DAT2!#REF!</definedName>
    <definedName name="ZAR" localSheetId="9">[9]DAT2!#REF!</definedName>
    <definedName name="ZAR" localSheetId="10">[10]DAT2!#REF!</definedName>
    <definedName name="ZAR" localSheetId="11">[11]DAT2!#REF!</definedName>
    <definedName name="ZAR">[12]DAT2!#REF!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7" i="11" l="1"/>
  <c r="C12" i="12" s="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C39" i="10"/>
  <c r="C11" i="12" s="1"/>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C39" i="9"/>
  <c r="C10" i="12" s="1"/>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C37" i="8"/>
  <c r="C9" i="12" s="1"/>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C37" i="7"/>
  <c r="C8" i="12" s="1"/>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C37" i="6"/>
  <c r="C7" i="12" s="1"/>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C37" i="5"/>
  <c r="C6" i="12" s="1"/>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C37" i="4"/>
  <c r="C5" i="12" s="1"/>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C37" i="3"/>
  <c r="C4" i="12" s="1"/>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C35" i="2"/>
  <c r="C3" i="12" s="1"/>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C39" i="1"/>
  <c r="C2" i="12" s="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37" i="11" l="1"/>
  <c r="D39" i="10"/>
  <c r="D39" i="9"/>
  <c r="D37" i="8"/>
  <c r="D37" i="7"/>
  <c r="D37" i="6"/>
  <c r="D37" i="5"/>
  <c r="D37" i="4"/>
  <c r="D37" i="3"/>
  <c r="D35" i="2"/>
  <c r="D39" i="1"/>
  <c r="D38" i="11" l="1"/>
  <c r="D12" i="12"/>
  <c r="E12" i="12" s="1"/>
  <c r="D40" i="10"/>
  <c r="D11" i="12"/>
  <c r="E11" i="12" s="1"/>
  <c r="D40" i="9"/>
  <c r="D10" i="12"/>
  <c r="E10" i="12" s="1"/>
  <c r="D38" i="8"/>
  <c r="D9" i="12"/>
  <c r="E9" i="12" s="1"/>
  <c r="D38" i="7"/>
  <c r="D8" i="12"/>
  <c r="E8" i="12" s="1"/>
  <c r="D38" i="6"/>
  <c r="D7" i="12"/>
  <c r="E7" i="12" s="1"/>
  <c r="D38" i="4"/>
  <c r="D5" i="12"/>
  <c r="E5" i="12" s="1"/>
  <c r="D38" i="3"/>
  <c r="D4" i="12"/>
  <c r="E4" i="12" s="1"/>
  <c r="D36" i="2"/>
  <c r="D3" i="12"/>
  <c r="E3" i="12" s="1"/>
  <c r="D40" i="1"/>
  <c r="D2" i="12"/>
  <c r="E2" i="12" s="1"/>
  <c r="D38" i="5"/>
  <c r="D6" i="12"/>
  <c r="E6" i="12" s="1"/>
  <c r="C13" i="12"/>
  <c r="D13" i="12" l="1"/>
  <c r="E13" i="12" s="1"/>
</calcChain>
</file>

<file path=xl/sharedStrings.xml><?xml version="1.0" encoding="utf-8"?>
<sst xmlns="http://schemas.openxmlformats.org/spreadsheetml/2006/main" count="675" uniqueCount="106">
  <si>
    <t>D26 ALAJUELA SUR</t>
  </si>
  <si>
    <t>PROGRAMA</t>
  </si>
  <si>
    <t>META</t>
  </si>
  <si>
    <t xml:space="preserve">AVANCE </t>
  </si>
  <si>
    <t>ENERO</t>
  </si>
  <si>
    <t>FEBRERO</t>
  </si>
  <si>
    <t>MARZO</t>
  </si>
  <si>
    <t>ABRIL</t>
  </si>
  <si>
    <t>MAYO</t>
  </si>
  <si>
    <t>JUNIO</t>
  </si>
  <si>
    <t>JULIO</t>
  </si>
  <si>
    <t>AGOSTO</t>
  </si>
  <si>
    <t>SEPTIEMBRE</t>
  </si>
  <si>
    <t>OCTUBRE</t>
  </si>
  <si>
    <t>NOVIEMBRE</t>
  </si>
  <si>
    <t>DICIEMBRE</t>
  </si>
  <si>
    <t>Porcentual</t>
  </si>
  <si>
    <t>Cuatro actividades de recuperación de espacios públicos, con las comunidades integradas al Programa de Seguridad Comunitaria, que se localicen, en los distritos que contemplan las área georreferenciadas del informe territorial de la Estrategia Sembremos Seguridad 2024, dos por año, una por semestre.</t>
  </si>
  <si>
    <t>PSCC</t>
  </si>
  <si>
    <t>Realizar 4 procesos formativos (Cursos de la oferta de los programas DARE - GREAT - MPAS) en Centros Educativos, 2 por año, dentro de los distritos que contemplan las áreas georreferenciadas del informe territorial de la Estrategia Sembremos Seguridad 2024. Un curso diferente por semestre, un nivel completo. En caso de no contar con instructor acreditado DARE, se puede cumplir la meta con las charlas de Habilidades para la vida DARE, con el aval del Coordinador Nacional.</t>
  </si>
  <si>
    <t>GREAT/MPAS/DARE</t>
  </si>
  <si>
    <t>Dos estrategias de divulgación (Por medio de brochures, post o imágenes en redes sociales) en el tema del procedimiento para realizar una "Denuncia de ventas de drogas"  dirigidas a las comunidades integradas al Programa de Seguridad Comunitaria que se localicen, en los distritos que contemplan las área georreferenciadas del informe territorial de la Estrategia Sembremos Seguridad 2024, una por año.</t>
  </si>
  <si>
    <t>Cubrir 4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</si>
  <si>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DARE</t>
  </si>
  <si>
    <t>Cuatro capacitaciones, en el tema de "Denuncia a búnkers",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</si>
  <si>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dirigidas a las comunidades integradas al Programa de Seguridad Comunitaria que se localicen, en los distritos que contemplan las área georreferenciadas del informe territorial de la Estrategia Sembremos Seguridad 2024, una por año.</t>
  </si>
  <si>
    <t>Cuatro Charlas de Cultura Preventiva (Una por año) con énfasis en temas de estafa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</si>
  <si>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ante Estafas"  dirigidas a las comunidades integradas al Programa de Seguridad Comunitaria, que se localicen, en los distritos que contemplan las área georreferenciadas del informe territorial de la Estrategia Sembremos Seguridad 2024, una por año.</t>
  </si>
  <si>
    <t>D27 ALAJUELA NORTE</t>
  </si>
  <si>
    <t>D28 SAN RAMÓN</t>
  </si>
  <si>
    <t>D29 GRECIA</t>
  </si>
  <si>
    <t>Cuatro actividades de recuperación de espacios públicos, dos por año, una por semestre.</t>
  </si>
  <si>
    <t>Dos estrategias de divulgación (Por medio de brochures, post o imágenes en redes sociales) en el tema del procedimiento para realizar una "Denuncia de Ventas de drogas"  dirigida a los comités y comercios que integran los Programas de Seguridad Comunitaria y Comercial en el distrito ; dos veces por año.</t>
  </si>
  <si>
    <t>Dos Charlas de Cultura Preventiva (Una por año) con énfasis en temas de estafa, dirigidas a los comités y comercios del cantón.</t>
  </si>
  <si>
    <t>Dos estrategias de divulgación (Por medio de brochures, post o imágenes en redes sociales) en el tema del procedimiento para realizar una "Denuncia de búnkers"  dirigida al comercio del distrito ; dos veces por año.</t>
  </si>
  <si>
    <t>D30 SAN MATEO</t>
  </si>
  <si>
    <t>Cuatro comercios capacitados e integrados al Programa  de Seguridad Comercial que se localicen, en los distritos que contemplan las área georreferenciadas del informe territorial de la Estrategia Sembremos Seguridad 2024, dos por año, una por semestre.</t>
  </si>
  <si>
    <t>Cuatro estrategias de divulgación (Por medio de brochures, post o imágenes en redes sociales) diseñadas por la Estrategia de divulgación de la Dirección de Programas Policiales Preventivos, en el tema de "Prevención del Consumo de alcohol en vía pública" dirigidas a las comunidades integradas al Programa de Seguridad Comunitaria y a los comercios integrados al Programa de Seguridad Comercial que se localicen, en los distritos que contemplan las área georreferenciadas del informe territorial de la Estrategia Sembremos Seguridad 2024, dos por año.</t>
  </si>
  <si>
    <t>Dos estrategias de divulgación (Por medio de brochures, post o imágenes en redes sociales) en el tema del procedimiento para realizar una "Denuncia de ventas de drogas"  diseñadas por la Estrategia de divulgación de la Dirección de Programas Policiales Preventivos dirigidas a las comunidades integradas al Programa de Seguridad Comunitaria que se localicen, en los distritos que contemplan las área georreferenciadas del informe territorial de la Estrategia Sembremos Seguridad 2024, una por año.</t>
  </si>
  <si>
    <t>D31 ATENAS</t>
  </si>
  <si>
    <t>Cubrir 2 procesos formativos en Centros Educativos (uno por año) ubicados dentro de los distritos que contemplan las áreas georreferenciadas del informe territorial de la Estrategia Sembremos Seguridad 2024, con los cursos del Programa DARE: Curso primaria. Curso Secundaria; un nivel completo por centro educativo, por semestre. En caso de no contar con instructor acreditado, se puede cumplir la meta con las charlas de Habilidades para la vida DARE, con el aval del Coordinador Nacional.</t>
  </si>
  <si>
    <t>D32 NARANJO</t>
  </si>
  <si>
    <t>Cubrir 2 procesos formativos en Centros Educativos (uno por año) ubicados dentro de los distritos que contemplan las áreas georreferenciadas del informe territorial de la Estrategia Sembremos Seguridad 2024, con los cursos del Programa DARE: , Curso primaria. Curso Secundaria; un nivel completo por centro educativo, por semestre. En caso de no contar con instructor acreditado, se puede cumplir la meta con las charlas de Habilidades para la vida DARE, con el aval del Coordinador Nacional.</t>
  </si>
  <si>
    <t>Cuatro comercios capacitados e integrados al Programa de Seguridad Comercial que se localicen, en los distritos que contemplan las áreas georreferenciadas del informe territorial de la Estrategia Sembremos Seguridad 2024, dos por año, una por semestre.</t>
  </si>
  <si>
    <t>D33 PALMARES</t>
  </si>
  <si>
    <t>Cuatro capacitaciones, en el tema de "Cultura Preventiva en zonas de riesgo", dirigidas a las comunidades integradas al Programa de Seguridad Comunitaria que se localicen, en los distritos que contemplan las área georreferenciadas del informe territorial de la Estrategia Sembremos Seguridad 2024, dos por año, una por semestre.</t>
  </si>
  <si>
    <t>Dos estrategias de divulgación (Por medio de brochures, post o imágenes en redes sociales) en el tema del procedimiento para realizar una "Denuncia de búnkers / venta de drogas"  dirigidas a las comunidades integradas al Programa de Seguridad Comunitaria que se localicen, en los distritos que contemplan las área georreferenciadas del informe territorial de la Estrategia Sembremos Seguridad 2024, una por año.</t>
  </si>
  <si>
    <t>D35 OROTINA</t>
  </si>
  <si>
    <t>Cubrir 2 procesos formativos en Centros Educativos (dos por año) ubicados dentro de los distritos que contemplan las áreas georreferenciadas del informe territorial de la Estrategia Sembremos Seguridad 2024, con los cursos del Programa DARE: , Curso primaria. Curso Secundaria; un nivel completo por centro educativo, por año. En caso de no contar con instructor acreditado, se puede cumplir la meta con las charlas de Habilidades para la vida DARE, con el aval del Coordinador Nacional.</t>
  </si>
  <si>
    <t>D36 SARCHÍ</t>
  </si>
  <si>
    <t>Promedio Regional</t>
  </si>
  <si>
    <t>Delegación</t>
  </si>
  <si>
    <t>D26</t>
  </si>
  <si>
    <t>D27</t>
  </si>
  <si>
    <t>D28</t>
  </si>
  <si>
    <t>D29</t>
  </si>
  <si>
    <t>D30</t>
  </si>
  <si>
    <t>D31</t>
  </si>
  <si>
    <t>D32</t>
  </si>
  <si>
    <t>D33</t>
  </si>
  <si>
    <t>D34</t>
  </si>
  <si>
    <t>D35</t>
  </si>
  <si>
    <t>D36</t>
  </si>
  <si>
    <t>ALAJUELA SUR</t>
  </si>
  <si>
    <t>ALAJUELA NORTE</t>
  </si>
  <si>
    <t>SAN RAMÓN</t>
  </si>
  <si>
    <t>GRECIA</t>
  </si>
  <si>
    <t>SAN MATEO</t>
  </si>
  <si>
    <t>ATENAS</t>
  </si>
  <si>
    <t>NARANJO</t>
  </si>
  <si>
    <t>PALMARES</t>
  </si>
  <si>
    <t>POÁS</t>
  </si>
  <si>
    <t>OROTINA</t>
  </si>
  <si>
    <t>SARCHÍ</t>
  </si>
  <si>
    <t>AVANCE</t>
  </si>
  <si>
    <t>D10 Curridabat</t>
  </si>
  <si>
    <t>PLAN DE POLITICA LOCAL E IMPLEMENTACIÓN DE LA POLITICA LOCAL DE SEGURIDAD</t>
  </si>
  <si>
    <t>Conformación Comité</t>
  </si>
  <si>
    <t>Conformación de Comercio</t>
  </si>
  <si>
    <t>Reuniones-Jefaturas</t>
  </si>
  <si>
    <t>Campañas de divulgación</t>
  </si>
  <si>
    <t>Capacitaciones</t>
  </si>
  <si>
    <t>Charlas</t>
  </si>
  <si>
    <t>Talleres</t>
  </si>
  <si>
    <t>Sensibilización</t>
  </si>
  <si>
    <t>Actividades deportivas</t>
  </si>
  <si>
    <t>Cine en mi Barrio</t>
  </si>
  <si>
    <t>Cívico-policial</t>
  </si>
  <si>
    <t>Actividades culturales</t>
  </si>
  <si>
    <t>Ferias</t>
  </si>
  <si>
    <t>Stand informativo</t>
  </si>
  <si>
    <t>Visitas</t>
  </si>
  <si>
    <t>Recuperación del espacio público</t>
  </si>
  <si>
    <t>Convocatoria de Mesas Locales</t>
  </si>
  <si>
    <t>Exposición Informe Territorial ESS</t>
  </si>
  <si>
    <t>Primera Sesión de Trabajo</t>
  </si>
  <si>
    <t>Segunda Sesión - Conformación Secretaria Técnica</t>
  </si>
  <si>
    <t>Tercera Sesión</t>
  </si>
  <si>
    <t>Elaboracióin del Texto de la Política Local</t>
  </si>
  <si>
    <t>Revisión Técnica DPPP</t>
  </si>
  <si>
    <t>Revisión Area Legal Gobierno Local</t>
  </si>
  <si>
    <t>Incorporación de Observaciones</t>
  </si>
  <si>
    <t>Aval del Director Regional</t>
  </si>
  <si>
    <t>Presentación al Consejo Municipal</t>
  </si>
  <si>
    <t>Presentación ante la Comunidad por parte del Director Regional y Alcalde</t>
  </si>
  <si>
    <t>% 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</si>
</sst>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9"/>
      <color rgb="FF000000"/>
      <name val="Calibri"/>
      <family val="2"/>
    </font>
    <font>
      <b/>
      <sz val="9"/>
      <name val="Aptos Narrow"/>
      <family val="2"/>
      <scheme val="minor"/>
    </font>
    <font>
      <sz val="11"/>
      <color rgb="FF000000"/>
      <name val="Aptos Narrow"/>
      <family val="2"/>
      <charset val="1"/>
    </font>
    <font>
      <b/>
      <sz val="9"/>
      <color rgb="FF000000"/>
      <name val="Calibri"/>
      <family val="2"/>
      <charset val="1"/>
    </font>
    <font>
      <b/>
      <sz val="9"/>
      <name val="Aptos Narrow"/>
      <family val="2"/>
      <charset val="1"/>
    </font>
    <font>
      <b/>
      <sz val="11"/>
      <color rgb="FFFFC000"/>
      <name val="Aptos Narrow"/>
      <family val="2"/>
      <scheme val="minor"/>
    </font>
    <font>
      <sz val="11"/>
      <color rgb="FFFFC000"/>
      <name val="Aptos Narrow"/>
      <family val="2"/>
      <scheme val="minor"/>
    </font>
    <font>
      <sz val="8"/>
      <name val="Aptos Narrow"/>
      <family val="2"/>
      <scheme val="minor"/>
    </font>
    <font>
      <sz val="11"/>
      <name val="Aptos Narrow"/>
      <family val="2"/>
      <scheme val="minor"/>
    </font>
    <font>
      <sz val="10"/>
      <color rgb="FF000000"/>
      <name val="Times New Roman"/>
      <family val="1"/>
    </font>
    <font>
      <b/>
      <sz val="9"/>
      <name val="Arial"/>
      <family val="2"/>
    </font>
    <font>
      <b/>
      <sz val="11"/>
      <color theme="3" tint="9.9978637043366805E-2"/>
      <name val="Aptos Narrow"/>
      <family val="2"/>
      <scheme val="minor"/>
    </font>
  </fonts>
  <fills count="21">
    <fill>
      <patternFill patternType="none"/>
    </fill>
    <fill>
      <patternFill patternType="gray125"/>
    </fill>
    <fill>
      <patternFill patternType="solid">
        <fgColor theme="3"/>
        <bgColor indexed="64"/>
      </patternFill>
    </fill>
    <fill>
      <patternFill patternType="solid">
        <fgColor theme="4" tint="0.79998168889431442"/>
        <bgColor indexed="64"/>
      </patternFill>
    </fill>
    <fill>
      <patternFill patternType="solid">
        <fgColor rgb="FFE2EFDA"/>
        <bgColor indexed="64"/>
      </patternFill>
    </fill>
    <fill>
      <patternFill patternType="solid">
        <fgColor theme="9" tint="0.79998168889431442"/>
        <bgColor indexed="64"/>
      </patternFill>
    </fill>
    <fill>
      <patternFill patternType="solid">
        <fgColor rgb="FFFCE4D6"/>
        <bgColor indexed="64"/>
      </patternFill>
    </fill>
    <fill>
      <patternFill patternType="solid">
        <fgColor theme="5" tint="0.79998168889431442"/>
        <bgColor indexed="64"/>
      </patternFill>
    </fill>
    <fill>
      <patternFill patternType="solid">
        <fgColor rgb="FFE2EFD9"/>
        <bgColor indexed="64"/>
      </patternFill>
    </fill>
    <fill>
      <patternFill patternType="solid">
        <fgColor rgb="FFFBE4D5"/>
        <bgColor indexed="64"/>
      </patternFill>
    </fill>
    <fill>
      <patternFill patternType="solid">
        <fgColor rgb="FFC1E5F5"/>
        <bgColor rgb="FFD9F2D0"/>
      </patternFill>
    </fill>
    <fill>
      <patternFill patternType="solid">
        <fgColor rgb="FFE2EFDA"/>
        <bgColor rgb="FFD9F2D0"/>
      </patternFill>
    </fill>
    <fill>
      <patternFill patternType="solid">
        <fgColor rgb="FFD9F2D0"/>
        <bgColor rgb="FFE2EFDA"/>
      </patternFill>
    </fill>
    <fill>
      <patternFill patternType="solid">
        <fgColor rgb="FFFBE3D6"/>
        <bgColor rgb="FFF2F2F2"/>
      </patternFill>
    </fill>
    <fill>
      <patternFill patternType="solid">
        <fgColor theme="0" tint="-0.34998626667073579"/>
        <bgColor indexed="64"/>
      </patternFill>
    </fill>
    <fill>
      <patternFill patternType="solid">
        <fgColor rgb="FFFFC000"/>
        <bgColor indexed="64"/>
      </patternFill>
    </fill>
    <fill>
      <patternFill patternType="solid">
        <fgColor theme="1"/>
        <bgColor indexed="64"/>
      </patternFill>
    </fill>
    <fill>
      <patternFill patternType="solid">
        <fgColor theme="3" tint="-0.249977111117893"/>
        <bgColor indexed="64"/>
      </patternFill>
    </fill>
    <fill>
      <patternFill patternType="solid">
        <fgColor rgb="FFDDEBF7"/>
        <bgColor indexed="64"/>
      </patternFill>
    </fill>
    <fill>
      <patternFill patternType="solid">
        <fgColor theme="4" tint="-0.499984740745262"/>
        <bgColor indexed="64"/>
      </patternFill>
    </fill>
    <fill>
      <patternFill patternType="solid">
        <fgColor theme="0" tint="-0.14999847407452621"/>
        <bgColor indexed="64"/>
      </patternFill>
    </fill>
  </fills>
  <borders count="19">
    <border>
      <left/>
      <right/>
      <top/>
      <bottom/>
      <diagonal/>
    </border>
    <border>
      <left style="medium">
        <color theme="0"/>
      </left>
      <right/>
      <top style="medium">
        <color theme="0"/>
      </top>
      <bottom/>
      <diagonal/>
    </border>
    <border>
      <left style="medium">
        <color theme="0"/>
      </left>
      <right style="medium">
        <color theme="0"/>
      </right>
      <top style="medium">
        <color theme="0"/>
      </top>
      <bottom style="thin">
        <color theme="0"/>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theme="0"/>
      </left>
      <right/>
      <top/>
      <bottom style="medium">
        <color indexed="64"/>
      </bottom>
      <diagonal/>
    </border>
    <border>
      <left style="medium">
        <color theme="0"/>
      </left>
      <right style="medium">
        <color theme="0"/>
      </right>
      <top style="thin">
        <color theme="0"/>
      </top>
      <bottom style="medium">
        <color theme="0"/>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style="thin">
        <color theme="0"/>
      </left>
      <right style="medium">
        <color indexed="64"/>
      </right>
      <top style="thin">
        <color theme="0"/>
      </top>
      <bottom/>
      <diagonal/>
    </border>
    <border>
      <left style="medium">
        <color indexed="64"/>
      </left>
      <right/>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6" fillId="0" borderId="0"/>
    <xf numFmtId="0" fontId="13" fillId="0" borderId="0"/>
  </cellStyleXfs>
  <cellXfs count="68">
    <xf numFmtId="0" fontId="0" fillId="0" borderId="0" xfId="0"/>
    <xf numFmtId="0" fontId="1" fillId="2" borderId="2" xfId="0" applyFont="1" applyFill="1" applyBorder="1" applyAlignment="1">
      <alignment horizontal="center"/>
    </xf>
    <xf numFmtId="0" fontId="0" fillId="0" borderId="0" xfId="0" applyProtection="1">
      <protection locked="0"/>
    </xf>
    <xf numFmtId="0" fontId="3" fillId="0" borderId="0" xfId="0" applyFont="1" applyProtection="1">
      <protection locked="0"/>
    </xf>
    <xf numFmtId="0" fontId="4" fillId="3" borderId="3" xfId="0" applyFont="1" applyFill="1" applyBorder="1" applyAlignment="1">
      <alignment horizontal="left" vertical="center" wrapText="1"/>
    </xf>
    <xf numFmtId="0" fontId="5" fillId="3" borderId="3"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5" fillId="5" borderId="3" xfId="0" applyFont="1" applyFill="1" applyBorder="1" applyAlignment="1">
      <alignment horizontal="center" vertical="center" wrapText="1"/>
    </xf>
    <xf numFmtId="0" fontId="4" fillId="6" borderId="3"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2" fillId="0" borderId="0" xfId="0" applyFont="1" applyProtection="1">
      <protection locked="0"/>
    </xf>
    <xf numFmtId="0" fontId="4" fillId="8" borderId="3" xfId="0" applyFont="1" applyFill="1" applyBorder="1" applyAlignment="1">
      <alignment horizontal="left" vertical="center" wrapText="1"/>
    </xf>
    <xf numFmtId="0" fontId="4" fillId="9" borderId="3" xfId="0" applyFont="1" applyFill="1" applyBorder="1" applyAlignment="1">
      <alignment vertical="center" wrapText="1"/>
    </xf>
    <xf numFmtId="0" fontId="4" fillId="9" borderId="3" xfId="0" applyFont="1" applyFill="1" applyBorder="1" applyAlignment="1">
      <alignment horizontal="left" vertical="center" wrapText="1"/>
    </xf>
    <xf numFmtId="0" fontId="4" fillId="3" borderId="4" xfId="0" applyFont="1" applyFill="1" applyBorder="1" applyAlignment="1">
      <alignment horizontal="left" vertical="center" wrapText="1"/>
    </xf>
    <xf numFmtId="0" fontId="4" fillId="8"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6" fillId="0" borderId="0" xfId="1" applyProtection="1">
      <protection locked="0"/>
    </xf>
    <xf numFmtId="0" fontId="7" fillId="10" borderId="3" xfId="1" applyFont="1" applyFill="1" applyBorder="1" applyAlignment="1">
      <alignment horizontal="left" vertical="center" wrapText="1"/>
    </xf>
    <xf numFmtId="0" fontId="7" fillId="11" borderId="3" xfId="1" applyFont="1" applyFill="1" applyBorder="1" applyAlignment="1">
      <alignment horizontal="left" vertical="center" wrapText="1"/>
    </xf>
    <xf numFmtId="0" fontId="7" fillId="13" borderId="3" xfId="1" applyFont="1" applyFill="1" applyBorder="1" applyAlignment="1">
      <alignment horizontal="left" vertical="center" wrapText="1"/>
    </xf>
    <xf numFmtId="0" fontId="6" fillId="0" borderId="0" xfId="1"/>
    <xf numFmtId="0" fontId="4" fillId="7"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9" fillId="2" borderId="5" xfId="0" applyFont="1" applyFill="1" applyBorder="1"/>
    <xf numFmtId="0" fontId="2" fillId="14" borderId="3" xfId="0" applyFont="1" applyFill="1" applyBorder="1" applyAlignment="1">
      <alignment horizontal="center"/>
    </xf>
    <xf numFmtId="0" fontId="10" fillId="16" borderId="0" xfId="0" applyFont="1" applyFill="1" applyAlignment="1">
      <alignment horizontal="center"/>
    </xf>
    <xf numFmtId="0" fontId="0" fillId="0" borderId="3" xfId="0" applyBorder="1" applyAlignment="1">
      <alignment horizontal="center"/>
    </xf>
    <xf numFmtId="1" fontId="0" fillId="0" borderId="3" xfId="0" applyNumberFormat="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vertical="center"/>
    </xf>
    <xf numFmtId="0" fontId="3" fillId="17" borderId="0" xfId="0" applyFont="1" applyFill="1" applyProtection="1">
      <protection locked="0"/>
    </xf>
    <xf numFmtId="0" fontId="5" fillId="3" borderId="8" xfId="0" applyFont="1" applyFill="1" applyBorder="1" applyAlignment="1">
      <alignment horizontal="center" vertical="center" textRotation="90" wrapText="1"/>
    </xf>
    <xf numFmtId="0" fontId="4" fillId="18" borderId="9" xfId="0" applyFont="1" applyFill="1" applyBorder="1" applyAlignment="1">
      <alignment horizontal="left" vertical="center" wrapText="1"/>
    </xf>
    <xf numFmtId="0" fontId="5" fillId="3" borderId="10" xfId="0" applyFont="1" applyFill="1" applyBorder="1" applyAlignment="1">
      <alignment horizontal="center" vertical="center" wrapText="1"/>
    </xf>
    <xf numFmtId="1" fontId="5" fillId="0" borderId="10" xfId="0" applyNumberFormat="1" applyFont="1" applyBorder="1" applyAlignment="1">
      <alignment horizontal="center" vertical="center" wrapText="1"/>
    </xf>
    <xf numFmtId="0" fontId="2" fillId="0" borderId="3" xfId="0" applyFont="1" applyBorder="1" applyAlignment="1" applyProtection="1">
      <alignment horizontal="center" vertical="center"/>
      <protection locked="0"/>
    </xf>
    <xf numFmtId="0" fontId="5" fillId="5" borderId="11" xfId="0" applyFont="1" applyFill="1" applyBorder="1" applyAlignment="1">
      <alignment horizontal="center" vertical="center" textRotation="90" wrapText="1"/>
    </xf>
    <xf numFmtId="0" fontId="4" fillId="4" borderId="4" xfId="0" applyFont="1" applyFill="1" applyBorder="1" applyAlignment="1">
      <alignment horizontal="left" vertical="center" wrapText="1"/>
    </xf>
    <xf numFmtId="0" fontId="5" fillId="5" borderId="12" xfId="0" applyFont="1" applyFill="1" applyBorder="1" applyAlignment="1">
      <alignment horizontal="center" vertical="center" wrapText="1"/>
    </xf>
    <xf numFmtId="0" fontId="5" fillId="7" borderId="11" xfId="0" applyFont="1" applyFill="1" applyBorder="1" applyAlignment="1">
      <alignment horizontal="center" vertical="center" textRotation="90" wrapText="1"/>
    </xf>
    <xf numFmtId="0" fontId="5" fillId="7" borderId="12" xfId="0" applyFont="1" applyFill="1" applyBorder="1" applyAlignment="1">
      <alignment horizontal="center" vertical="center" wrapText="1"/>
    </xf>
    <xf numFmtId="0" fontId="5" fillId="3" borderId="11" xfId="0" applyFont="1" applyFill="1" applyBorder="1" applyAlignment="1">
      <alignment horizontal="center" vertical="center" textRotation="90" wrapText="1"/>
    </xf>
    <xf numFmtId="0" fontId="4" fillId="18" borderId="4" xfId="0" applyFont="1" applyFill="1" applyBorder="1" applyAlignment="1">
      <alignment horizontal="left" vertical="center" wrapText="1"/>
    </xf>
    <xf numFmtId="0" fontId="5" fillId="3" borderId="12" xfId="0" applyFont="1" applyFill="1" applyBorder="1" applyAlignment="1">
      <alignment horizontal="center" vertical="center" wrapText="1"/>
    </xf>
    <xf numFmtId="0" fontId="1" fillId="19" borderId="14" xfId="0" applyFont="1" applyFill="1" applyBorder="1" applyAlignment="1">
      <alignment horizontal="left" vertical="center" wrapText="1"/>
    </xf>
    <xf numFmtId="0" fontId="0" fillId="0" borderId="3" xfId="0" applyBorder="1" applyProtection="1">
      <protection locked="0"/>
    </xf>
    <xf numFmtId="0" fontId="14" fillId="20" borderId="16" xfId="0" applyFont="1" applyFill="1" applyBorder="1" applyAlignment="1">
      <alignment horizontal="left" vertical="center" wrapText="1"/>
    </xf>
    <xf numFmtId="0" fontId="14" fillId="20" borderId="18" xfId="0" applyFont="1" applyFill="1" applyBorder="1" applyAlignment="1">
      <alignment horizontal="left" vertical="center" wrapText="1"/>
    </xf>
    <xf numFmtId="0" fontId="2" fillId="0" borderId="3" xfId="0" applyFont="1" applyBorder="1" applyAlignment="1" applyProtection="1">
      <alignment horizontal="center"/>
      <protection locked="0"/>
    </xf>
    <xf numFmtId="1" fontId="2" fillId="0" borderId="3" xfId="0" applyNumberFormat="1" applyFont="1" applyBorder="1" applyAlignment="1" applyProtection="1">
      <alignment horizontal="center" vertical="center"/>
      <protection locked="0"/>
    </xf>
    <xf numFmtId="10" fontId="1" fillId="19" borderId="0" xfId="0" applyNumberFormat="1" applyFont="1" applyFill="1" applyAlignment="1" applyProtection="1">
      <alignment horizontal="center"/>
      <protection locked="0"/>
    </xf>
    <xf numFmtId="0" fontId="5" fillId="3" borderId="3" xfId="0" applyFont="1" applyFill="1" applyBorder="1" applyAlignment="1">
      <alignment horizontal="center" vertical="center" textRotation="90" wrapText="1"/>
    </xf>
    <xf numFmtId="0" fontId="5" fillId="5" borderId="3" xfId="0" applyFont="1" applyFill="1" applyBorder="1" applyAlignment="1">
      <alignment horizontal="center" vertical="center" textRotation="90" wrapText="1"/>
    </xf>
    <xf numFmtId="0" fontId="5" fillId="7" borderId="3" xfId="0" applyFont="1" applyFill="1" applyBorder="1" applyAlignment="1">
      <alignment horizontal="center" vertical="center" textRotation="90" wrapText="1"/>
    </xf>
    <xf numFmtId="0" fontId="4" fillId="8" borderId="4" xfId="0" applyFont="1" applyFill="1" applyBorder="1" applyAlignment="1">
      <alignment horizontal="center" vertical="center" textRotation="90" wrapText="1"/>
    </xf>
    <xf numFmtId="0" fontId="8" fillId="10" borderId="3" xfId="1" applyFont="1" applyFill="1" applyBorder="1" applyAlignment="1">
      <alignment horizontal="center" vertical="center" textRotation="90" wrapText="1"/>
    </xf>
    <xf numFmtId="0" fontId="8" fillId="12" borderId="3" xfId="1" applyFont="1" applyFill="1" applyBorder="1" applyAlignment="1">
      <alignment horizontal="center" vertical="center" textRotation="90" wrapText="1"/>
    </xf>
    <xf numFmtId="0" fontId="8" fillId="13" borderId="3" xfId="1" applyFont="1" applyFill="1" applyBorder="1" applyAlignment="1">
      <alignment horizontal="center" vertical="center" textRotation="90" wrapText="1"/>
    </xf>
    <xf numFmtId="10" fontId="0" fillId="0" borderId="3" xfId="0" applyNumberFormat="1" applyBorder="1" applyAlignment="1">
      <alignment horizontal="center"/>
    </xf>
    <xf numFmtId="1" fontId="15" fillId="15" borderId="0" xfId="0" applyNumberFormat="1" applyFont="1" applyFill="1" applyAlignment="1">
      <alignment horizontal="center"/>
    </xf>
    <xf numFmtId="0" fontId="12" fillId="0" borderId="3" xfId="0" applyFont="1" applyFill="1" applyBorder="1"/>
    <xf numFmtId="0" fontId="1" fillId="2" borderId="1" xfId="0" applyFont="1" applyFill="1" applyBorder="1" applyAlignment="1">
      <alignment horizontal="center" vertical="center" textRotation="90"/>
    </xf>
    <xf numFmtId="0" fontId="1" fillId="2" borderId="6" xfId="0" applyFont="1" applyFill="1" applyBorder="1" applyAlignment="1">
      <alignment horizontal="center" vertical="center" textRotation="90"/>
    </xf>
    <xf numFmtId="0" fontId="5" fillId="3" borderId="13" xfId="0" applyFont="1" applyFill="1" applyBorder="1" applyAlignment="1">
      <alignment horizontal="center" vertical="center" textRotation="90" wrapText="1"/>
    </xf>
    <xf numFmtId="0" fontId="5" fillId="3" borderId="15" xfId="0" applyFont="1" applyFill="1" applyBorder="1" applyAlignment="1">
      <alignment horizontal="center" vertical="center" textRotation="90" wrapText="1"/>
    </xf>
    <xf numFmtId="0" fontId="5" fillId="3" borderId="17" xfId="0" applyFont="1" applyFill="1" applyBorder="1" applyAlignment="1">
      <alignment horizontal="center" vertical="center" textRotation="90" wrapText="1"/>
    </xf>
    <xf numFmtId="0" fontId="10" fillId="16" borderId="3" xfId="0" applyFont="1" applyFill="1" applyBorder="1" applyAlignment="1">
      <alignment horizontal="center"/>
    </xf>
  </cellXfs>
  <cellStyles count="3">
    <cellStyle name="Normal" xfId="0" builtinId="0"/>
    <cellStyle name="Normal 2" xfId="1" xr:uid="{00000000-0005-0000-0000-000001000000}"/>
    <cellStyle name="Normal 2 2" xfId="2" xr:uid="{00000000-0005-0000-0000-000002000000}"/>
  </cellStyles>
  <dxfs count="35">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27%20ALAJUELA%20NORTE%20-JUNIO.xlsx?67D56B24" TargetMode="External"/><Relationship Id="rId1" Type="http://schemas.openxmlformats.org/officeDocument/2006/relationships/externalLinkPath" Target="file:///\\67D56B24\DR2-PUMI-D27%20ALAJUELA%20NORTE%20-JUNIO.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28%20SAN%20RAM&#211;N-JUNIO.xlsx?67D56B24" TargetMode="External"/><Relationship Id="rId1" Type="http://schemas.openxmlformats.org/officeDocument/2006/relationships/externalLinkPath" Target="file:///\\67D56B24\DR2-PUMI-D28%20SAN%20RAM&#211;N-JUNIO.xlsx"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29%20GRECIA-JUNIO.xlsx?67D56B24" TargetMode="External"/><Relationship Id="rId1" Type="http://schemas.openxmlformats.org/officeDocument/2006/relationships/externalLinkPath" Target="file:///\\67D56B24\DR2-PUMI-D29%20GRECIA-JUNIO.xlsx"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20PUMI-D30%20SAN%20MATEO.JUNIO%20(1).xlsx?67D56B24" TargetMode="External"/><Relationship Id="rId1" Type="http://schemas.openxmlformats.org/officeDocument/2006/relationships/externalLinkPath" Target="file:///\\67D56B24\DR2%20PUMI-D30%20SAN%20MATEO.JUNIO%20(1).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31%20ATENAS-JUNIO.xlsx?67D56B24" TargetMode="External"/><Relationship Id="rId1" Type="http://schemas.openxmlformats.org/officeDocument/2006/relationships/externalLinkPath" Target="file:///\\67D56B24\DR2-PUMID31%20ATENAS-JUNIO.xlsx" TargetMode="External"/></Relationships>
</file>

<file path=xl/externalLinks/_rels/externalLink6.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32%20NARANJO%20-JUNIO.xlsx?67D56B24" TargetMode="External"/><Relationship Id="rId1" Type="http://schemas.openxmlformats.org/officeDocument/2006/relationships/externalLinkPath" Target="file:///\\67D56B24\DR2-PUMI-D32%20NARANJO%20-JUNIO.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33%20PALMARES-JUNIO%20(1).xlsx?67D56B24" TargetMode="External"/><Relationship Id="rId1" Type="http://schemas.openxmlformats.org/officeDocument/2006/relationships/externalLinkPath" Target="file:///\\67D56B24\DR2-PUMI-D33%20PALMARES-JUNIO%20(1).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34%20POAS-JUNIO.xlsx?67D56B24" TargetMode="External"/><Relationship Id="rId1" Type="http://schemas.openxmlformats.org/officeDocument/2006/relationships/externalLinkPath" Target="file:///\\67D56B24\DR2-PUMI-D34%20POAS-JUNIO.xlsx" TargetMode="External"/></Relationships>
</file>

<file path=xl/externalLinks/_rels/externalLink9.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35%20OROTINA-JUNIO%20(1).xlsx?67D56B24" TargetMode="External"/><Relationship Id="rId1" Type="http://schemas.openxmlformats.org/officeDocument/2006/relationships/externalLinkPath" Target="file:///\\67D56B24\DR2-PUMI-D35%20OROTINA-JUNIO%20(1).xlsx"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36%20SARCHI-JUNIO%20(1).xlsx?67D56B24" TargetMode="External"/><Relationship Id="rId1" Type="http://schemas.openxmlformats.org/officeDocument/2006/relationships/externalLinkPath" Target="file:///\\67D56B24\DR2-PUMI-D36%20SARCHI-JUNIO%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3ad020c316d05c7c/Escritorio/Avance%20Planificaci&#243;n%20Diferenciada%20Nacional%202025/Actividad%204%20Planificaci&#243;n%20Diferenciada/16.%20PUMI%202025/II%20TRIMESTRE/JUNIO/DR1%20CENTRAL/D1%20Carmen%20PUMI%202025%20Junio.xlsx"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https://d.docs.live.net/3ad020c316d05c7c/Escritorio/Avance%20Planificaci&#243;n%20Diferenciada%20Nacional%202025/Actividad%204%20Planificaci&#243;n%20Diferenciada/16.%20PUMI%202025-20250705T021243Z-1-001/16.%20PUMI%202025/II%20TRIMESTRE/JUNIO/DR2/DR2-PUMI-D26%20ALAJUELA%20SUR-JUNIO.xlsx?67D56B24" TargetMode="External"/><Relationship Id="rId1" Type="http://schemas.openxmlformats.org/officeDocument/2006/relationships/externalLinkPath" Target="file:///\\67D56B24\DR2-PUMI-D26%20ALAJUELA%20SUR-JU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7 Alajuela Norte PSCC "/>
      <sheetName val="D27 Alajuela Norte VIF"/>
      <sheetName val="D27 Alajuela Norte DARE"/>
      <sheetName val="D27 Alajuela Norter GREAT"/>
      <sheetName val="D27 Alajuela Norte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8 San Ramón PSCC "/>
      <sheetName val="D28 San Ramónr VIF"/>
      <sheetName val="D28 San Ramónr DARE"/>
      <sheetName val="D28 San Ramón GREAT"/>
      <sheetName val="D28 San Ramón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9 GRECIA PSCC "/>
      <sheetName val="D29 GRECIA VIF"/>
      <sheetName val="D29 GRECIA DARE"/>
      <sheetName val="D29 GRECIA GREAT"/>
      <sheetName val="D29 GRECI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0 San Mateo PSCC "/>
      <sheetName val="D30 San Mateor VIF"/>
      <sheetName val="D30 San Mateo DARE"/>
      <sheetName val="D30 San Mateo GREAT"/>
      <sheetName val="D30 San Mate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1 Atenas PSCC "/>
      <sheetName val="D31 Atenas VIF"/>
      <sheetName val="D31 Atenas DARE"/>
      <sheetName val="D31 Atenas GREAT"/>
      <sheetName val="D31 Atena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2 Naranjo PSCC "/>
      <sheetName val="D32 Naranjo VIF"/>
      <sheetName val="D32 Naranjo DARE"/>
      <sheetName val="D32 Naranjo GREAT"/>
      <sheetName val="D32 Naranjo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3 Palmares PSCC "/>
      <sheetName val="D33 Palmares VIF"/>
      <sheetName val="D33 Palmares DARE"/>
      <sheetName val="D33 Palmares GREAT"/>
      <sheetName val="D33 Palmare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4 Poás PSCC "/>
      <sheetName val="D34 Poás VIF"/>
      <sheetName val="D34 Poás DARE"/>
      <sheetName val="D34 Poás GREAT"/>
      <sheetName val="D34 Poás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5 Orotina PSCC "/>
      <sheetName val="D35 Orotina VIF"/>
      <sheetName val="D35 Orotina DARE"/>
      <sheetName val="D35 Orotina GREAT"/>
      <sheetName val="D35 Orotina MPAS"/>
      <sheetName val="Totales PDIF"/>
      <sheetName val="Totales Política Pública"/>
      <sheetName val="DAT1"/>
      <sheetName val="DAT2"/>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36 Sarchí PSCC "/>
      <sheetName val="D36 SarchíVIF"/>
      <sheetName val="D36 Sarchí DARE"/>
      <sheetName val="D36 Sarchí GREAT"/>
      <sheetName val="D36 Sarchí MPAS"/>
      <sheetName val="Totales PDIF"/>
      <sheetName val="Totales Política Pública"/>
      <sheetName val="DAT1"/>
      <sheetName val="DAT2"/>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01 Carmen PSCC "/>
      <sheetName val="D01 VIF"/>
      <sheetName val="D01 Carmen DARE"/>
      <sheetName val="D01 Carmen GREAT"/>
      <sheetName val="D01 Carmen MPAS"/>
      <sheetName val="Totales PDIF"/>
      <sheetName val="Totales Política Pública"/>
      <sheetName val="DAT1"/>
      <sheetName val="DAT2"/>
      <sheetName val="D1 Carmen PUMI 2025 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26 Alajuela Sur PSCC "/>
      <sheetName val="D26 Alajuela Sur VIF"/>
      <sheetName val="D26 Alajuela Sur DARE"/>
      <sheetName val="D26 Alajuela Sur GREAT"/>
      <sheetName val="D26 Alajuela Sur MPAS"/>
      <sheetName val="Totales PDIF"/>
      <sheetName val="Totales Política Pública"/>
      <sheetName val="DAT1"/>
      <sheetName val="DAT2"/>
      <sheetName val="DR2-PUMI-D26 ALAJUELA SUR-JUNI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40"/>
  <sheetViews>
    <sheetView tabSelected="1" topLeftCell="A2" zoomScale="60" zoomScaleNormal="60" workbookViewId="0">
      <selection activeCell="R6" sqref="R6"/>
    </sheetView>
  </sheetViews>
  <sheetFormatPr baseColWidth="10" defaultColWidth="11.42578125" defaultRowHeight="15" x14ac:dyDescent="0.25"/>
  <cols>
    <col min="1" max="1" width="8.140625" style="2" customWidth="1"/>
    <col min="2" max="2" width="88.5703125" style="2" customWidth="1"/>
    <col min="3" max="3" width="11.42578125" style="2"/>
    <col min="4" max="4" width="22.42578125" style="2" customWidth="1"/>
    <col min="5" max="8" width="17.28515625" style="2" customWidth="1"/>
    <col min="9" max="16384" width="11.42578125" style="2"/>
  </cols>
  <sheetData>
    <row r="1" spans="1:16" ht="61.5" customHeight="1" x14ac:dyDescent="0.25">
      <c r="A1" s="62" t="s">
        <v>1</v>
      </c>
      <c r="B1" s="29" t="s">
        <v>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x14ac:dyDescent="0.25">
      <c r="A3" s="52" t="s">
        <v>18</v>
      </c>
      <c r="B3" s="4" t="s">
        <v>17</v>
      </c>
      <c r="C3" s="34">
        <v>2</v>
      </c>
      <c r="D3" s="35">
        <f t="shared" ref="D3:D10" si="0">SUM(E3:P3)</f>
        <v>0</v>
      </c>
      <c r="E3" s="36"/>
      <c r="F3" s="36"/>
      <c r="G3" s="36"/>
      <c r="H3" s="36"/>
      <c r="I3" s="36"/>
      <c r="J3" s="36"/>
      <c r="K3" s="36"/>
      <c r="L3" s="36"/>
      <c r="M3" s="36"/>
      <c r="N3" s="36"/>
      <c r="O3" s="36"/>
      <c r="P3" s="36"/>
    </row>
    <row r="4" spans="1:16" ht="81" customHeight="1" x14ac:dyDescent="0.25">
      <c r="A4" s="53" t="s">
        <v>20</v>
      </c>
      <c r="B4" s="6" t="s">
        <v>19</v>
      </c>
      <c r="C4" s="39">
        <v>2</v>
      </c>
      <c r="D4" s="35">
        <f t="shared" si="0"/>
        <v>1</v>
      </c>
      <c r="E4" s="36">
        <v>0</v>
      </c>
      <c r="F4" s="36">
        <v>0</v>
      </c>
      <c r="G4" s="36">
        <v>0</v>
      </c>
      <c r="H4" s="36">
        <v>0</v>
      </c>
      <c r="I4" s="36">
        <v>1</v>
      </c>
      <c r="J4" s="36"/>
      <c r="K4" s="36"/>
      <c r="L4" s="36"/>
      <c r="M4" s="36"/>
      <c r="N4" s="36"/>
      <c r="O4" s="36"/>
      <c r="P4" s="36"/>
    </row>
    <row r="5" spans="1:16" ht="81" customHeight="1" x14ac:dyDescent="0.25">
      <c r="A5" s="52" t="s">
        <v>18</v>
      </c>
      <c r="B5" s="4" t="s">
        <v>21</v>
      </c>
      <c r="C5" s="41">
        <v>1</v>
      </c>
      <c r="D5" s="35">
        <f t="shared" si="0"/>
        <v>1</v>
      </c>
      <c r="E5" s="36"/>
      <c r="F5" s="36"/>
      <c r="G5" s="36">
        <v>1</v>
      </c>
      <c r="H5" s="36"/>
      <c r="I5" s="36"/>
      <c r="J5" s="36"/>
      <c r="K5" s="36"/>
      <c r="L5" s="36"/>
      <c r="M5" s="36"/>
      <c r="N5" s="36"/>
      <c r="O5" s="36"/>
      <c r="P5" s="36"/>
    </row>
    <row r="6" spans="1:16" ht="81" customHeight="1" x14ac:dyDescent="0.25">
      <c r="A6" s="54" t="s">
        <v>23</v>
      </c>
      <c r="B6" s="8" t="s">
        <v>22</v>
      </c>
      <c r="C6" s="44">
        <v>2</v>
      </c>
      <c r="D6" s="35">
        <f t="shared" si="0"/>
        <v>1</v>
      </c>
      <c r="E6" s="36">
        <v>0</v>
      </c>
      <c r="F6" s="36">
        <v>0</v>
      </c>
      <c r="G6" s="36">
        <v>0</v>
      </c>
      <c r="H6" s="36">
        <v>1</v>
      </c>
      <c r="I6" s="36"/>
      <c r="J6" s="36"/>
      <c r="K6" s="36"/>
      <c r="L6" s="36"/>
      <c r="M6" s="36"/>
      <c r="N6" s="36"/>
      <c r="O6" s="36"/>
      <c r="P6" s="36"/>
    </row>
    <row r="7" spans="1:16" ht="81" customHeight="1" x14ac:dyDescent="0.25">
      <c r="A7" s="52" t="s">
        <v>18</v>
      </c>
      <c r="B7" s="4" t="s">
        <v>24</v>
      </c>
      <c r="C7" s="44">
        <v>2</v>
      </c>
      <c r="D7" s="35">
        <f t="shared" si="0"/>
        <v>1</v>
      </c>
      <c r="E7" s="36"/>
      <c r="F7" s="36"/>
      <c r="G7" s="36">
        <v>1</v>
      </c>
      <c r="H7" s="36"/>
      <c r="I7" s="36"/>
      <c r="J7" s="36"/>
      <c r="K7" s="36"/>
      <c r="L7" s="36"/>
      <c r="M7" s="36"/>
      <c r="N7" s="36"/>
      <c r="O7" s="36"/>
      <c r="P7" s="36"/>
    </row>
    <row r="8" spans="1:16" ht="81" customHeight="1" x14ac:dyDescent="0.25">
      <c r="A8" s="52" t="s">
        <v>18</v>
      </c>
      <c r="B8" s="4" t="s">
        <v>25</v>
      </c>
      <c r="C8" s="44">
        <v>1</v>
      </c>
      <c r="D8" s="35">
        <f t="shared" si="0"/>
        <v>0</v>
      </c>
      <c r="E8" s="36"/>
      <c r="F8" s="36"/>
      <c r="G8" s="36"/>
      <c r="H8" s="36"/>
      <c r="I8" s="36"/>
      <c r="J8" s="36"/>
      <c r="K8" s="36"/>
      <c r="L8" s="36"/>
      <c r="M8" s="36"/>
      <c r="N8" s="36"/>
      <c r="O8" s="36"/>
      <c r="P8" s="36"/>
    </row>
    <row r="9" spans="1:16" ht="81" customHeight="1" x14ac:dyDescent="0.25">
      <c r="A9" s="52" t="s">
        <v>18</v>
      </c>
      <c r="B9" s="4" t="s">
        <v>26</v>
      </c>
      <c r="C9" s="44">
        <v>2</v>
      </c>
      <c r="D9" s="35">
        <f t="shared" si="0"/>
        <v>1</v>
      </c>
      <c r="E9" s="36"/>
      <c r="F9" s="36"/>
      <c r="G9" s="36">
        <v>1</v>
      </c>
      <c r="H9" s="36"/>
      <c r="I9" s="36"/>
      <c r="J9" s="36"/>
      <c r="K9" s="36"/>
      <c r="L9" s="36"/>
      <c r="M9" s="36"/>
      <c r="N9" s="36"/>
      <c r="O9" s="36"/>
      <c r="P9" s="36"/>
    </row>
    <row r="10" spans="1:16" ht="81" customHeight="1" x14ac:dyDescent="0.25">
      <c r="A10" s="52" t="s">
        <v>18</v>
      </c>
      <c r="B10" s="4" t="s">
        <v>27</v>
      </c>
      <c r="C10" s="44">
        <v>1</v>
      </c>
      <c r="D10" s="35">
        <f t="shared" si="0"/>
        <v>0</v>
      </c>
      <c r="E10" s="36"/>
      <c r="F10" s="36"/>
      <c r="G10" s="36"/>
      <c r="H10" s="36"/>
      <c r="I10" s="36"/>
      <c r="J10" s="36"/>
      <c r="K10" s="36"/>
      <c r="L10" s="36"/>
      <c r="M10" s="36"/>
      <c r="N10" s="36"/>
      <c r="O10" s="36"/>
      <c r="P10" s="36"/>
    </row>
    <row r="11" spans="1:16" ht="28.5" customHeight="1" x14ac:dyDescent="0.25">
      <c r="A11" s="64" t="s">
        <v>76</v>
      </c>
      <c r="B11" s="45" t="s">
        <v>77</v>
      </c>
      <c r="C11" s="44">
        <v>3</v>
      </c>
      <c r="D11" s="35">
        <f t="shared" ref="D11:D38" si="1">SUM(E11:O11)</f>
        <v>3</v>
      </c>
      <c r="E11" s="36"/>
      <c r="F11" s="36"/>
      <c r="G11" s="36"/>
      <c r="H11" s="36">
        <v>3</v>
      </c>
      <c r="I11" s="36"/>
      <c r="J11" s="36"/>
      <c r="K11" s="36"/>
      <c r="L11" s="36"/>
      <c r="M11" s="36"/>
      <c r="N11" s="36"/>
      <c r="O11" s="36"/>
      <c r="P11" s="46"/>
    </row>
    <row r="12" spans="1:16" ht="28.5" customHeight="1" x14ac:dyDescent="0.25">
      <c r="A12" s="65"/>
      <c r="B12" s="45" t="s">
        <v>78</v>
      </c>
      <c r="C12" s="44">
        <v>3</v>
      </c>
      <c r="D12" s="35">
        <f t="shared" si="1"/>
        <v>2</v>
      </c>
      <c r="E12" s="36"/>
      <c r="F12" s="36"/>
      <c r="G12" s="36">
        <v>2</v>
      </c>
      <c r="H12" s="36"/>
      <c r="I12" s="36"/>
      <c r="J12" s="36"/>
      <c r="K12" s="36"/>
      <c r="L12" s="36"/>
      <c r="M12" s="36"/>
      <c r="N12" s="36"/>
      <c r="O12" s="36"/>
      <c r="P12" s="46"/>
    </row>
    <row r="13" spans="1:16" ht="28.5" customHeight="1" x14ac:dyDescent="0.25">
      <c r="A13" s="65"/>
      <c r="B13" s="45" t="s">
        <v>79</v>
      </c>
      <c r="C13" s="44">
        <v>112</v>
      </c>
      <c r="D13" s="35">
        <f t="shared" si="1"/>
        <v>33</v>
      </c>
      <c r="E13" s="36">
        <v>1</v>
      </c>
      <c r="F13" s="36">
        <v>12</v>
      </c>
      <c r="G13" s="36">
        <v>4</v>
      </c>
      <c r="H13" s="36">
        <v>9</v>
      </c>
      <c r="I13" s="36">
        <v>7</v>
      </c>
      <c r="J13" s="36"/>
      <c r="K13" s="36"/>
      <c r="L13" s="36"/>
      <c r="M13" s="36"/>
      <c r="N13" s="36"/>
      <c r="O13" s="36"/>
      <c r="P13" s="46"/>
    </row>
    <row r="14" spans="1:16" ht="28.5" customHeight="1" x14ac:dyDescent="0.25">
      <c r="A14" s="65"/>
      <c r="B14" s="45" t="s">
        <v>80</v>
      </c>
      <c r="C14" s="44">
        <v>98</v>
      </c>
      <c r="D14" s="35">
        <f t="shared" si="1"/>
        <v>8</v>
      </c>
      <c r="E14" s="36"/>
      <c r="F14" s="36"/>
      <c r="G14" s="36">
        <v>8</v>
      </c>
      <c r="H14" s="36"/>
      <c r="I14" s="36"/>
      <c r="J14" s="36"/>
      <c r="K14" s="36"/>
      <c r="L14" s="36"/>
      <c r="M14" s="36"/>
      <c r="N14" s="36"/>
      <c r="O14" s="36"/>
      <c r="P14" s="46"/>
    </row>
    <row r="15" spans="1:16" ht="28.5" customHeight="1" x14ac:dyDescent="0.25">
      <c r="A15" s="65"/>
      <c r="B15" s="45" t="s">
        <v>81</v>
      </c>
      <c r="C15" s="44">
        <v>0</v>
      </c>
      <c r="D15" s="35">
        <f t="shared" si="1"/>
        <v>0</v>
      </c>
      <c r="E15" s="36"/>
      <c r="F15" s="36"/>
      <c r="G15" s="36"/>
      <c r="H15" s="36"/>
      <c r="I15" s="36"/>
      <c r="J15" s="36"/>
      <c r="K15" s="36"/>
      <c r="L15" s="36"/>
      <c r="M15" s="36"/>
      <c r="N15" s="36"/>
      <c r="O15" s="36"/>
      <c r="P15" s="46"/>
    </row>
    <row r="16" spans="1:16" ht="28.5" customHeight="1" x14ac:dyDescent="0.25">
      <c r="A16" s="65"/>
      <c r="B16" s="45" t="s">
        <v>82</v>
      </c>
      <c r="C16" s="44">
        <v>19</v>
      </c>
      <c r="D16" s="35">
        <f t="shared" si="1"/>
        <v>0</v>
      </c>
      <c r="E16" s="36"/>
      <c r="F16" s="36"/>
      <c r="G16" s="36"/>
      <c r="H16" s="36"/>
      <c r="I16" s="36"/>
      <c r="J16" s="36"/>
      <c r="K16" s="36"/>
      <c r="L16" s="36"/>
      <c r="M16" s="36"/>
      <c r="N16" s="36"/>
      <c r="O16" s="36"/>
      <c r="P16" s="46"/>
    </row>
    <row r="17" spans="1:16" ht="28.5" customHeight="1" x14ac:dyDescent="0.25">
      <c r="A17" s="65"/>
      <c r="B17" s="45" t="s">
        <v>83</v>
      </c>
      <c r="C17" s="44">
        <v>0</v>
      </c>
      <c r="D17" s="35">
        <f t="shared" si="1"/>
        <v>0</v>
      </c>
      <c r="E17" s="36"/>
      <c r="F17" s="36"/>
      <c r="G17" s="36"/>
      <c r="H17" s="36"/>
      <c r="I17" s="36"/>
      <c r="J17" s="36"/>
      <c r="K17" s="36"/>
      <c r="L17" s="36"/>
      <c r="M17" s="36"/>
      <c r="N17" s="36"/>
      <c r="O17" s="36"/>
      <c r="P17" s="46"/>
    </row>
    <row r="18" spans="1:16" ht="28.5" customHeight="1" x14ac:dyDescent="0.25">
      <c r="A18" s="65"/>
      <c r="B18" s="45" t="s">
        <v>84</v>
      </c>
      <c r="C18" s="44">
        <v>1</v>
      </c>
      <c r="D18" s="35">
        <f t="shared" si="1"/>
        <v>0</v>
      </c>
      <c r="E18" s="36"/>
      <c r="F18" s="36"/>
      <c r="G18" s="36"/>
      <c r="H18" s="36"/>
      <c r="I18" s="36"/>
      <c r="J18" s="36"/>
      <c r="K18" s="36"/>
      <c r="L18" s="36"/>
      <c r="M18" s="36"/>
      <c r="N18" s="36"/>
      <c r="O18" s="36"/>
      <c r="P18" s="46"/>
    </row>
    <row r="19" spans="1:16" ht="28.5" customHeight="1" x14ac:dyDescent="0.25">
      <c r="A19" s="65"/>
      <c r="B19" s="45" t="s">
        <v>85</v>
      </c>
      <c r="C19" s="44">
        <v>1</v>
      </c>
      <c r="D19" s="35">
        <f t="shared" si="1"/>
        <v>0</v>
      </c>
      <c r="E19" s="36"/>
      <c r="F19" s="36"/>
      <c r="G19" s="36"/>
      <c r="H19" s="36"/>
      <c r="I19" s="36"/>
      <c r="J19" s="36"/>
      <c r="K19" s="36"/>
      <c r="L19" s="36"/>
      <c r="M19" s="36"/>
      <c r="N19" s="36"/>
      <c r="O19" s="36"/>
      <c r="P19" s="46"/>
    </row>
    <row r="20" spans="1:16" ht="28.5" customHeight="1" x14ac:dyDescent="0.25">
      <c r="A20" s="65"/>
      <c r="B20" s="45" t="s">
        <v>86</v>
      </c>
      <c r="C20" s="44">
        <v>1</v>
      </c>
      <c r="D20" s="35">
        <f t="shared" si="1"/>
        <v>1</v>
      </c>
      <c r="E20" s="36">
        <v>1</v>
      </c>
      <c r="F20" s="36"/>
      <c r="G20" s="36"/>
      <c r="H20" s="36"/>
      <c r="I20" s="36"/>
      <c r="J20" s="36"/>
      <c r="K20" s="36"/>
      <c r="L20" s="36"/>
      <c r="M20" s="36"/>
      <c r="N20" s="36"/>
      <c r="O20" s="36"/>
      <c r="P20" s="46"/>
    </row>
    <row r="21" spans="1:16" ht="28.5" customHeight="1" x14ac:dyDescent="0.25">
      <c r="A21" s="65"/>
      <c r="B21" s="45" t="s">
        <v>87</v>
      </c>
      <c r="C21" s="44">
        <v>0</v>
      </c>
      <c r="D21" s="35">
        <f t="shared" si="1"/>
        <v>0</v>
      </c>
      <c r="E21" s="36"/>
      <c r="F21" s="36"/>
      <c r="G21" s="36"/>
      <c r="H21" s="36"/>
      <c r="I21" s="36"/>
      <c r="J21" s="36"/>
      <c r="K21" s="36"/>
      <c r="L21" s="36"/>
      <c r="M21" s="36"/>
      <c r="N21" s="36"/>
      <c r="O21" s="36"/>
      <c r="P21" s="46"/>
    </row>
    <row r="22" spans="1:16" ht="28.5" customHeight="1" x14ac:dyDescent="0.25">
      <c r="A22" s="65"/>
      <c r="B22" s="45" t="s">
        <v>88</v>
      </c>
      <c r="C22" s="44">
        <v>0</v>
      </c>
      <c r="D22" s="35">
        <f t="shared" si="1"/>
        <v>0</v>
      </c>
      <c r="E22" s="36"/>
      <c r="F22" s="36"/>
      <c r="G22" s="36"/>
      <c r="H22" s="36"/>
      <c r="I22" s="36"/>
      <c r="J22" s="36"/>
      <c r="K22" s="36"/>
      <c r="L22" s="36"/>
      <c r="M22" s="36"/>
      <c r="N22" s="36"/>
      <c r="O22" s="36"/>
      <c r="P22" s="46"/>
    </row>
    <row r="23" spans="1:16" ht="28.5" customHeight="1" x14ac:dyDescent="0.25">
      <c r="A23" s="65"/>
      <c r="B23" s="45" t="s">
        <v>89</v>
      </c>
      <c r="C23" s="44">
        <v>0</v>
      </c>
      <c r="D23" s="35">
        <f t="shared" si="1"/>
        <v>0</v>
      </c>
      <c r="E23" s="36"/>
      <c r="F23" s="36"/>
      <c r="G23" s="36"/>
      <c r="H23" s="36"/>
      <c r="I23" s="36"/>
      <c r="J23" s="36"/>
      <c r="K23" s="36"/>
      <c r="L23" s="36"/>
      <c r="M23" s="36"/>
      <c r="N23" s="36"/>
      <c r="O23" s="36"/>
      <c r="P23" s="46"/>
    </row>
    <row r="24" spans="1:16" ht="28.5" customHeight="1" x14ac:dyDescent="0.25">
      <c r="A24" s="65"/>
      <c r="B24" s="45" t="s">
        <v>90</v>
      </c>
      <c r="C24" s="44">
        <v>0</v>
      </c>
      <c r="D24" s="35">
        <f t="shared" si="1"/>
        <v>0</v>
      </c>
      <c r="E24" s="36"/>
      <c r="F24" s="36"/>
      <c r="G24" s="36"/>
      <c r="H24" s="36"/>
      <c r="I24" s="36"/>
      <c r="J24" s="36"/>
      <c r="K24" s="36"/>
      <c r="L24" s="36"/>
      <c r="M24" s="36"/>
      <c r="N24" s="36"/>
      <c r="O24" s="36"/>
      <c r="P24" s="46"/>
    </row>
    <row r="25" spans="1:16" ht="28.5" customHeight="1" x14ac:dyDescent="0.25">
      <c r="A25" s="65"/>
      <c r="B25" s="45" t="s">
        <v>91</v>
      </c>
      <c r="C25" s="44">
        <v>27</v>
      </c>
      <c r="D25" s="35">
        <f t="shared" si="1"/>
        <v>15</v>
      </c>
      <c r="E25" s="36">
        <v>7</v>
      </c>
      <c r="F25" s="36">
        <v>1</v>
      </c>
      <c r="G25" s="36"/>
      <c r="H25" s="36">
        <v>7</v>
      </c>
      <c r="I25" s="36"/>
      <c r="J25" s="36"/>
      <c r="K25" s="36"/>
      <c r="L25" s="36"/>
      <c r="M25" s="36"/>
      <c r="N25" s="36"/>
      <c r="O25" s="36"/>
      <c r="P25" s="46"/>
    </row>
    <row r="26" spans="1:16" ht="28.5" customHeight="1" x14ac:dyDescent="0.25">
      <c r="A26" s="65"/>
      <c r="B26" s="45" t="s">
        <v>92</v>
      </c>
      <c r="C26" s="44">
        <v>3</v>
      </c>
      <c r="D26" s="35">
        <f t="shared" si="1"/>
        <v>1</v>
      </c>
      <c r="E26" s="36"/>
      <c r="F26" s="36"/>
      <c r="G26" s="36"/>
      <c r="H26" s="36"/>
      <c r="I26" s="36">
        <v>1</v>
      </c>
      <c r="J26" s="36"/>
      <c r="K26" s="36"/>
      <c r="L26" s="36"/>
      <c r="M26" s="36"/>
      <c r="N26" s="36"/>
      <c r="O26" s="36"/>
      <c r="P26" s="46"/>
    </row>
    <row r="27" spans="1:16" ht="24" customHeight="1" x14ac:dyDescent="0.25">
      <c r="A27" s="65"/>
      <c r="B27" s="47" t="s">
        <v>93</v>
      </c>
      <c r="C27" s="44">
        <v>0</v>
      </c>
      <c r="D27" s="35">
        <f t="shared" si="1"/>
        <v>0</v>
      </c>
      <c r="E27" s="36"/>
      <c r="F27" s="36"/>
      <c r="G27" s="36"/>
      <c r="H27" s="36"/>
      <c r="I27" s="36"/>
      <c r="J27" s="36"/>
      <c r="K27" s="36"/>
      <c r="L27" s="36"/>
      <c r="M27" s="36"/>
      <c r="N27" s="36"/>
      <c r="O27" s="36"/>
      <c r="P27" s="46"/>
    </row>
    <row r="28" spans="1:16" ht="24" customHeight="1" x14ac:dyDescent="0.25">
      <c r="A28" s="65"/>
      <c r="B28" s="47" t="s">
        <v>94</v>
      </c>
      <c r="C28" s="44">
        <v>0</v>
      </c>
      <c r="D28" s="35">
        <f t="shared" si="1"/>
        <v>0</v>
      </c>
      <c r="E28" s="36"/>
      <c r="F28" s="36"/>
      <c r="G28" s="36"/>
      <c r="H28" s="36"/>
      <c r="I28" s="36"/>
      <c r="J28" s="36"/>
      <c r="K28" s="36"/>
      <c r="L28" s="36"/>
      <c r="M28" s="36"/>
      <c r="N28" s="36"/>
      <c r="O28" s="36"/>
      <c r="P28" s="46"/>
    </row>
    <row r="29" spans="1:16" ht="24" customHeight="1" x14ac:dyDescent="0.25">
      <c r="A29" s="65"/>
      <c r="B29" s="47" t="s">
        <v>95</v>
      </c>
      <c r="C29" s="44">
        <v>0</v>
      </c>
      <c r="D29" s="35">
        <f t="shared" si="1"/>
        <v>0</v>
      </c>
      <c r="E29" s="36"/>
      <c r="F29" s="36"/>
      <c r="G29" s="36"/>
      <c r="H29" s="36"/>
      <c r="I29" s="36"/>
      <c r="J29" s="36"/>
      <c r="K29" s="36"/>
      <c r="L29" s="36"/>
      <c r="M29" s="36"/>
      <c r="N29" s="36"/>
      <c r="O29" s="36"/>
      <c r="P29" s="46"/>
    </row>
    <row r="30" spans="1:16" ht="24" customHeight="1" x14ac:dyDescent="0.25">
      <c r="A30" s="65"/>
      <c r="B30" s="47" t="s">
        <v>96</v>
      </c>
      <c r="C30" s="44">
        <v>0</v>
      </c>
      <c r="D30" s="35">
        <f t="shared" si="1"/>
        <v>0</v>
      </c>
      <c r="E30" s="36"/>
      <c r="F30" s="36"/>
      <c r="G30" s="36"/>
      <c r="H30" s="36"/>
      <c r="I30" s="36"/>
      <c r="J30" s="36"/>
      <c r="K30" s="36"/>
      <c r="L30" s="36"/>
      <c r="M30" s="36"/>
      <c r="N30" s="36"/>
      <c r="O30" s="36"/>
      <c r="P30" s="46"/>
    </row>
    <row r="31" spans="1:16" ht="24" customHeight="1" x14ac:dyDescent="0.25">
      <c r="A31" s="65"/>
      <c r="B31" s="47" t="s">
        <v>97</v>
      </c>
      <c r="C31" s="44">
        <v>0</v>
      </c>
      <c r="D31" s="35">
        <f t="shared" si="1"/>
        <v>0</v>
      </c>
      <c r="E31" s="36"/>
      <c r="F31" s="36"/>
      <c r="G31" s="36"/>
      <c r="H31" s="36"/>
      <c r="I31" s="36"/>
      <c r="J31" s="36"/>
      <c r="K31" s="36"/>
      <c r="L31" s="36"/>
      <c r="M31" s="36"/>
      <c r="N31" s="36"/>
      <c r="O31" s="36"/>
      <c r="P31" s="46"/>
    </row>
    <row r="32" spans="1:16" ht="24" customHeight="1" x14ac:dyDescent="0.25">
      <c r="A32" s="65"/>
      <c r="B32" s="47" t="s">
        <v>98</v>
      </c>
      <c r="C32" s="44">
        <v>0</v>
      </c>
      <c r="D32" s="35">
        <f t="shared" si="1"/>
        <v>0</v>
      </c>
      <c r="E32" s="36"/>
      <c r="F32" s="36"/>
      <c r="G32" s="36"/>
      <c r="H32" s="36"/>
      <c r="I32" s="36"/>
      <c r="J32" s="36"/>
      <c r="K32" s="36"/>
      <c r="L32" s="36"/>
      <c r="M32" s="36"/>
      <c r="N32" s="36"/>
      <c r="O32" s="36"/>
      <c r="P32" s="46"/>
    </row>
    <row r="33" spans="1:16" ht="24" customHeight="1" x14ac:dyDescent="0.25">
      <c r="A33" s="65"/>
      <c r="B33" s="47" t="s">
        <v>99</v>
      </c>
      <c r="C33" s="44">
        <v>0</v>
      </c>
      <c r="D33" s="35">
        <f t="shared" si="1"/>
        <v>0</v>
      </c>
      <c r="E33" s="36"/>
      <c r="F33" s="36"/>
      <c r="G33" s="36"/>
      <c r="H33" s="36"/>
      <c r="I33" s="36"/>
      <c r="J33" s="36"/>
      <c r="K33" s="36"/>
      <c r="L33" s="36"/>
      <c r="M33" s="36"/>
      <c r="N33" s="36"/>
      <c r="O33" s="36"/>
      <c r="P33" s="46"/>
    </row>
    <row r="34" spans="1:16" ht="24" customHeight="1" x14ac:dyDescent="0.25">
      <c r="A34" s="65"/>
      <c r="B34" s="47" t="s">
        <v>100</v>
      </c>
      <c r="C34" s="44">
        <v>0</v>
      </c>
      <c r="D34" s="35">
        <f t="shared" si="1"/>
        <v>0</v>
      </c>
      <c r="E34" s="36"/>
      <c r="F34" s="36"/>
      <c r="G34" s="36"/>
      <c r="H34" s="36"/>
      <c r="I34" s="36"/>
      <c r="J34" s="36"/>
      <c r="K34" s="36"/>
      <c r="L34" s="36"/>
      <c r="M34" s="36"/>
      <c r="N34" s="36"/>
      <c r="O34" s="36"/>
      <c r="P34" s="46"/>
    </row>
    <row r="35" spans="1:16" ht="24" customHeight="1" x14ac:dyDescent="0.25">
      <c r="A35" s="65"/>
      <c r="B35" s="47" t="s">
        <v>101</v>
      </c>
      <c r="C35" s="44">
        <v>0</v>
      </c>
      <c r="D35" s="35">
        <f t="shared" si="1"/>
        <v>0</v>
      </c>
      <c r="E35" s="36"/>
      <c r="F35" s="36"/>
      <c r="G35" s="36"/>
      <c r="H35" s="36"/>
      <c r="I35" s="36"/>
      <c r="J35" s="36"/>
      <c r="K35" s="36"/>
      <c r="L35" s="36"/>
      <c r="M35" s="36"/>
      <c r="N35" s="36"/>
      <c r="O35" s="36"/>
      <c r="P35" s="46"/>
    </row>
    <row r="36" spans="1:16" ht="24" customHeight="1" x14ac:dyDescent="0.25">
      <c r="A36" s="65"/>
      <c r="B36" s="47" t="s">
        <v>102</v>
      </c>
      <c r="C36" s="44">
        <v>0</v>
      </c>
      <c r="D36" s="35">
        <f t="shared" si="1"/>
        <v>0</v>
      </c>
      <c r="E36" s="36"/>
      <c r="F36" s="36"/>
      <c r="G36" s="36"/>
      <c r="H36" s="36"/>
      <c r="I36" s="36"/>
      <c r="J36" s="36"/>
      <c r="K36" s="36"/>
      <c r="L36" s="36"/>
      <c r="M36" s="36"/>
      <c r="N36" s="36"/>
      <c r="O36" s="36"/>
      <c r="P36" s="46"/>
    </row>
    <row r="37" spans="1:16" ht="24" customHeight="1" x14ac:dyDescent="0.25">
      <c r="A37" s="65"/>
      <c r="B37" s="47" t="s">
        <v>103</v>
      </c>
      <c r="C37" s="44">
        <v>0</v>
      </c>
      <c r="D37" s="35">
        <f t="shared" si="1"/>
        <v>0</v>
      </c>
      <c r="E37" s="36"/>
      <c r="F37" s="36"/>
      <c r="G37" s="36"/>
      <c r="H37" s="36"/>
      <c r="I37" s="36"/>
      <c r="J37" s="36"/>
      <c r="K37" s="36"/>
      <c r="L37" s="36"/>
      <c r="M37" s="36"/>
      <c r="N37" s="36"/>
      <c r="O37" s="36"/>
      <c r="P37" s="46"/>
    </row>
    <row r="38" spans="1:16" ht="24" customHeight="1" thickBot="1" x14ac:dyDescent="0.3">
      <c r="A38" s="66"/>
      <c r="B38" s="48" t="s">
        <v>104</v>
      </c>
      <c r="C38" s="44">
        <v>0</v>
      </c>
      <c r="D38" s="35">
        <f t="shared" si="1"/>
        <v>0</v>
      </c>
      <c r="E38" s="36"/>
      <c r="F38" s="36"/>
      <c r="G38" s="36"/>
      <c r="H38" s="36"/>
      <c r="I38" s="36"/>
      <c r="J38" s="36"/>
      <c r="K38" s="36"/>
      <c r="L38" s="36"/>
      <c r="M38" s="36"/>
      <c r="N38" s="36"/>
      <c r="O38" s="36"/>
      <c r="P38" s="46"/>
    </row>
    <row r="39" spans="1:16" x14ac:dyDescent="0.25">
      <c r="C39" s="49">
        <f>SUM(C3:C38)</f>
        <v>281</v>
      </c>
      <c r="D39" s="50">
        <f>SUM(D3:D38)</f>
        <v>68</v>
      </c>
    </row>
    <row r="40" spans="1:16" x14ac:dyDescent="0.25">
      <c r="C40" s="10"/>
      <c r="D40" s="51">
        <f>D39/C39</f>
        <v>0.24199288256227758</v>
      </c>
    </row>
  </sheetData>
  <sheetProtection algorithmName="SHA-512" hashValue="GMvq4NHRuAw1oQjRGmnzFhLyWBEmJaUHT5I/eEryRYjci02J48yaf4JYsWCOa38Zlhrcr/htV4NLMYv5b+wF2g==" saltValue="7cm3leUAWyqgDYn1UVX0OQ==" spinCount="100000" sheet="1" objects="1" scenarios="1" autoFilter="0"/>
  <mergeCells count="2">
    <mergeCell ref="A1:A2"/>
    <mergeCell ref="A11:A38"/>
  </mergeCells>
  <conditionalFormatting sqref="C3:D3 D4:D10">
    <cfRule type="dataBar" priority="3">
      <dataBar>
        <cfvo type="min"/>
        <cfvo type="max"/>
        <color rgb="FF008AEF"/>
      </dataBar>
      <extLst>
        <ext xmlns:x14="http://schemas.microsoft.com/office/spreadsheetml/2009/9/main" uri="{B025F937-C7B1-47D3-B67F-A62EFF666E3E}">
          <x14:id>{23391D98-0E74-4A28-9E3A-AE6A84844108}</x14:id>
        </ext>
      </extLst>
    </cfRule>
  </conditionalFormatting>
  <conditionalFormatting sqref="C4:D4">
    <cfRule type="dataBar" priority="4">
      <dataBar>
        <cfvo type="min"/>
        <cfvo type="max"/>
        <color rgb="FF008AEF"/>
      </dataBar>
      <extLst>
        <ext xmlns:x14="http://schemas.microsoft.com/office/spreadsheetml/2009/9/main" uri="{B025F937-C7B1-47D3-B67F-A62EFF666E3E}">
          <x14:id>{9F3A48AB-D80C-48A1-8C7B-D43FDD89ABBE}</x14:id>
        </ext>
      </extLst>
    </cfRule>
  </conditionalFormatting>
  <conditionalFormatting sqref="C5:D5">
    <cfRule type="dataBar" priority="5">
      <dataBar>
        <cfvo type="min"/>
        <cfvo type="max"/>
        <color rgb="FF008AEF"/>
      </dataBar>
      <extLst>
        <ext xmlns:x14="http://schemas.microsoft.com/office/spreadsheetml/2009/9/main" uri="{B025F937-C7B1-47D3-B67F-A62EFF666E3E}">
          <x14:id>{C770C401-DEF8-479E-A572-17C3C1020133}</x14:id>
        </ext>
      </extLst>
    </cfRule>
  </conditionalFormatting>
  <conditionalFormatting sqref="C6:D6">
    <cfRule type="dataBar" priority="6">
      <dataBar>
        <cfvo type="min"/>
        <cfvo type="max"/>
        <color rgb="FF008AEF"/>
      </dataBar>
      <extLst>
        <ext xmlns:x14="http://schemas.microsoft.com/office/spreadsheetml/2009/9/main" uri="{B025F937-C7B1-47D3-B67F-A62EFF666E3E}">
          <x14:id>{A102B895-B64F-422C-AD4F-384DF2EBA33F}</x14:id>
        </ext>
      </extLst>
    </cfRule>
  </conditionalFormatting>
  <conditionalFormatting sqref="C7:D7">
    <cfRule type="dataBar" priority="7">
      <dataBar>
        <cfvo type="min"/>
        <cfvo type="max"/>
        <color rgb="FF008AEF"/>
      </dataBar>
      <extLst>
        <ext xmlns:x14="http://schemas.microsoft.com/office/spreadsheetml/2009/9/main" uri="{B025F937-C7B1-47D3-B67F-A62EFF666E3E}">
          <x14:id>{C284C6FF-AF2E-4ABB-A1D9-2F6EFA8B42C2}</x14:id>
        </ext>
      </extLst>
    </cfRule>
  </conditionalFormatting>
  <conditionalFormatting sqref="C8:D8">
    <cfRule type="dataBar" priority="8">
      <dataBar>
        <cfvo type="min"/>
        <cfvo type="max"/>
        <color rgb="FF008AEF"/>
      </dataBar>
      <extLst>
        <ext xmlns:x14="http://schemas.microsoft.com/office/spreadsheetml/2009/9/main" uri="{B025F937-C7B1-47D3-B67F-A62EFF666E3E}">
          <x14:id>{519625BB-FE67-45D4-B79B-9C1FA4828E36}</x14:id>
        </ext>
      </extLst>
    </cfRule>
  </conditionalFormatting>
  <conditionalFormatting sqref="C9:D9">
    <cfRule type="dataBar" priority="9">
      <dataBar>
        <cfvo type="min"/>
        <cfvo type="max"/>
        <color rgb="FF008AEF"/>
      </dataBar>
      <extLst>
        <ext xmlns:x14="http://schemas.microsoft.com/office/spreadsheetml/2009/9/main" uri="{B025F937-C7B1-47D3-B67F-A62EFF666E3E}">
          <x14:id>{BD37DC78-CE5E-4108-84A4-481014A69BDF}</x14:id>
        </ext>
      </extLst>
    </cfRule>
  </conditionalFormatting>
  <conditionalFormatting sqref="C10:D10">
    <cfRule type="dataBar" priority="10">
      <dataBar>
        <cfvo type="min"/>
        <cfvo type="max"/>
        <color rgb="FF008AEF"/>
      </dataBar>
      <extLst>
        <ext xmlns:x14="http://schemas.microsoft.com/office/spreadsheetml/2009/9/main" uri="{B025F937-C7B1-47D3-B67F-A62EFF666E3E}">
          <x14:id>{E190B795-83C8-4183-AC65-7CE492719766}</x14:id>
        </ext>
      </extLst>
    </cfRule>
  </conditionalFormatting>
  <conditionalFormatting sqref="C11:D11">
    <cfRule type="dataBar" priority="12">
      <dataBar>
        <cfvo type="min"/>
        <cfvo type="max"/>
        <color rgb="FF008AEF"/>
      </dataBar>
      <extLst>
        <ext xmlns:x14="http://schemas.microsoft.com/office/spreadsheetml/2009/9/main" uri="{B025F937-C7B1-47D3-B67F-A62EFF666E3E}">
          <x14:id>{0785401F-4249-4576-9232-85C0B3714388}</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{2635C6BB-7E3B-43C5-B145-1B41FE7C697C}</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{B696E582-0383-4BBA-9DC9-B8B5EFBAC779}</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{A521F090-47B3-4285-9377-BC24D98E8DEE}</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{1E8F6320-5DAE-49E9-BE1A-187674C2AF31}</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{A6AD1D6F-8B19-453F-9F77-1288C09172D8}</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{D4F615FD-645B-428C-9773-ECEA7DD65B6D}</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{3BBBC368-C0A0-4614-A3B0-0427DD109CE5}</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{23F4893A-096E-4B1B-AA95-5B25F1E6C306}</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{2B322816-89B2-40A6-A652-FCC9FB59C6DF}</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{2D023B05-69DD-4F8B-89F8-2119B1AE90BC}</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{A6BE755F-5C23-4F77-A210-A01B626E36AC}</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{E123098F-1B95-4930-A95E-BA650CBD6A24}</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{79D03F28-41A2-42C4-A574-2E748E095693}</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{8B80762C-4F63-49CB-B2A0-4BD66917DB5D}</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{C8422E98-7192-42D8-9C33-EF34D5F20F22}</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{2F7FAC03-07B4-4D1D-8D7C-BC096E6B963C}</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{94FB5612-3CAE-428C-9908-8E76F521DBC6}</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{10C2EA0B-3AE7-448A-85B8-72CA6C45BBED}</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{10C7A060-A1F4-4E95-9F7A-D2F93F7F963A}</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{EF0D1B2F-02AF-45A0-842C-179E13B25890}</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{96373D62-8426-4694-B15A-716C1FA2C07E}</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{BCBA6BDA-83C3-4CDD-9564-7B6BEC0CEB8B}</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{DE8E6113-E15A-4802-96C6-E44C88038713}</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{55E478CE-1A1F-4531-A42D-57BABE71FC2D}</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{AEB725B7-D738-4C40-B1AE-872B4E9B4CFB}</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{56823FE5-63BE-4DC2-879E-FB362597E9BA}</x14:id>
        </ext>
      </extLst>
    </cfRule>
  </conditionalFormatting>
  <conditionalFormatting sqref="C38:D38">
    <cfRule type="dataBar" priority="13">
      <dataBar>
        <cfvo type="min"/>
        <cfvo type="max"/>
        <color rgb="FF008AEF"/>
      </dataBar>
      <extLst>
        <ext xmlns:x14="http://schemas.microsoft.com/office/spreadsheetml/2009/9/main" uri="{B025F937-C7B1-47D3-B67F-A62EFF666E3E}">
          <x14:id>{84D502BC-8F86-41CD-AB27-53169999B57B}</x14:id>
        </ext>
      </extLst>
    </cfRule>
  </conditionalFormatting>
  <conditionalFormatting sqref="E3:F34 E35:O38">
    <cfRule type="cellIs" dxfId="34" priority="1" operator="greaterThan">
      <formula>0</formula>
    </cfRule>
  </conditionalFormatting>
  <conditionalFormatting sqref="G11:O34">
    <cfRule type="cellIs" dxfId="33" priority="11" operator="greaterThan">
      <formula>0</formula>
    </cfRule>
  </conditionalFormatting>
  <conditionalFormatting sqref="G3:P10">
    <cfRule type="cellIs" dxfId="32"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23391D98-0E74-4A28-9E3A-AE6A84844108}">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9F3A48AB-D80C-48A1-8C7B-D43FDD89ABB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C770C401-DEF8-479E-A572-17C3C102013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A102B895-B64F-422C-AD4F-384DF2EBA33F}">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C284C6FF-AF2E-4ABB-A1D9-2F6EFA8B42C2}">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519625BB-FE67-45D4-B79B-9C1FA4828E3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BD37DC78-CE5E-4108-84A4-481014A69BDF}">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E190B795-83C8-4183-AC65-7CE492719766}">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0785401F-4249-4576-9232-85C0B3714388}">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2635C6BB-7E3B-43C5-B145-1B41FE7C697C}">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B696E582-0383-4BBA-9DC9-B8B5EFBAC77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A521F090-47B3-4285-9377-BC24D98E8DEE}">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1E8F6320-5DAE-49E9-BE1A-187674C2AF31}">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6AD1D6F-8B19-453F-9F77-1288C09172D8}">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D4F615FD-645B-428C-9773-ECEA7DD65B6D}">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3BBBC368-C0A0-4614-A3B0-0427DD109CE5}">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3F4893A-096E-4B1B-AA95-5B25F1E6C306}">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2B322816-89B2-40A6-A652-FCC9FB59C6DF}">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2D023B05-69DD-4F8B-89F8-2119B1AE90BC}">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A6BE755F-5C23-4F77-A210-A01B626E36AC}">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E123098F-1B95-4930-A95E-BA650CBD6A2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79D03F28-41A2-42C4-A574-2E748E095693}">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8B80762C-4F63-49CB-B2A0-4BD66917DB5D}">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C8422E98-7192-42D8-9C33-EF34D5F20F22}">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2F7FAC03-07B4-4D1D-8D7C-BC096E6B963C}">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94FB5612-3CAE-428C-9908-8E76F521DBC6}">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10C2EA0B-3AE7-448A-85B8-72CA6C45BBED}">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10C7A060-A1F4-4E95-9F7A-D2F93F7F963A}">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EF0D1B2F-02AF-45A0-842C-179E13B25890}">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96373D62-8426-4694-B15A-716C1FA2C07E}">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BCBA6BDA-83C3-4CDD-9564-7B6BEC0CEB8B}">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DE8E6113-E15A-4802-96C6-E44C88038713}">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55E478CE-1A1F-4531-A42D-57BABE71FC2D}">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AEB725B7-D738-4C40-B1AE-872B4E9B4CFB}">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56823FE5-63BE-4DC2-879E-FB362597E9BA}">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84D502BC-8F86-41CD-AB27-53169999B57B}">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P36"/>
  <sheetViews>
    <sheetView zoomScale="80" zoomScaleNormal="80" workbookViewId="0">
      <selection activeCell="J18" sqref="J18"/>
    </sheetView>
  </sheetViews>
  <sheetFormatPr baseColWidth="10" defaultColWidth="11.42578125" defaultRowHeight="15" x14ac:dyDescent="0.25"/>
  <cols>
    <col min="1" max="1" width="9.140625" style="2" customWidth="1"/>
    <col min="2" max="2" width="87.7109375" style="2" customWidth="1"/>
    <col min="3" max="3" width="11.42578125" style="2"/>
    <col min="4" max="4" width="22.42578125" style="2" customWidth="1"/>
    <col min="5" max="8" width="17.28515625" style="2" customWidth="1"/>
    <col min="9" max="16384" width="11.42578125" style="2"/>
  </cols>
  <sheetData>
    <row r="1" spans="1:16" ht="61.5" customHeight="1" x14ac:dyDescent="0.25">
      <c r="A1" s="62" t="s">
        <v>1</v>
      </c>
      <c r="B1" s="29" t="s">
        <v>28</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x14ac:dyDescent="0.25">
      <c r="A3" s="52" t="s">
        <v>18</v>
      </c>
      <c r="B3" s="4" t="s">
        <v>17</v>
      </c>
      <c r="C3" s="34">
        <v>2</v>
      </c>
      <c r="D3" s="35">
        <f>SUM(E3:P3)</f>
        <v>0</v>
      </c>
      <c r="E3" s="36"/>
      <c r="F3" s="36"/>
      <c r="G3" s="36"/>
      <c r="H3" s="36"/>
      <c r="I3" s="36"/>
      <c r="J3" s="36"/>
      <c r="K3" s="36"/>
      <c r="L3" s="36"/>
      <c r="M3" s="36"/>
      <c r="N3" s="36"/>
      <c r="O3" s="36"/>
      <c r="P3" s="36"/>
    </row>
    <row r="4" spans="1:16" ht="81" customHeight="1" x14ac:dyDescent="0.25">
      <c r="A4" s="53" t="s">
        <v>20</v>
      </c>
      <c r="B4" s="6" t="s">
        <v>19</v>
      </c>
      <c r="C4" s="39">
        <v>2</v>
      </c>
      <c r="D4" s="35">
        <f>SUM(E4:P4)</f>
        <v>1</v>
      </c>
      <c r="E4" s="36">
        <v>0</v>
      </c>
      <c r="F4" s="36">
        <v>0</v>
      </c>
      <c r="G4" s="36">
        <v>0</v>
      </c>
      <c r="H4" s="36">
        <v>1</v>
      </c>
      <c r="I4" s="36"/>
      <c r="J4" s="36"/>
      <c r="K4" s="36"/>
      <c r="L4" s="36"/>
      <c r="M4" s="36"/>
      <c r="N4" s="36"/>
      <c r="O4" s="36"/>
      <c r="P4" s="36"/>
    </row>
    <row r="5" spans="1:16" ht="81" customHeight="1" x14ac:dyDescent="0.25">
      <c r="A5" s="52" t="s">
        <v>18</v>
      </c>
      <c r="B5" s="4" t="s">
        <v>21</v>
      </c>
      <c r="C5" s="41">
        <v>1</v>
      </c>
      <c r="D5" s="35">
        <f>SUM(E5:P5)</f>
        <v>1</v>
      </c>
      <c r="E5" s="36"/>
      <c r="F5" s="36"/>
      <c r="G5" s="36"/>
      <c r="H5" s="36"/>
      <c r="I5" s="36">
        <v>1</v>
      </c>
      <c r="J5" s="36"/>
      <c r="K5" s="36"/>
      <c r="L5" s="36"/>
      <c r="M5" s="36"/>
      <c r="N5" s="36"/>
      <c r="O5" s="36"/>
      <c r="P5" s="36"/>
    </row>
    <row r="6" spans="1:16" ht="81" customHeight="1" x14ac:dyDescent="0.25">
      <c r="A6" s="54" t="s">
        <v>23</v>
      </c>
      <c r="B6" s="8" t="s">
        <v>22</v>
      </c>
      <c r="C6" s="44">
        <v>2</v>
      </c>
      <c r="D6" s="35">
        <f>SUM(E6:P6)</f>
        <v>1</v>
      </c>
      <c r="E6" s="36">
        <v>0</v>
      </c>
      <c r="F6" s="36">
        <v>0</v>
      </c>
      <c r="G6" s="36">
        <v>0</v>
      </c>
      <c r="H6" s="36">
        <v>1</v>
      </c>
      <c r="I6" s="36"/>
      <c r="J6" s="36"/>
      <c r="K6" s="36"/>
      <c r="L6" s="36"/>
      <c r="M6" s="36"/>
      <c r="N6" s="36"/>
      <c r="O6" s="36"/>
      <c r="P6" s="36"/>
    </row>
    <row r="7" spans="1:16" ht="28.5" customHeight="1" x14ac:dyDescent="0.25">
      <c r="A7" s="64" t="s">
        <v>76</v>
      </c>
      <c r="B7" s="45" t="s">
        <v>77</v>
      </c>
      <c r="C7" s="44">
        <v>3</v>
      </c>
      <c r="D7" s="35">
        <f t="shared" ref="D7:D34" si="0">SUM(E7:O7)</f>
        <v>1</v>
      </c>
      <c r="E7" s="36"/>
      <c r="F7" s="36"/>
      <c r="G7" s="36">
        <v>1</v>
      </c>
      <c r="H7" s="36"/>
      <c r="I7" s="36"/>
      <c r="J7" s="36"/>
      <c r="K7" s="36"/>
      <c r="L7" s="36"/>
      <c r="M7" s="36"/>
      <c r="N7" s="36"/>
      <c r="O7" s="36"/>
      <c r="P7" s="46"/>
    </row>
    <row r="8" spans="1:16" ht="28.5" customHeight="1" x14ac:dyDescent="0.25">
      <c r="A8" s="65"/>
      <c r="B8" s="45" t="s">
        <v>78</v>
      </c>
      <c r="C8" s="44">
        <v>1</v>
      </c>
      <c r="D8" s="35">
        <f t="shared" si="0"/>
        <v>0</v>
      </c>
      <c r="E8" s="36"/>
      <c r="F8" s="36"/>
      <c r="G8" s="36"/>
      <c r="H8" s="36"/>
      <c r="I8" s="36"/>
      <c r="J8" s="36"/>
      <c r="K8" s="36"/>
      <c r="L8" s="36"/>
      <c r="M8" s="36"/>
      <c r="N8" s="36"/>
      <c r="O8" s="36"/>
      <c r="P8" s="46"/>
    </row>
    <row r="9" spans="1:16" ht="28.5" customHeight="1" x14ac:dyDescent="0.25">
      <c r="A9" s="65"/>
      <c r="B9" s="45" t="s">
        <v>79</v>
      </c>
      <c r="C9" s="44">
        <v>184</v>
      </c>
      <c r="D9" s="35">
        <f t="shared" si="0"/>
        <v>65</v>
      </c>
      <c r="E9" s="36">
        <v>14</v>
      </c>
      <c r="F9" s="36">
        <v>15</v>
      </c>
      <c r="G9" s="36">
        <v>14</v>
      </c>
      <c r="H9" s="36">
        <v>16</v>
      </c>
      <c r="I9" s="36">
        <v>6</v>
      </c>
      <c r="J9" s="36"/>
      <c r="K9" s="36"/>
      <c r="L9" s="36"/>
      <c r="M9" s="36"/>
      <c r="N9" s="36"/>
      <c r="O9" s="36"/>
      <c r="P9" s="46"/>
    </row>
    <row r="10" spans="1:16" ht="28.5" customHeight="1" x14ac:dyDescent="0.25">
      <c r="A10" s="65"/>
      <c r="B10" s="45" t="s">
        <v>80</v>
      </c>
      <c r="C10" s="44">
        <v>240</v>
      </c>
      <c r="D10" s="35">
        <f t="shared" si="0"/>
        <v>80</v>
      </c>
      <c r="E10" s="36"/>
      <c r="F10" s="36"/>
      <c r="G10" s="36">
        <v>24</v>
      </c>
      <c r="H10" s="36">
        <v>56</v>
      </c>
      <c r="I10" s="36"/>
      <c r="J10" s="36"/>
      <c r="K10" s="36"/>
      <c r="L10" s="36"/>
      <c r="M10" s="36"/>
      <c r="N10" s="36"/>
      <c r="O10" s="36"/>
      <c r="P10" s="46"/>
    </row>
    <row r="11" spans="1:16" ht="28.5" customHeight="1" x14ac:dyDescent="0.25">
      <c r="A11" s="65"/>
      <c r="B11" s="45" t="s">
        <v>81</v>
      </c>
      <c r="C11" s="44">
        <v>0</v>
      </c>
      <c r="D11" s="35">
        <f t="shared" si="0"/>
        <v>0</v>
      </c>
      <c r="E11" s="36"/>
      <c r="F11" s="36"/>
      <c r="G11" s="36"/>
      <c r="H11" s="36"/>
      <c r="I11" s="36"/>
      <c r="J11" s="36"/>
      <c r="K11" s="36"/>
      <c r="L11" s="36"/>
      <c r="M11" s="36"/>
      <c r="N11" s="36"/>
      <c r="O11" s="36"/>
      <c r="P11" s="46"/>
    </row>
    <row r="12" spans="1:16" ht="28.5" customHeight="1" x14ac:dyDescent="0.25">
      <c r="A12" s="65"/>
      <c r="B12" s="45" t="s">
        <v>82</v>
      </c>
      <c r="C12" s="44">
        <v>0</v>
      </c>
      <c r="D12" s="35">
        <f t="shared" si="0"/>
        <v>0</v>
      </c>
      <c r="E12" s="36"/>
      <c r="F12" s="36"/>
      <c r="G12" s="36"/>
      <c r="H12" s="36"/>
      <c r="I12" s="36"/>
      <c r="J12" s="36"/>
      <c r="K12" s="36"/>
      <c r="L12" s="36"/>
      <c r="M12" s="36"/>
      <c r="N12" s="36"/>
      <c r="O12" s="36"/>
      <c r="P12" s="46"/>
    </row>
    <row r="13" spans="1:16" ht="28.5" customHeight="1" x14ac:dyDescent="0.25">
      <c r="A13" s="65"/>
      <c r="B13" s="45" t="s">
        <v>83</v>
      </c>
      <c r="C13" s="44">
        <v>0</v>
      </c>
      <c r="D13" s="35">
        <f t="shared" si="0"/>
        <v>0</v>
      </c>
      <c r="E13" s="36"/>
      <c r="F13" s="36"/>
      <c r="G13" s="36"/>
      <c r="H13" s="36"/>
      <c r="I13" s="36"/>
      <c r="J13" s="36"/>
      <c r="K13" s="36"/>
      <c r="L13" s="36"/>
      <c r="M13" s="36"/>
      <c r="N13" s="36"/>
      <c r="O13" s="36"/>
      <c r="P13" s="46"/>
    </row>
    <row r="14" spans="1:16" ht="28.5" customHeight="1" x14ac:dyDescent="0.25">
      <c r="A14" s="65"/>
      <c r="B14" s="45" t="s">
        <v>84</v>
      </c>
      <c r="C14" s="44">
        <v>0</v>
      </c>
      <c r="D14" s="35">
        <f t="shared" si="0"/>
        <v>0</v>
      </c>
      <c r="E14" s="36"/>
      <c r="F14" s="36"/>
      <c r="G14" s="36"/>
      <c r="H14" s="36"/>
      <c r="I14" s="36"/>
      <c r="J14" s="36"/>
      <c r="K14" s="36"/>
      <c r="L14" s="36"/>
      <c r="M14" s="36"/>
      <c r="N14" s="36"/>
      <c r="O14" s="36"/>
      <c r="P14" s="46"/>
    </row>
    <row r="15" spans="1:16" ht="28.5" customHeight="1" x14ac:dyDescent="0.25">
      <c r="A15" s="65"/>
      <c r="B15" s="45" t="s">
        <v>85</v>
      </c>
      <c r="C15" s="44">
        <v>0</v>
      </c>
      <c r="D15" s="35">
        <f t="shared" si="0"/>
        <v>0</v>
      </c>
      <c r="E15" s="36"/>
      <c r="F15" s="36"/>
      <c r="G15" s="36"/>
      <c r="H15" s="36"/>
      <c r="I15" s="36"/>
      <c r="J15" s="36"/>
      <c r="K15" s="36"/>
      <c r="L15" s="36"/>
      <c r="M15" s="36"/>
      <c r="N15" s="36"/>
      <c r="O15" s="36"/>
      <c r="P15" s="46"/>
    </row>
    <row r="16" spans="1:16" ht="28.5" customHeight="1" x14ac:dyDescent="0.25">
      <c r="A16" s="65"/>
      <c r="B16" s="45" t="s">
        <v>86</v>
      </c>
      <c r="C16" s="44">
        <v>0</v>
      </c>
      <c r="D16" s="35">
        <f t="shared" si="0"/>
        <v>0</v>
      </c>
      <c r="E16" s="36"/>
      <c r="F16" s="36"/>
      <c r="G16" s="36"/>
      <c r="H16" s="36"/>
      <c r="I16" s="36"/>
      <c r="J16" s="36"/>
      <c r="K16" s="36"/>
      <c r="L16" s="36"/>
      <c r="M16" s="36"/>
      <c r="N16" s="36"/>
      <c r="O16" s="36"/>
      <c r="P16" s="46"/>
    </row>
    <row r="17" spans="1:16" ht="28.5" customHeight="1" x14ac:dyDescent="0.25">
      <c r="A17" s="65"/>
      <c r="B17" s="45" t="s">
        <v>87</v>
      </c>
      <c r="C17" s="44">
        <v>1</v>
      </c>
      <c r="D17" s="35">
        <f t="shared" si="0"/>
        <v>1</v>
      </c>
      <c r="E17" s="36">
        <v>1</v>
      </c>
      <c r="F17" s="36"/>
      <c r="G17" s="36"/>
      <c r="H17" s="36"/>
      <c r="I17" s="36"/>
      <c r="J17" s="36"/>
      <c r="K17" s="36"/>
      <c r="L17" s="36"/>
      <c r="M17" s="36"/>
      <c r="N17" s="36"/>
      <c r="O17" s="36"/>
      <c r="P17" s="46"/>
    </row>
    <row r="18" spans="1:16" ht="28.5" customHeight="1" x14ac:dyDescent="0.25">
      <c r="A18" s="65"/>
      <c r="B18" s="45" t="s">
        <v>88</v>
      </c>
      <c r="C18" s="44">
        <v>0</v>
      </c>
      <c r="D18" s="35">
        <f t="shared" si="0"/>
        <v>0</v>
      </c>
      <c r="E18" s="36"/>
      <c r="F18" s="36"/>
      <c r="G18" s="36"/>
      <c r="H18" s="36"/>
      <c r="I18" s="36"/>
      <c r="J18" s="36"/>
      <c r="K18" s="36"/>
      <c r="L18" s="36"/>
      <c r="M18" s="36"/>
      <c r="N18" s="36"/>
      <c r="O18" s="36"/>
      <c r="P18" s="46"/>
    </row>
    <row r="19" spans="1:16" ht="28.5" customHeight="1" x14ac:dyDescent="0.25">
      <c r="A19" s="65"/>
      <c r="B19" s="45" t="s">
        <v>89</v>
      </c>
      <c r="C19" s="44">
        <v>0</v>
      </c>
      <c r="D19" s="35">
        <f t="shared" si="0"/>
        <v>0</v>
      </c>
      <c r="E19" s="36"/>
      <c r="F19" s="36"/>
      <c r="G19" s="36"/>
      <c r="H19" s="36"/>
      <c r="I19" s="36"/>
      <c r="J19" s="36"/>
      <c r="K19" s="36"/>
      <c r="L19" s="36"/>
      <c r="M19" s="36"/>
      <c r="N19" s="36"/>
      <c r="O19" s="36"/>
      <c r="P19" s="46"/>
    </row>
    <row r="20" spans="1:16" ht="28.5" customHeight="1" x14ac:dyDescent="0.25">
      <c r="A20" s="65"/>
      <c r="B20" s="45" t="s">
        <v>90</v>
      </c>
      <c r="C20" s="44">
        <v>0</v>
      </c>
      <c r="D20" s="35">
        <f t="shared" si="0"/>
        <v>0</v>
      </c>
      <c r="E20" s="36"/>
      <c r="F20" s="36"/>
      <c r="G20" s="36"/>
      <c r="H20" s="36"/>
      <c r="I20" s="36"/>
      <c r="J20" s="36"/>
      <c r="K20" s="36"/>
      <c r="L20" s="36"/>
      <c r="M20" s="36"/>
      <c r="N20" s="36"/>
      <c r="O20" s="36"/>
      <c r="P20" s="46"/>
    </row>
    <row r="21" spans="1:16" ht="28.5" customHeight="1" x14ac:dyDescent="0.25">
      <c r="A21" s="65"/>
      <c r="B21" s="45" t="s">
        <v>91</v>
      </c>
      <c r="C21" s="44">
        <v>143</v>
      </c>
      <c r="D21" s="35">
        <f t="shared" si="0"/>
        <v>67</v>
      </c>
      <c r="E21" s="36"/>
      <c r="F21" s="36">
        <v>33</v>
      </c>
      <c r="G21" s="36"/>
      <c r="H21" s="36"/>
      <c r="I21" s="36">
        <v>34</v>
      </c>
      <c r="J21" s="36"/>
      <c r="K21" s="36"/>
      <c r="L21" s="36"/>
      <c r="M21" s="36"/>
      <c r="N21" s="36"/>
      <c r="O21" s="36"/>
      <c r="P21" s="46"/>
    </row>
    <row r="22" spans="1:16" ht="28.5" customHeight="1" x14ac:dyDescent="0.25">
      <c r="A22" s="65"/>
      <c r="B22" s="45" t="s">
        <v>92</v>
      </c>
      <c r="C22" s="44">
        <v>2</v>
      </c>
      <c r="D22" s="35">
        <f t="shared" si="0"/>
        <v>0</v>
      </c>
      <c r="E22" s="36"/>
      <c r="F22" s="36"/>
      <c r="G22" s="36"/>
      <c r="H22" s="36"/>
      <c r="I22" s="36"/>
      <c r="J22" s="36"/>
      <c r="K22" s="36"/>
      <c r="L22" s="36"/>
      <c r="M22" s="36"/>
      <c r="N22" s="36"/>
      <c r="O22" s="36"/>
      <c r="P22" s="46"/>
    </row>
    <row r="23" spans="1:16" ht="24" customHeight="1" x14ac:dyDescent="0.25">
      <c r="A23" s="65"/>
      <c r="B23" s="47" t="s">
        <v>93</v>
      </c>
      <c r="C23" s="44">
        <v>0</v>
      </c>
      <c r="D23" s="35">
        <f t="shared" si="0"/>
        <v>0</v>
      </c>
      <c r="E23" s="36"/>
      <c r="F23" s="36"/>
      <c r="G23" s="36"/>
      <c r="H23" s="36"/>
      <c r="I23" s="36"/>
      <c r="J23" s="36"/>
      <c r="K23" s="36"/>
      <c r="L23" s="36"/>
      <c r="M23" s="36"/>
      <c r="N23" s="36"/>
      <c r="O23" s="36"/>
      <c r="P23" s="46"/>
    </row>
    <row r="24" spans="1:16" ht="24" customHeight="1" x14ac:dyDescent="0.25">
      <c r="A24" s="65"/>
      <c r="B24" s="47" t="s">
        <v>94</v>
      </c>
      <c r="C24" s="44">
        <v>0</v>
      </c>
      <c r="D24" s="35">
        <f t="shared" si="0"/>
        <v>0</v>
      </c>
      <c r="E24" s="36"/>
      <c r="F24" s="36"/>
      <c r="G24" s="36"/>
      <c r="H24" s="36"/>
      <c r="I24" s="36"/>
      <c r="J24" s="36"/>
      <c r="K24" s="36"/>
      <c r="L24" s="36"/>
      <c r="M24" s="36"/>
      <c r="N24" s="36"/>
      <c r="O24" s="36"/>
      <c r="P24" s="46"/>
    </row>
    <row r="25" spans="1:16" ht="24" customHeight="1" x14ac:dyDescent="0.25">
      <c r="A25" s="65"/>
      <c r="B25" s="47" t="s">
        <v>95</v>
      </c>
      <c r="C25" s="44">
        <v>0</v>
      </c>
      <c r="D25" s="35">
        <f t="shared" si="0"/>
        <v>0</v>
      </c>
      <c r="E25" s="36"/>
      <c r="F25" s="36"/>
      <c r="G25" s="36"/>
      <c r="H25" s="36"/>
      <c r="I25" s="36"/>
      <c r="J25" s="36"/>
      <c r="K25" s="36"/>
      <c r="L25" s="36"/>
      <c r="M25" s="36"/>
      <c r="N25" s="36"/>
      <c r="O25" s="36"/>
      <c r="P25" s="46"/>
    </row>
    <row r="26" spans="1:16" ht="24" customHeight="1" x14ac:dyDescent="0.25">
      <c r="A26" s="65"/>
      <c r="B26" s="47" t="s">
        <v>96</v>
      </c>
      <c r="C26" s="44">
        <v>0</v>
      </c>
      <c r="D26" s="35">
        <f t="shared" si="0"/>
        <v>0</v>
      </c>
      <c r="E26" s="36"/>
      <c r="F26" s="36"/>
      <c r="G26" s="36"/>
      <c r="H26" s="36"/>
      <c r="I26" s="36"/>
      <c r="J26" s="36"/>
      <c r="K26" s="36"/>
      <c r="L26" s="36"/>
      <c r="M26" s="36"/>
      <c r="N26" s="36"/>
      <c r="O26" s="36"/>
      <c r="P26" s="46"/>
    </row>
    <row r="27" spans="1:16" ht="24" customHeight="1" x14ac:dyDescent="0.25">
      <c r="A27" s="65"/>
      <c r="B27" s="47" t="s">
        <v>97</v>
      </c>
      <c r="C27" s="44">
        <v>0</v>
      </c>
      <c r="D27" s="35">
        <f t="shared" si="0"/>
        <v>0</v>
      </c>
      <c r="E27" s="36"/>
      <c r="F27" s="36"/>
      <c r="G27" s="36"/>
      <c r="H27" s="36"/>
      <c r="I27" s="36"/>
      <c r="J27" s="36"/>
      <c r="K27" s="36"/>
      <c r="L27" s="36"/>
      <c r="M27" s="36"/>
      <c r="N27" s="36"/>
      <c r="O27" s="36"/>
      <c r="P27" s="46"/>
    </row>
    <row r="28" spans="1:16" ht="24" customHeight="1" x14ac:dyDescent="0.25">
      <c r="A28" s="65"/>
      <c r="B28" s="47" t="s">
        <v>98</v>
      </c>
      <c r="C28" s="44">
        <v>0</v>
      </c>
      <c r="D28" s="35">
        <f t="shared" si="0"/>
        <v>0</v>
      </c>
      <c r="E28" s="36"/>
      <c r="F28" s="36"/>
      <c r="G28" s="36"/>
      <c r="H28" s="36"/>
      <c r="I28" s="36"/>
      <c r="J28" s="36"/>
      <c r="K28" s="36"/>
      <c r="L28" s="36"/>
      <c r="M28" s="36"/>
      <c r="N28" s="36"/>
      <c r="O28" s="36"/>
      <c r="P28" s="46"/>
    </row>
    <row r="29" spans="1:16" ht="24" customHeight="1" x14ac:dyDescent="0.25">
      <c r="A29" s="65"/>
      <c r="B29" s="47" t="s">
        <v>99</v>
      </c>
      <c r="C29" s="44">
        <v>0</v>
      </c>
      <c r="D29" s="35">
        <f t="shared" si="0"/>
        <v>0</v>
      </c>
      <c r="E29" s="36"/>
      <c r="F29" s="36"/>
      <c r="G29" s="36"/>
      <c r="H29" s="36"/>
      <c r="I29" s="36"/>
      <c r="J29" s="36"/>
      <c r="K29" s="36"/>
      <c r="L29" s="36"/>
      <c r="M29" s="36"/>
      <c r="N29" s="36"/>
      <c r="O29" s="36"/>
      <c r="P29" s="46"/>
    </row>
    <row r="30" spans="1:16" ht="24" customHeight="1" x14ac:dyDescent="0.25">
      <c r="A30" s="65"/>
      <c r="B30" s="47" t="s">
        <v>100</v>
      </c>
      <c r="C30" s="44">
        <v>0</v>
      </c>
      <c r="D30" s="35">
        <f t="shared" si="0"/>
        <v>0</v>
      </c>
      <c r="E30" s="36"/>
      <c r="F30" s="36"/>
      <c r="G30" s="36"/>
      <c r="H30" s="36"/>
      <c r="I30" s="36"/>
      <c r="J30" s="36"/>
      <c r="K30" s="36"/>
      <c r="L30" s="36"/>
      <c r="M30" s="36"/>
      <c r="N30" s="36"/>
      <c r="O30" s="36"/>
      <c r="P30" s="46"/>
    </row>
    <row r="31" spans="1:16" ht="24" customHeight="1" x14ac:dyDescent="0.25">
      <c r="A31" s="65"/>
      <c r="B31" s="47" t="s">
        <v>101</v>
      </c>
      <c r="C31" s="44">
        <v>0</v>
      </c>
      <c r="D31" s="35">
        <f t="shared" si="0"/>
        <v>0</v>
      </c>
      <c r="E31" s="36"/>
      <c r="F31" s="36"/>
      <c r="G31" s="36"/>
      <c r="H31" s="36"/>
      <c r="I31" s="36"/>
      <c r="J31" s="36"/>
      <c r="K31" s="36"/>
      <c r="L31" s="36"/>
      <c r="M31" s="36"/>
      <c r="N31" s="36"/>
      <c r="O31" s="36"/>
      <c r="P31" s="46"/>
    </row>
    <row r="32" spans="1:16" ht="24" customHeight="1" x14ac:dyDescent="0.25">
      <c r="A32" s="65"/>
      <c r="B32" s="47" t="s">
        <v>102</v>
      </c>
      <c r="C32" s="44">
        <v>0</v>
      </c>
      <c r="D32" s="35">
        <f t="shared" si="0"/>
        <v>0</v>
      </c>
      <c r="E32" s="36"/>
      <c r="F32" s="36"/>
      <c r="G32" s="36"/>
      <c r="H32" s="36"/>
      <c r="I32" s="36"/>
      <c r="J32" s="36"/>
      <c r="K32" s="36"/>
      <c r="L32" s="36"/>
      <c r="M32" s="36"/>
      <c r="N32" s="36"/>
      <c r="O32" s="36"/>
      <c r="P32" s="46"/>
    </row>
    <row r="33" spans="1:16" ht="24" customHeight="1" x14ac:dyDescent="0.25">
      <c r="A33" s="65"/>
      <c r="B33" s="47" t="s">
        <v>103</v>
      </c>
      <c r="C33" s="44">
        <v>0</v>
      </c>
      <c r="D33" s="35">
        <f t="shared" si="0"/>
        <v>0</v>
      </c>
      <c r="E33" s="36"/>
      <c r="F33" s="36"/>
      <c r="G33" s="36"/>
      <c r="H33" s="36"/>
      <c r="I33" s="36"/>
      <c r="J33" s="36"/>
      <c r="K33" s="36"/>
      <c r="L33" s="36"/>
      <c r="M33" s="36"/>
      <c r="N33" s="36"/>
      <c r="O33" s="36"/>
      <c r="P33" s="46"/>
    </row>
    <row r="34" spans="1:16" ht="24" customHeight="1" thickBot="1" x14ac:dyDescent="0.3">
      <c r="A34" s="66"/>
      <c r="B34" s="48" t="s">
        <v>104</v>
      </c>
      <c r="C34" s="44">
        <v>0</v>
      </c>
      <c r="D34" s="35">
        <f t="shared" si="0"/>
        <v>0</v>
      </c>
      <c r="E34" s="36"/>
      <c r="F34" s="36"/>
      <c r="G34" s="36"/>
      <c r="H34" s="36"/>
      <c r="I34" s="36"/>
      <c r="J34" s="36"/>
      <c r="K34" s="36"/>
      <c r="L34" s="36"/>
      <c r="M34" s="36"/>
      <c r="N34" s="36"/>
      <c r="O34" s="36"/>
      <c r="P34" s="46"/>
    </row>
    <row r="35" spans="1:16" x14ac:dyDescent="0.25">
      <c r="C35" s="49">
        <f>SUM(C3:C34)</f>
        <v>581</v>
      </c>
      <c r="D35" s="50">
        <f>SUM(D3:D34)</f>
        <v>217</v>
      </c>
    </row>
    <row r="36" spans="1:16" x14ac:dyDescent="0.25">
      <c r="C36" s="10"/>
      <c r="D36" s="51">
        <f>D35/C35</f>
        <v>0.37349397590361444</v>
      </c>
    </row>
  </sheetData>
  <sheetProtection algorithmName="SHA-512" hashValue="fH3V1/zWZJJfYiSgZrbD7G7a+LU/RrTe5bebSemXAwkp3/DODZhgEZzvjSfmPvMZZByMEGVJy0oPvjRp754tyw==" saltValue="BzKBcJXkjVbo0I8y2ODyhQ==" spinCount="100000" sheet="1" objects="1" scenarios="1" autoFilter="0"/>
  <mergeCells count="2">
    <mergeCell ref="A1:A2"/>
    <mergeCell ref="A7:A34"/>
  </mergeCells>
  <conditionalFormatting sqref="C3:D3 D4:D6">
    <cfRule type="dataBar" priority="43">
      <dataBar>
        <cfvo type="min"/>
        <cfvo type="max"/>
        <color rgb="FF008AEF"/>
      </dataBar>
      <extLst>
        <ext xmlns:x14="http://schemas.microsoft.com/office/spreadsheetml/2009/9/main" uri="{B025F937-C7B1-47D3-B67F-A62EFF666E3E}">
          <x14:id>{3D086B74-1EFD-4465-829E-763FF6CD57B0}</x14:id>
        </ext>
      </extLst>
    </cfRule>
  </conditionalFormatting>
  <conditionalFormatting sqref="C4:D4">
    <cfRule type="dataBar" priority="4">
      <dataBar>
        <cfvo type="min"/>
        <cfvo type="max"/>
        <color rgb="FF008AEF"/>
      </dataBar>
      <extLst>
        <ext xmlns:x14="http://schemas.microsoft.com/office/spreadsheetml/2009/9/main" uri="{B025F937-C7B1-47D3-B67F-A62EFF666E3E}">
          <x14:id>{C9DB538D-2462-4196-9685-715F9ACE4492}</x14:id>
        </ext>
      </extLst>
    </cfRule>
  </conditionalFormatting>
  <conditionalFormatting sqref="C5:D5">
    <cfRule type="dataBar" priority="5">
      <dataBar>
        <cfvo type="min"/>
        <cfvo type="max"/>
        <color rgb="FF008AEF"/>
      </dataBar>
      <extLst>
        <ext xmlns:x14="http://schemas.microsoft.com/office/spreadsheetml/2009/9/main" uri="{B025F937-C7B1-47D3-B67F-A62EFF666E3E}">
          <x14:id>{62532CAC-8296-4360-A5E3-EE38E018EEB5}</x14:id>
        </ext>
      </extLst>
    </cfRule>
  </conditionalFormatting>
  <conditionalFormatting sqref="C6:D6">
    <cfRule type="dataBar" priority="6">
      <dataBar>
        <cfvo type="min"/>
        <cfvo type="max"/>
        <color rgb="FF008AEF"/>
      </dataBar>
      <extLst>
        <ext xmlns:x14="http://schemas.microsoft.com/office/spreadsheetml/2009/9/main" uri="{B025F937-C7B1-47D3-B67F-A62EFF666E3E}">
          <x14:id>{5175D555-BF53-4775-A6A0-1D4B9C35F6C4}</x14:id>
        </ext>
      </extLst>
    </cfRule>
  </conditionalFormatting>
  <conditionalFormatting sqref="C7:D7">
    <cfRule type="dataBar" priority="12">
      <dataBar>
        <cfvo type="min"/>
        <cfvo type="max"/>
        <color rgb="FF008AEF"/>
      </dataBar>
      <extLst>
        <ext xmlns:x14="http://schemas.microsoft.com/office/spreadsheetml/2009/9/main" uri="{B025F937-C7B1-47D3-B67F-A62EFF666E3E}">
          <x14:id>{ED4393DC-3DD7-44F4-BD73-812287B35015}</x14:id>
        </ext>
      </extLst>
    </cfRule>
  </conditionalFormatting>
  <conditionalFormatting sqref="C8:D8">
    <cfRule type="dataBar" priority="39">
      <dataBar>
        <cfvo type="min"/>
        <cfvo type="max"/>
        <color rgb="FF008AEF"/>
      </dataBar>
      <extLst>
        <ext xmlns:x14="http://schemas.microsoft.com/office/spreadsheetml/2009/9/main" uri="{B025F937-C7B1-47D3-B67F-A62EFF666E3E}">
          <x14:id>{6AFB50A7-4354-432E-AB44-730DEDA3FE10}</x14:id>
        </ext>
      </extLst>
    </cfRule>
  </conditionalFormatting>
  <conditionalFormatting sqref="C9:D9">
    <cfRule type="dataBar" priority="38">
      <dataBar>
        <cfvo type="min"/>
        <cfvo type="max"/>
        <color rgb="FF008AEF"/>
      </dataBar>
      <extLst>
        <ext xmlns:x14="http://schemas.microsoft.com/office/spreadsheetml/2009/9/main" uri="{B025F937-C7B1-47D3-B67F-A62EFF666E3E}">
          <x14:id>{DC7D11B2-0628-45D6-83E9-5862C05300CF}</x14:id>
        </ext>
      </extLst>
    </cfRule>
  </conditionalFormatting>
  <conditionalFormatting sqref="C10:D10">
    <cfRule type="dataBar" priority="37">
      <dataBar>
        <cfvo type="min"/>
        <cfvo type="max"/>
        <color rgb="FF008AEF"/>
      </dataBar>
      <extLst>
        <ext xmlns:x14="http://schemas.microsoft.com/office/spreadsheetml/2009/9/main" uri="{B025F937-C7B1-47D3-B67F-A62EFF666E3E}">
          <x14:id>{DE4F78FF-D713-436C-A307-F5F9B2B6C629}</x14:id>
        </ext>
      </extLst>
    </cfRule>
  </conditionalFormatting>
  <conditionalFormatting sqref="C11:D11">
    <cfRule type="dataBar" priority="36">
      <dataBar>
        <cfvo type="min"/>
        <cfvo type="max"/>
        <color rgb="FF008AEF"/>
      </dataBar>
      <extLst>
        <ext xmlns:x14="http://schemas.microsoft.com/office/spreadsheetml/2009/9/main" uri="{B025F937-C7B1-47D3-B67F-A62EFF666E3E}">
          <x14:id>{0492CA0C-B355-467E-AD83-8EE7289067CC}</x14:id>
        </ext>
      </extLst>
    </cfRule>
  </conditionalFormatting>
  <conditionalFormatting sqref="C12:D12">
    <cfRule type="dataBar" priority="35">
      <dataBar>
        <cfvo type="min"/>
        <cfvo type="max"/>
        <color rgb="FF008AEF"/>
      </dataBar>
      <extLst>
        <ext xmlns:x14="http://schemas.microsoft.com/office/spreadsheetml/2009/9/main" uri="{B025F937-C7B1-47D3-B67F-A62EFF666E3E}">
          <x14:id>{258A3FAD-D297-4DE2-B541-0C22D0279D1A}</x14:id>
        </ext>
      </extLst>
    </cfRule>
  </conditionalFormatting>
  <conditionalFormatting sqref="C13:D13">
    <cfRule type="dataBar" priority="34">
      <dataBar>
        <cfvo type="min"/>
        <cfvo type="max"/>
        <color rgb="FF008AEF"/>
      </dataBar>
      <extLst>
        <ext xmlns:x14="http://schemas.microsoft.com/office/spreadsheetml/2009/9/main" uri="{B025F937-C7B1-47D3-B67F-A62EFF666E3E}">
          <x14:id>{7FC1EE11-4F0C-4BEA-A50F-5D2DD882FEB1}</x14:id>
        </ext>
      </extLst>
    </cfRule>
  </conditionalFormatting>
  <conditionalFormatting sqref="C14:D14">
    <cfRule type="dataBar" priority="33">
      <dataBar>
        <cfvo type="min"/>
        <cfvo type="max"/>
        <color rgb="FF008AEF"/>
      </dataBar>
      <extLst>
        <ext xmlns:x14="http://schemas.microsoft.com/office/spreadsheetml/2009/9/main" uri="{B025F937-C7B1-47D3-B67F-A62EFF666E3E}">
          <x14:id>{76308556-7B6B-49EF-95B9-54971051F5D8}</x14:id>
        </ext>
      </extLst>
    </cfRule>
  </conditionalFormatting>
  <conditionalFormatting sqref="C15:D15">
    <cfRule type="dataBar" priority="32">
      <dataBar>
        <cfvo type="min"/>
        <cfvo type="max"/>
        <color rgb="FF008AEF"/>
      </dataBar>
      <extLst>
        <ext xmlns:x14="http://schemas.microsoft.com/office/spreadsheetml/2009/9/main" uri="{B025F937-C7B1-47D3-B67F-A62EFF666E3E}">
          <x14:id>{D2597D48-06A8-4829-8A62-58460D0A6EB7}</x14:id>
        </ext>
      </extLst>
    </cfRule>
  </conditionalFormatting>
  <conditionalFormatting sqref="C16:D16">
    <cfRule type="dataBar" priority="31">
      <dataBar>
        <cfvo type="min"/>
        <cfvo type="max"/>
        <color rgb="FF008AEF"/>
      </dataBar>
      <extLst>
        <ext xmlns:x14="http://schemas.microsoft.com/office/spreadsheetml/2009/9/main" uri="{B025F937-C7B1-47D3-B67F-A62EFF666E3E}">
          <x14:id>{AFAB8DAA-F7ED-4CFA-9D29-9AD2D642C0E6}</x14:id>
        </ext>
      </extLst>
    </cfRule>
  </conditionalFormatting>
  <conditionalFormatting sqref="C17:D17">
    <cfRule type="dataBar" priority="30">
      <dataBar>
        <cfvo type="min"/>
        <cfvo type="max"/>
        <color rgb="FF008AEF"/>
      </dataBar>
      <extLst>
        <ext xmlns:x14="http://schemas.microsoft.com/office/spreadsheetml/2009/9/main" uri="{B025F937-C7B1-47D3-B67F-A62EFF666E3E}">
          <x14:id>{FDD71BB4-FB5F-427B-B5CD-C9A3047BF415}</x14:id>
        </ext>
      </extLst>
    </cfRule>
  </conditionalFormatting>
  <conditionalFormatting sqref="C18:D18">
    <cfRule type="dataBar" priority="29">
      <dataBar>
        <cfvo type="min"/>
        <cfvo type="max"/>
        <color rgb="FF008AEF"/>
      </dataBar>
      <extLst>
        <ext xmlns:x14="http://schemas.microsoft.com/office/spreadsheetml/2009/9/main" uri="{B025F937-C7B1-47D3-B67F-A62EFF666E3E}">
          <x14:id>{02026792-1C61-4D1D-A5DE-D72202CF2A37}</x14:id>
        </ext>
      </extLst>
    </cfRule>
  </conditionalFormatting>
  <conditionalFormatting sqref="C19:D19">
    <cfRule type="dataBar" priority="28">
      <dataBar>
        <cfvo type="min"/>
        <cfvo type="max"/>
        <color rgb="FF008AEF"/>
      </dataBar>
      <extLst>
        <ext xmlns:x14="http://schemas.microsoft.com/office/spreadsheetml/2009/9/main" uri="{B025F937-C7B1-47D3-B67F-A62EFF666E3E}">
          <x14:id>{2563DF31-7D86-4621-882C-2770105A575C}</x14:id>
        </ext>
      </extLst>
    </cfRule>
  </conditionalFormatting>
  <conditionalFormatting sqref="C20:D20">
    <cfRule type="dataBar" priority="27">
      <dataBar>
        <cfvo type="min"/>
        <cfvo type="max"/>
        <color rgb="FF008AEF"/>
      </dataBar>
      <extLst>
        <ext xmlns:x14="http://schemas.microsoft.com/office/spreadsheetml/2009/9/main" uri="{B025F937-C7B1-47D3-B67F-A62EFF666E3E}">
          <x14:id>{533D9B4C-C98C-44D9-848A-B0E3D82CD1CC}</x14:id>
        </ext>
      </extLst>
    </cfRule>
  </conditionalFormatting>
  <conditionalFormatting sqref="C21:D21">
    <cfRule type="dataBar" priority="26">
      <dataBar>
        <cfvo type="min"/>
        <cfvo type="max"/>
        <color rgb="FF008AEF"/>
      </dataBar>
      <extLst>
        <ext xmlns:x14="http://schemas.microsoft.com/office/spreadsheetml/2009/9/main" uri="{B025F937-C7B1-47D3-B67F-A62EFF666E3E}">
          <x14:id>{B287E28D-A169-4C2D-8ECF-591F66386538}</x14:id>
        </ext>
      </extLst>
    </cfRule>
  </conditionalFormatting>
  <conditionalFormatting sqref="C22:D22">
    <cfRule type="dataBar" priority="25">
      <dataBar>
        <cfvo type="min"/>
        <cfvo type="max"/>
        <color rgb="FF008AEF"/>
      </dataBar>
      <extLst>
        <ext xmlns:x14="http://schemas.microsoft.com/office/spreadsheetml/2009/9/main" uri="{B025F937-C7B1-47D3-B67F-A62EFF666E3E}">
          <x14:id>{1CFD6BB9-1AC3-430F-B0F3-651DAA511E33}</x14:id>
        </ext>
      </extLst>
    </cfRule>
  </conditionalFormatting>
  <conditionalFormatting sqref="C23:D23">
    <cfRule type="dataBar" priority="24">
      <dataBar>
        <cfvo type="min"/>
        <cfvo type="max"/>
        <color rgb="FF008AEF"/>
      </dataBar>
      <extLst>
        <ext xmlns:x14="http://schemas.microsoft.com/office/spreadsheetml/2009/9/main" uri="{B025F937-C7B1-47D3-B67F-A62EFF666E3E}">
          <x14:id>{BDCD93B2-20A2-4E44-8D1A-0D9B51CE178F}</x14:id>
        </ext>
      </extLst>
    </cfRule>
  </conditionalFormatting>
  <conditionalFormatting sqref="C24:D24">
    <cfRule type="dataBar" priority="23">
      <dataBar>
        <cfvo type="min"/>
        <cfvo type="max"/>
        <color rgb="FF008AEF"/>
      </dataBar>
      <extLst>
        <ext xmlns:x14="http://schemas.microsoft.com/office/spreadsheetml/2009/9/main" uri="{B025F937-C7B1-47D3-B67F-A62EFF666E3E}">
          <x14:id>{98745771-B8E6-4B96-8E59-9F4DEBC3D638}</x14:id>
        </ext>
      </extLst>
    </cfRule>
  </conditionalFormatting>
  <conditionalFormatting sqref="C25:D25">
    <cfRule type="dataBar" priority="22">
      <dataBar>
        <cfvo type="min"/>
        <cfvo type="max"/>
        <color rgb="FF008AEF"/>
      </dataBar>
      <extLst>
        <ext xmlns:x14="http://schemas.microsoft.com/office/spreadsheetml/2009/9/main" uri="{B025F937-C7B1-47D3-B67F-A62EFF666E3E}">
          <x14:id>{2E62BA9D-FC3C-472F-9B89-29A75DFE022C}</x14:id>
        </ext>
      </extLst>
    </cfRule>
  </conditionalFormatting>
  <conditionalFormatting sqref="C26:D26">
    <cfRule type="dataBar" priority="21">
      <dataBar>
        <cfvo type="min"/>
        <cfvo type="max"/>
        <color rgb="FF008AEF"/>
      </dataBar>
      <extLst>
        <ext xmlns:x14="http://schemas.microsoft.com/office/spreadsheetml/2009/9/main" uri="{B025F937-C7B1-47D3-B67F-A62EFF666E3E}">
          <x14:id>{13624426-5B32-474D-87B3-CD171AA7C256}</x14:id>
        </ext>
      </extLst>
    </cfRule>
  </conditionalFormatting>
  <conditionalFormatting sqref="C27:D27">
    <cfRule type="dataBar" priority="20">
      <dataBar>
        <cfvo type="min"/>
        <cfvo type="max"/>
        <color rgb="FF008AEF"/>
      </dataBar>
      <extLst>
        <ext xmlns:x14="http://schemas.microsoft.com/office/spreadsheetml/2009/9/main" uri="{B025F937-C7B1-47D3-B67F-A62EFF666E3E}">
          <x14:id>{4DB6B859-DECD-4687-BDC8-C954FFB280C1}</x14:id>
        </ext>
      </extLst>
    </cfRule>
  </conditionalFormatting>
  <conditionalFormatting sqref="C28:D28">
    <cfRule type="dataBar" priority="19">
      <dataBar>
        <cfvo type="min"/>
        <cfvo type="max"/>
        <color rgb="FF008AEF"/>
      </dataBar>
      <extLst>
        <ext xmlns:x14="http://schemas.microsoft.com/office/spreadsheetml/2009/9/main" uri="{B025F937-C7B1-47D3-B67F-A62EFF666E3E}">
          <x14:id>{E0258F8F-B19E-4075-B526-282E9D1B12EC}</x14:id>
        </ext>
      </extLst>
    </cfRule>
  </conditionalFormatting>
  <conditionalFormatting sqref="C29:D29">
    <cfRule type="dataBar" priority="18">
      <dataBar>
        <cfvo type="min"/>
        <cfvo type="max"/>
        <color rgb="FF008AEF"/>
      </dataBar>
      <extLst>
        <ext xmlns:x14="http://schemas.microsoft.com/office/spreadsheetml/2009/9/main" uri="{B025F937-C7B1-47D3-B67F-A62EFF666E3E}">
          <x14:id>{9000CE4D-6181-44E0-AD4E-D95FCD8417F4}</x14:id>
        </ext>
      </extLst>
    </cfRule>
  </conditionalFormatting>
  <conditionalFormatting sqref="C30:D30">
    <cfRule type="dataBar" priority="17">
      <dataBar>
        <cfvo type="min"/>
        <cfvo type="max"/>
        <color rgb="FF008AEF"/>
      </dataBar>
      <extLst>
        <ext xmlns:x14="http://schemas.microsoft.com/office/spreadsheetml/2009/9/main" uri="{B025F937-C7B1-47D3-B67F-A62EFF666E3E}">
          <x14:id>{82C3694B-061F-4C1F-9CD0-D58CDD33335C}</x14:id>
        </ext>
      </extLst>
    </cfRule>
  </conditionalFormatting>
  <conditionalFormatting sqref="C31:D31">
    <cfRule type="dataBar" priority="16">
      <dataBar>
        <cfvo type="min"/>
        <cfvo type="max"/>
        <color rgb="FF008AEF"/>
      </dataBar>
      <extLst>
        <ext xmlns:x14="http://schemas.microsoft.com/office/spreadsheetml/2009/9/main" uri="{B025F937-C7B1-47D3-B67F-A62EFF666E3E}">
          <x14:id>{53094E13-F10E-4A3E-9306-D6B16426E938}</x14:id>
        </ext>
      </extLst>
    </cfRule>
  </conditionalFormatting>
  <conditionalFormatting sqref="C32:D32">
    <cfRule type="dataBar" priority="15">
      <dataBar>
        <cfvo type="min"/>
        <cfvo type="max"/>
        <color rgb="FF008AEF"/>
      </dataBar>
      <extLst>
        <ext xmlns:x14="http://schemas.microsoft.com/office/spreadsheetml/2009/9/main" uri="{B025F937-C7B1-47D3-B67F-A62EFF666E3E}">
          <x14:id>{0B5047AE-9196-47A3-A2EB-3754EF91A5C5}</x14:id>
        </ext>
      </extLst>
    </cfRule>
  </conditionalFormatting>
  <conditionalFormatting sqref="C33:D33">
    <cfRule type="dataBar" priority="14">
      <dataBar>
        <cfvo type="min"/>
        <cfvo type="max"/>
        <color rgb="FF008AEF"/>
      </dataBar>
      <extLst>
        <ext xmlns:x14="http://schemas.microsoft.com/office/spreadsheetml/2009/9/main" uri="{B025F937-C7B1-47D3-B67F-A62EFF666E3E}">
          <x14:id>{27A00E62-94A4-4CB0-838F-895B406AEC41}</x14:id>
        </ext>
      </extLst>
    </cfRule>
  </conditionalFormatting>
  <conditionalFormatting sqref="C34:D34">
    <cfRule type="dataBar" priority="13">
      <dataBar>
        <cfvo type="min"/>
        <cfvo type="max"/>
        <color rgb="FF008AEF"/>
      </dataBar>
      <extLst>
        <ext xmlns:x14="http://schemas.microsoft.com/office/spreadsheetml/2009/9/main" uri="{B025F937-C7B1-47D3-B67F-A62EFF666E3E}">
          <x14:id>{AB3F93D7-6654-4845-A00A-723496AB0D9D}</x14:id>
        </ext>
      </extLst>
    </cfRule>
  </conditionalFormatting>
  <conditionalFormatting sqref="E3:F30 E31:O34">
    <cfRule type="cellIs" dxfId="31" priority="1" operator="greaterThan">
      <formula>0</formula>
    </cfRule>
  </conditionalFormatting>
  <conditionalFormatting sqref="G7:O30">
    <cfRule type="cellIs" dxfId="30" priority="11" operator="greaterThan">
      <formula>0</formula>
    </cfRule>
  </conditionalFormatting>
  <conditionalFormatting sqref="G3:P6">
    <cfRule type="cellIs" dxfId="29"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D086B74-1EFD-4465-829E-763FF6CD57B0}">
            <x14:dataBar minLength="0" maxLength="100" gradient="0">
              <x14:cfvo type="autoMin"/>
              <x14:cfvo type="autoMax"/>
              <x14:negativeFillColor rgb="FFFF0000"/>
              <x14:axisColor rgb="FF000000"/>
            </x14:dataBar>
          </x14:cfRule>
          <xm:sqref>C3:D3 D4:D6</xm:sqref>
        </x14:conditionalFormatting>
        <x14:conditionalFormatting xmlns:xm="http://schemas.microsoft.com/office/excel/2006/main">
          <x14:cfRule type="dataBar" id="{C9DB538D-2462-4196-9685-715F9ACE4492}">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2532CAC-8296-4360-A5E3-EE38E018EEB5}">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5175D555-BF53-4775-A6A0-1D4B9C35F6C4}">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ED4393DC-3DD7-44F4-BD73-812287B3501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6AFB50A7-4354-432E-AB44-730DEDA3FE10}">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DC7D11B2-0628-45D6-83E9-5862C05300CF}">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DE4F78FF-D713-436C-A307-F5F9B2B6C629}">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0492CA0C-B355-467E-AD83-8EE7289067C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258A3FAD-D297-4DE2-B541-0C22D0279D1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7FC1EE11-4F0C-4BEA-A50F-5D2DD882FEB1}">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76308556-7B6B-49EF-95B9-54971051F5D8}">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D2597D48-06A8-4829-8A62-58460D0A6EB7}">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AFAB8DAA-F7ED-4CFA-9D29-9AD2D642C0E6}">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DD71BB4-FB5F-427B-B5CD-C9A3047BF415}">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02026792-1C61-4D1D-A5DE-D72202CF2A37}">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2563DF31-7D86-4621-882C-2770105A575C}">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533D9B4C-C98C-44D9-848A-B0E3D82CD1CC}">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B287E28D-A169-4C2D-8ECF-591F66386538}">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1CFD6BB9-1AC3-430F-B0F3-651DAA511E33}">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BDCD93B2-20A2-4E44-8D1A-0D9B51CE178F}">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98745771-B8E6-4B96-8E59-9F4DEBC3D638}">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2E62BA9D-FC3C-472F-9B89-29A75DFE022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13624426-5B32-474D-87B3-CD171AA7C256}">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4DB6B859-DECD-4687-BDC8-C954FFB280C1}">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E0258F8F-B19E-4075-B526-282E9D1B12EC}">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9000CE4D-6181-44E0-AD4E-D95FCD8417F4}">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82C3694B-061F-4C1F-9CD0-D58CDD33335C}">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53094E13-F10E-4A3E-9306-D6B16426E938}">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0B5047AE-9196-47A3-A2EB-3754EF91A5C5}">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27A00E62-94A4-4CB0-838F-895B406AEC4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AB3F93D7-6654-4845-A00A-723496AB0D9D}">
            <x14:dataBar minLength="0" maxLength="100" gradient="0">
              <x14:cfvo type="autoMin"/>
              <x14:cfvo type="autoMax"/>
              <x14:negativeFillColor rgb="FFFF0000"/>
              <x14:axisColor rgb="FF000000"/>
            </x14:dataBar>
          </x14:cfRule>
          <xm:sqref>C34:D34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8"/>
  <sheetViews>
    <sheetView topLeftCell="B1" zoomScale="80" zoomScaleNormal="80" workbookViewId="0">
      <selection activeCell="L6" sqref="L6"/>
    </sheetView>
  </sheetViews>
  <sheetFormatPr baseColWidth="10" defaultColWidth="11.42578125" defaultRowHeight="15" x14ac:dyDescent="0.25"/>
  <cols>
    <col min="1" max="1" width="9" style="2" customWidth="1"/>
    <col min="2" max="2" width="90.140625" style="2" customWidth="1"/>
    <col min="3" max="3" width="11.42578125" style="2"/>
    <col min="4" max="4" width="22.42578125" style="2" customWidth="1"/>
    <col min="5" max="8" width="17.28515625" style="2" customWidth="1"/>
    <col min="9" max="16384" width="11.42578125" style="2"/>
  </cols>
  <sheetData>
    <row r="1" spans="1:16" ht="61.5" customHeight="1" x14ac:dyDescent="0.25">
      <c r="A1" s="62" t="s">
        <v>1</v>
      </c>
      <c r="B1" s="29" t="s">
        <v>29</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x14ac:dyDescent="0.25">
      <c r="A3" s="52" t="s">
        <v>18</v>
      </c>
      <c r="B3" s="4" t="s">
        <v>17</v>
      </c>
      <c r="C3" s="34">
        <v>2</v>
      </c>
      <c r="D3" s="35">
        <f t="shared" ref="D3:D8" si="0">SUM(E3:P3)</f>
        <v>1</v>
      </c>
      <c r="E3" s="36"/>
      <c r="F3" s="36"/>
      <c r="G3" s="36"/>
      <c r="H3" s="36"/>
      <c r="I3" s="36">
        <v>1</v>
      </c>
      <c r="J3" s="36"/>
      <c r="K3" s="36"/>
      <c r="L3" s="36"/>
      <c r="M3" s="36"/>
      <c r="N3" s="36"/>
      <c r="O3" s="36"/>
      <c r="P3" s="36"/>
    </row>
    <row r="4" spans="1:16" ht="81" customHeight="1" x14ac:dyDescent="0.25">
      <c r="A4" s="53" t="s">
        <v>20</v>
      </c>
      <c r="B4" s="6" t="s">
        <v>19</v>
      </c>
      <c r="C4" s="39">
        <v>2</v>
      </c>
      <c r="D4" s="35">
        <f t="shared" si="0"/>
        <v>1</v>
      </c>
      <c r="E4" s="36">
        <v>0</v>
      </c>
      <c r="F4" s="36">
        <v>0</v>
      </c>
      <c r="G4" s="36">
        <v>0</v>
      </c>
      <c r="H4" s="36">
        <v>0</v>
      </c>
      <c r="I4" s="36">
        <v>1</v>
      </c>
      <c r="J4" s="36"/>
      <c r="K4" s="36"/>
      <c r="L4" s="36"/>
      <c r="M4" s="36"/>
      <c r="N4" s="36"/>
      <c r="O4" s="36"/>
      <c r="P4" s="36"/>
    </row>
    <row r="5" spans="1:16" ht="81" customHeight="1" x14ac:dyDescent="0.25">
      <c r="A5" s="52" t="s">
        <v>18</v>
      </c>
      <c r="B5" s="4" t="s">
        <v>21</v>
      </c>
      <c r="C5" s="41">
        <v>1</v>
      </c>
      <c r="D5" s="35">
        <f t="shared" si="0"/>
        <v>1</v>
      </c>
      <c r="E5" s="36">
        <v>1</v>
      </c>
      <c r="F5" s="36"/>
      <c r="G5" s="36"/>
      <c r="H5" s="36"/>
      <c r="I5" s="36"/>
      <c r="J5" s="36"/>
      <c r="K5" s="36"/>
      <c r="L5" s="36"/>
      <c r="M5" s="36"/>
      <c r="N5" s="36"/>
      <c r="O5" s="36"/>
      <c r="P5" s="36"/>
    </row>
    <row r="6" spans="1:16" ht="81" customHeight="1" x14ac:dyDescent="0.25">
      <c r="A6" s="54" t="s">
        <v>23</v>
      </c>
      <c r="B6" s="8" t="s">
        <v>22</v>
      </c>
      <c r="C6" s="44">
        <v>2</v>
      </c>
      <c r="D6" s="35">
        <f t="shared" si="0"/>
        <v>0</v>
      </c>
      <c r="E6" s="36">
        <v>0</v>
      </c>
      <c r="F6" s="36">
        <v>0</v>
      </c>
      <c r="G6" s="36">
        <v>0</v>
      </c>
      <c r="H6" s="36">
        <v>0</v>
      </c>
      <c r="I6" s="36"/>
      <c r="J6" s="36"/>
      <c r="K6" s="36"/>
      <c r="L6" s="36"/>
      <c r="M6" s="36"/>
      <c r="N6" s="36"/>
      <c r="O6" s="36"/>
      <c r="P6" s="36"/>
    </row>
    <row r="7" spans="1:16" ht="81" customHeight="1" x14ac:dyDescent="0.25">
      <c r="A7" s="52" t="s">
        <v>18</v>
      </c>
      <c r="B7" s="4" t="s">
        <v>24</v>
      </c>
      <c r="C7" s="44">
        <v>2</v>
      </c>
      <c r="D7" s="35">
        <f t="shared" si="0"/>
        <v>1</v>
      </c>
      <c r="E7" s="36">
        <v>1</v>
      </c>
      <c r="F7" s="36"/>
      <c r="G7" s="36"/>
      <c r="H7" s="36"/>
      <c r="I7" s="36"/>
      <c r="J7" s="36"/>
      <c r="K7" s="36"/>
      <c r="L7" s="36"/>
      <c r="M7" s="36"/>
      <c r="N7" s="36"/>
      <c r="O7" s="36"/>
      <c r="P7" s="36"/>
    </row>
    <row r="8" spans="1:16" ht="81" customHeight="1" x14ac:dyDescent="0.25">
      <c r="A8" s="52" t="s">
        <v>18</v>
      </c>
      <c r="B8" s="4" t="s">
        <v>25</v>
      </c>
      <c r="C8" s="44">
        <v>1</v>
      </c>
      <c r="D8" s="35">
        <f t="shared" si="0"/>
        <v>1</v>
      </c>
      <c r="E8" s="36"/>
      <c r="F8" s="36"/>
      <c r="G8" s="36"/>
      <c r="H8" s="36">
        <v>1</v>
      </c>
      <c r="I8" s="36"/>
      <c r="J8" s="36"/>
      <c r="K8" s="36"/>
      <c r="L8" s="36"/>
      <c r="M8" s="36"/>
      <c r="N8" s="36"/>
      <c r="O8" s="36"/>
      <c r="P8" s="36"/>
    </row>
    <row r="9" spans="1:16" ht="28.5" customHeight="1" x14ac:dyDescent="0.25">
      <c r="A9" s="64" t="s">
        <v>76</v>
      </c>
      <c r="B9" s="45" t="s">
        <v>77</v>
      </c>
      <c r="C9" s="44">
        <v>3</v>
      </c>
      <c r="D9" s="35">
        <f t="shared" ref="D9:D36" si="1">SUM(E9:O9)</f>
        <v>2</v>
      </c>
      <c r="E9" s="36">
        <v>1</v>
      </c>
      <c r="F9" s="36"/>
      <c r="G9" s="36"/>
      <c r="H9" s="36"/>
      <c r="I9" s="36">
        <v>1</v>
      </c>
      <c r="J9" s="36"/>
      <c r="K9" s="36"/>
      <c r="L9" s="36"/>
      <c r="M9" s="36"/>
      <c r="N9" s="36"/>
      <c r="O9" s="36"/>
      <c r="P9" s="46"/>
    </row>
    <row r="10" spans="1:16" ht="28.5" customHeight="1" x14ac:dyDescent="0.25">
      <c r="A10" s="65"/>
      <c r="B10" s="45" t="s">
        <v>78</v>
      </c>
      <c r="C10" s="44">
        <v>3</v>
      </c>
      <c r="D10" s="35">
        <f t="shared" si="1"/>
        <v>3</v>
      </c>
      <c r="E10" s="36"/>
      <c r="F10" s="36"/>
      <c r="G10" s="36">
        <v>3</v>
      </c>
      <c r="H10" s="36"/>
      <c r="I10" s="36"/>
      <c r="J10" s="36"/>
      <c r="K10" s="36"/>
      <c r="L10" s="36"/>
      <c r="M10" s="36"/>
      <c r="N10" s="36"/>
      <c r="O10" s="36"/>
      <c r="P10" s="46"/>
    </row>
    <row r="11" spans="1:16" ht="28.5" customHeight="1" x14ac:dyDescent="0.25">
      <c r="A11" s="65"/>
      <c r="B11" s="45" t="s">
        <v>79</v>
      </c>
      <c r="C11" s="44">
        <v>48</v>
      </c>
      <c r="D11" s="35">
        <f t="shared" si="1"/>
        <v>20</v>
      </c>
      <c r="E11" s="36">
        <v>4</v>
      </c>
      <c r="F11" s="36">
        <v>4</v>
      </c>
      <c r="G11" s="36">
        <v>4</v>
      </c>
      <c r="H11" s="36">
        <v>4</v>
      </c>
      <c r="I11" s="36">
        <v>4</v>
      </c>
      <c r="J11" s="36"/>
      <c r="K11" s="36"/>
      <c r="L11" s="36"/>
      <c r="M11" s="36"/>
      <c r="N11" s="36"/>
      <c r="O11" s="36"/>
      <c r="P11" s="46"/>
    </row>
    <row r="12" spans="1:16" ht="28.5" customHeight="1" x14ac:dyDescent="0.25">
      <c r="A12" s="65"/>
      <c r="B12" s="45" t="s">
        <v>80</v>
      </c>
      <c r="C12" s="44">
        <v>125</v>
      </c>
      <c r="D12" s="35">
        <f t="shared" si="1"/>
        <v>85</v>
      </c>
      <c r="E12" s="36">
        <v>13</v>
      </c>
      <c r="F12" s="36">
        <v>29</v>
      </c>
      <c r="G12" s="36"/>
      <c r="H12" s="36">
        <v>43</v>
      </c>
      <c r="I12" s="36"/>
      <c r="J12" s="36"/>
      <c r="K12" s="36"/>
      <c r="L12" s="36"/>
      <c r="M12" s="36"/>
      <c r="N12" s="36"/>
      <c r="O12" s="36"/>
      <c r="P12" s="46"/>
    </row>
    <row r="13" spans="1:16" ht="28.5" customHeight="1" x14ac:dyDescent="0.25">
      <c r="A13" s="65"/>
      <c r="B13" s="45" t="s">
        <v>81</v>
      </c>
      <c r="C13" s="44">
        <v>0</v>
      </c>
      <c r="D13" s="35">
        <f t="shared" si="1"/>
        <v>0</v>
      </c>
      <c r="E13" s="36"/>
      <c r="F13" s="36"/>
      <c r="G13" s="36"/>
      <c r="H13" s="36"/>
      <c r="I13" s="36"/>
      <c r="J13" s="36"/>
      <c r="K13" s="36"/>
      <c r="L13" s="36"/>
      <c r="M13" s="36"/>
      <c r="N13" s="36"/>
      <c r="O13" s="36"/>
      <c r="P13" s="46"/>
    </row>
    <row r="14" spans="1:16" ht="28.5" customHeight="1" x14ac:dyDescent="0.25">
      <c r="A14" s="65"/>
      <c r="B14" s="45" t="s">
        <v>82</v>
      </c>
      <c r="C14" s="44">
        <v>5</v>
      </c>
      <c r="D14" s="35">
        <f t="shared" si="1"/>
        <v>0</v>
      </c>
      <c r="E14" s="36"/>
      <c r="F14" s="36"/>
      <c r="G14" s="36"/>
      <c r="H14" s="36"/>
      <c r="I14" s="36"/>
      <c r="J14" s="36"/>
      <c r="K14" s="36"/>
      <c r="L14" s="36"/>
      <c r="M14" s="36"/>
      <c r="N14" s="36"/>
      <c r="O14" s="36"/>
      <c r="P14" s="46"/>
    </row>
    <row r="15" spans="1:16" ht="28.5" customHeight="1" x14ac:dyDescent="0.25">
      <c r="A15" s="65"/>
      <c r="B15" s="45" t="s">
        <v>83</v>
      </c>
      <c r="C15" s="44">
        <v>0</v>
      </c>
      <c r="D15" s="35">
        <f t="shared" si="1"/>
        <v>0</v>
      </c>
      <c r="E15" s="36"/>
      <c r="F15" s="36"/>
      <c r="G15" s="36"/>
      <c r="H15" s="36"/>
      <c r="I15" s="36"/>
      <c r="J15" s="36"/>
      <c r="K15" s="36"/>
      <c r="L15" s="36"/>
      <c r="M15" s="36"/>
      <c r="N15" s="36"/>
      <c r="O15" s="36"/>
      <c r="P15" s="46"/>
    </row>
    <row r="16" spans="1:16" ht="28.5" customHeight="1" x14ac:dyDescent="0.25">
      <c r="A16" s="65"/>
      <c r="B16" s="45" t="s">
        <v>84</v>
      </c>
      <c r="C16" s="44">
        <v>0</v>
      </c>
      <c r="D16" s="35">
        <f t="shared" si="1"/>
        <v>0</v>
      </c>
      <c r="E16" s="36"/>
      <c r="F16" s="36"/>
      <c r="G16" s="36"/>
      <c r="H16" s="36"/>
      <c r="I16" s="36"/>
      <c r="J16" s="36"/>
      <c r="K16" s="36"/>
      <c r="L16" s="36"/>
      <c r="M16" s="36"/>
      <c r="N16" s="36"/>
      <c r="O16" s="36"/>
      <c r="P16" s="46"/>
    </row>
    <row r="17" spans="1:16" ht="28.5" customHeight="1" x14ac:dyDescent="0.25">
      <c r="A17" s="65"/>
      <c r="B17" s="45" t="s">
        <v>85</v>
      </c>
      <c r="C17" s="44">
        <v>1</v>
      </c>
      <c r="D17" s="35">
        <f t="shared" si="1"/>
        <v>0</v>
      </c>
      <c r="E17" s="36"/>
      <c r="F17" s="36"/>
      <c r="G17" s="36"/>
      <c r="H17" s="36"/>
      <c r="I17" s="36"/>
      <c r="J17" s="36"/>
      <c r="K17" s="36"/>
      <c r="L17" s="36"/>
      <c r="M17" s="36"/>
      <c r="N17" s="36"/>
      <c r="O17" s="36"/>
      <c r="P17" s="46"/>
    </row>
    <row r="18" spans="1:16" ht="28.5" customHeight="1" x14ac:dyDescent="0.25">
      <c r="A18" s="65"/>
      <c r="B18" s="45" t="s">
        <v>86</v>
      </c>
      <c r="C18" s="44">
        <v>1</v>
      </c>
      <c r="D18" s="35">
        <f t="shared" si="1"/>
        <v>1</v>
      </c>
      <c r="E18" s="36"/>
      <c r="F18" s="36"/>
      <c r="G18" s="36"/>
      <c r="H18" s="36"/>
      <c r="I18" s="36">
        <v>1</v>
      </c>
      <c r="J18" s="36"/>
      <c r="K18" s="36"/>
      <c r="L18" s="36"/>
      <c r="M18" s="36"/>
      <c r="N18" s="36"/>
      <c r="O18" s="36"/>
      <c r="P18" s="46"/>
    </row>
    <row r="19" spans="1:16" ht="28.5" customHeight="1" x14ac:dyDescent="0.25">
      <c r="A19" s="65"/>
      <c r="B19" s="45" t="s">
        <v>87</v>
      </c>
      <c r="C19" s="44">
        <v>0</v>
      </c>
      <c r="D19" s="35">
        <f t="shared" si="1"/>
        <v>0</v>
      </c>
      <c r="E19" s="36"/>
      <c r="F19" s="36"/>
      <c r="G19" s="36"/>
      <c r="H19" s="36"/>
      <c r="I19" s="36"/>
      <c r="J19" s="36"/>
      <c r="K19" s="36"/>
      <c r="L19" s="36"/>
      <c r="M19" s="36"/>
      <c r="N19" s="36"/>
      <c r="O19" s="36"/>
      <c r="P19" s="46"/>
    </row>
    <row r="20" spans="1:16" ht="28.5" customHeight="1" x14ac:dyDescent="0.25">
      <c r="A20" s="65"/>
      <c r="B20" s="45" t="s">
        <v>88</v>
      </c>
      <c r="C20" s="44">
        <v>0</v>
      </c>
      <c r="D20" s="35">
        <f t="shared" si="1"/>
        <v>0</v>
      </c>
      <c r="E20" s="36"/>
      <c r="F20" s="36"/>
      <c r="G20" s="36"/>
      <c r="H20" s="36"/>
      <c r="I20" s="36"/>
      <c r="J20" s="36"/>
      <c r="K20" s="36"/>
      <c r="L20" s="36"/>
      <c r="M20" s="36"/>
      <c r="N20" s="36"/>
      <c r="O20" s="36"/>
      <c r="P20" s="46"/>
    </row>
    <row r="21" spans="1:16" ht="28.5" customHeight="1" x14ac:dyDescent="0.25">
      <c r="A21" s="65"/>
      <c r="B21" s="45" t="s">
        <v>89</v>
      </c>
      <c r="C21" s="44">
        <v>0</v>
      </c>
      <c r="D21" s="35">
        <f t="shared" si="1"/>
        <v>0</v>
      </c>
      <c r="E21" s="36"/>
      <c r="F21" s="36"/>
      <c r="G21" s="36"/>
      <c r="H21" s="36"/>
      <c r="I21" s="36"/>
      <c r="J21" s="36"/>
      <c r="K21" s="36"/>
      <c r="L21" s="36"/>
      <c r="M21" s="36"/>
      <c r="N21" s="36"/>
      <c r="O21" s="36"/>
      <c r="P21" s="46"/>
    </row>
    <row r="22" spans="1:16" ht="28.5" customHeight="1" x14ac:dyDescent="0.25">
      <c r="A22" s="65"/>
      <c r="B22" s="45" t="s">
        <v>90</v>
      </c>
      <c r="C22" s="44">
        <v>0</v>
      </c>
      <c r="D22" s="35">
        <f t="shared" si="1"/>
        <v>0</v>
      </c>
      <c r="E22" s="36"/>
      <c r="F22" s="36"/>
      <c r="G22" s="36"/>
      <c r="H22" s="36"/>
      <c r="I22" s="36"/>
      <c r="J22" s="36"/>
      <c r="K22" s="36"/>
      <c r="L22" s="36"/>
      <c r="M22" s="36"/>
      <c r="N22" s="36"/>
      <c r="O22" s="36"/>
      <c r="P22" s="46"/>
    </row>
    <row r="23" spans="1:16" ht="28.5" customHeight="1" x14ac:dyDescent="0.25">
      <c r="A23" s="65"/>
      <c r="B23" s="45" t="s">
        <v>91</v>
      </c>
      <c r="C23" s="44">
        <v>38</v>
      </c>
      <c r="D23" s="35">
        <f t="shared" si="1"/>
        <v>0</v>
      </c>
      <c r="E23" s="36"/>
      <c r="F23" s="36"/>
      <c r="G23" s="36"/>
      <c r="H23" s="36"/>
      <c r="I23" s="36"/>
      <c r="J23" s="36"/>
      <c r="K23" s="36"/>
      <c r="L23" s="36"/>
      <c r="M23" s="36"/>
      <c r="N23" s="36"/>
      <c r="O23" s="36"/>
      <c r="P23" s="46"/>
    </row>
    <row r="24" spans="1:16" ht="28.5" customHeight="1" x14ac:dyDescent="0.25">
      <c r="A24" s="65"/>
      <c r="B24" s="45" t="s">
        <v>92</v>
      </c>
      <c r="C24" s="44">
        <v>2</v>
      </c>
      <c r="D24" s="35">
        <f t="shared" si="1"/>
        <v>0</v>
      </c>
      <c r="E24" s="36"/>
      <c r="F24" s="36"/>
      <c r="G24" s="36"/>
      <c r="H24" s="36"/>
      <c r="I24" s="36"/>
      <c r="J24" s="36"/>
      <c r="K24" s="36"/>
      <c r="L24" s="36"/>
      <c r="M24" s="36"/>
      <c r="N24" s="36"/>
      <c r="O24" s="36"/>
      <c r="P24" s="46"/>
    </row>
    <row r="25" spans="1:16" ht="24" customHeight="1" x14ac:dyDescent="0.25">
      <c r="A25" s="65"/>
      <c r="B25" s="47" t="s">
        <v>93</v>
      </c>
      <c r="C25" s="44">
        <v>12</v>
      </c>
      <c r="D25" s="35">
        <f t="shared" si="1"/>
        <v>12</v>
      </c>
      <c r="E25" s="36">
        <v>8</v>
      </c>
      <c r="F25" s="36"/>
      <c r="G25" s="36">
        <v>2</v>
      </c>
      <c r="H25" s="36">
        <v>2</v>
      </c>
      <c r="I25" s="36"/>
      <c r="J25" s="36"/>
      <c r="K25" s="36"/>
      <c r="L25" s="36"/>
      <c r="M25" s="36"/>
      <c r="N25" s="36"/>
      <c r="O25" s="36"/>
      <c r="P25" s="46"/>
    </row>
    <row r="26" spans="1:16" ht="24" customHeight="1" x14ac:dyDescent="0.25">
      <c r="A26" s="65"/>
      <c r="B26" s="47" t="s">
        <v>94</v>
      </c>
      <c r="C26" s="44">
        <v>12</v>
      </c>
      <c r="D26" s="35">
        <f t="shared" si="1"/>
        <v>12</v>
      </c>
      <c r="E26" s="36"/>
      <c r="F26" s="36"/>
      <c r="G26" s="36">
        <v>7</v>
      </c>
      <c r="H26" s="36">
        <v>5</v>
      </c>
      <c r="I26" s="36"/>
      <c r="J26" s="36"/>
      <c r="K26" s="36"/>
      <c r="L26" s="36"/>
      <c r="M26" s="36"/>
      <c r="N26" s="36"/>
      <c r="O26" s="36"/>
      <c r="P26" s="46"/>
    </row>
    <row r="27" spans="1:16" ht="24" customHeight="1" x14ac:dyDescent="0.25">
      <c r="A27" s="65"/>
      <c r="B27" s="47" t="s">
        <v>95</v>
      </c>
      <c r="C27" s="44">
        <v>12</v>
      </c>
      <c r="D27" s="35">
        <f t="shared" si="1"/>
        <v>12</v>
      </c>
      <c r="E27" s="36"/>
      <c r="F27" s="36"/>
      <c r="G27" s="36"/>
      <c r="H27" s="36"/>
      <c r="I27" s="36">
        <v>12</v>
      </c>
      <c r="J27" s="36"/>
      <c r="K27" s="36"/>
      <c r="L27" s="36"/>
      <c r="M27" s="36"/>
      <c r="N27" s="36"/>
      <c r="O27" s="36"/>
      <c r="P27" s="46"/>
    </row>
    <row r="28" spans="1:16" ht="24" customHeight="1" x14ac:dyDescent="0.25">
      <c r="A28" s="65"/>
      <c r="B28" s="47" t="s">
        <v>96</v>
      </c>
      <c r="C28" s="44">
        <v>12</v>
      </c>
      <c r="D28" s="35">
        <f t="shared" si="1"/>
        <v>0</v>
      </c>
      <c r="E28" s="36"/>
      <c r="F28" s="36"/>
      <c r="G28" s="36"/>
      <c r="H28" s="36"/>
      <c r="I28" s="36"/>
      <c r="J28" s="36"/>
      <c r="K28" s="36"/>
      <c r="L28" s="36"/>
      <c r="M28" s="36"/>
      <c r="N28" s="36"/>
      <c r="O28" s="36"/>
      <c r="P28" s="46"/>
    </row>
    <row r="29" spans="1:16" ht="24" customHeight="1" x14ac:dyDescent="0.25">
      <c r="A29" s="65"/>
      <c r="B29" s="47" t="s">
        <v>97</v>
      </c>
      <c r="C29" s="44">
        <v>12</v>
      </c>
      <c r="D29" s="35">
        <f t="shared" si="1"/>
        <v>0</v>
      </c>
      <c r="E29" s="36"/>
      <c r="F29" s="36"/>
      <c r="G29" s="36"/>
      <c r="H29" s="36"/>
      <c r="I29" s="36"/>
      <c r="J29" s="36"/>
      <c r="K29" s="36"/>
      <c r="L29" s="36"/>
      <c r="M29" s="36"/>
      <c r="N29" s="36"/>
      <c r="O29" s="36"/>
      <c r="P29" s="46"/>
    </row>
    <row r="30" spans="1:16" ht="24" customHeight="1" x14ac:dyDescent="0.25">
      <c r="A30" s="65"/>
      <c r="B30" s="47" t="s">
        <v>98</v>
      </c>
      <c r="C30" s="44">
        <v>1</v>
      </c>
      <c r="D30" s="35">
        <f t="shared" si="1"/>
        <v>0</v>
      </c>
      <c r="E30" s="36"/>
      <c r="F30" s="36"/>
      <c r="G30" s="36"/>
      <c r="H30" s="36"/>
      <c r="I30" s="36"/>
      <c r="J30" s="36"/>
      <c r="K30" s="36"/>
      <c r="L30" s="36"/>
      <c r="M30" s="36"/>
      <c r="N30" s="36"/>
      <c r="O30" s="36"/>
      <c r="P30" s="46"/>
    </row>
    <row r="31" spans="1:16" ht="24" customHeight="1" x14ac:dyDescent="0.25">
      <c r="A31" s="65"/>
      <c r="B31" s="47" t="s">
        <v>99</v>
      </c>
      <c r="C31" s="44">
        <v>1</v>
      </c>
      <c r="D31" s="35">
        <f t="shared" si="1"/>
        <v>0</v>
      </c>
      <c r="E31" s="36"/>
      <c r="F31" s="36"/>
      <c r="G31" s="36"/>
      <c r="H31" s="36"/>
      <c r="I31" s="36"/>
      <c r="J31" s="36"/>
      <c r="K31" s="36"/>
      <c r="L31" s="36"/>
      <c r="M31" s="36"/>
      <c r="N31" s="36"/>
      <c r="O31" s="36"/>
      <c r="P31" s="46"/>
    </row>
    <row r="32" spans="1:16" ht="24" customHeight="1" x14ac:dyDescent="0.25">
      <c r="A32" s="65"/>
      <c r="B32" s="47" t="s">
        <v>100</v>
      </c>
      <c r="C32" s="44">
        <v>1</v>
      </c>
      <c r="D32" s="35">
        <f t="shared" si="1"/>
        <v>0</v>
      </c>
      <c r="E32" s="36"/>
      <c r="F32" s="36"/>
      <c r="G32" s="36"/>
      <c r="H32" s="36"/>
      <c r="I32" s="36"/>
      <c r="J32" s="36"/>
      <c r="K32" s="36"/>
      <c r="L32" s="36"/>
      <c r="M32" s="36"/>
      <c r="N32" s="36"/>
      <c r="O32" s="36"/>
      <c r="P32" s="46"/>
    </row>
    <row r="33" spans="1:16" ht="24" customHeight="1" x14ac:dyDescent="0.25">
      <c r="A33" s="65"/>
      <c r="B33" s="47" t="s">
        <v>101</v>
      </c>
      <c r="C33" s="44">
        <v>1</v>
      </c>
      <c r="D33" s="35">
        <f t="shared" si="1"/>
        <v>0</v>
      </c>
      <c r="E33" s="36"/>
      <c r="F33" s="36"/>
      <c r="G33" s="36"/>
      <c r="H33" s="36"/>
      <c r="I33" s="36"/>
      <c r="J33" s="36"/>
      <c r="K33" s="36"/>
      <c r="L33" s="36"/>
      <c r="M33" s="36"/>
      <c r="N33" s="36"/>
      <c r="O33" s="36"/>
      <c r="P33" s="46"/>
    </row>
    <row r="34" spans="1:16" ht="24" customHeight="1" x14ac:dyDescent="0.25">
      <c r="A34" s="65"/>
      <c r="B34" s="47" t="s">
        <v>102</v>
      </c>
      <c r="C34" s="44">
        <v>1</v>
      </c>
      <c r="D34" s="35">
        <f t="shared" si="1"/>
        <v>0</v>
      </c>
      <c r="E34" s="36"/>
      <c r="F34" s="36"/>
      <c r="G34" s="36"/>
      <c r="H34" s="36"/>
      <c r="I34" s="36"/>
      <c r="J34" s="36"/>
      <c r="K34" s="36"/>
      <c r="L34" s="36"/>
      <c r="M34" s="36"/>
      <c r="N34" s="36"/>
      <c r="O34" s="36"/>
      <c r="P34" s="46"/>
    </row>
    <row r="35" spans="1:16" ht="24" customHeight="1" x14ac:dyDescent="0.25">
      <c r="A35" s="65"/>
      <c r="B35" s="47" t="s">
        <v>103</v>
      </c>
      <c r="C35" s="44">
        <v>1</v>
      </c>
      <c r="D35" s="35">
        <f t="shared" si="1"/>
        <v>0</v>
      </c>
      <c r="E35" s="36"/>
      <c r="F35" s="36"/>
      <c r="G35" s="36"/>
      <c r="H35" s="36"/>
      <c r="I35" s="36"/>
      <c r="J35" s="36"/>
      <c r="K35" s="36"/>
      <c r="L35" s="36"/>
      <c r="M35" s="36"/>
      <c r="N35" s="36"/>
      <c r="O35" s="36"/>
      <c r="P35" s="46"/>
    </row>
    <row r="36" spans="1:16" ht="24" customHeight="1" thickBot="1" x14ac:dyDescent="0.3">
      <c r="A36" s="66"/>
      <c r="B36" s="48" t="s">
        <v>104</v>
      </c>
      <c r="C36" s="44">
        <v>1</v>
      </c>
      <c r="D36" s="35">
        <f t="shared" si="1"/>
        <v>0</v>
      </c>
      <c r="E36" s="36"/>
      <c r="F36" s="36"/>
      <c r="G36" s="36"/>
      <c r="H36" s="36"/>
      <c r="I36" s="36"/>
      <c r="J36" s="36"/>
      <c r="K36" s="36"/>
      <c r="L36" s="36"/>
      <c r="M36" s="36"/>
      <c r="N36" s="36"/>
      <c r="O36" s="36"/>
      <c r="P36" s="46"/>
    </row>
    <row r="37" spans="1:16" x14ac:dyDescent="0.25">
      <c r="C37" s="49">
        <f>SUM(C3:C36)</f>
        <v>303</v>
      </c>
      <c r="D37" s="50">
        <f>SUM(D3:D36)</f>
        <v>152</v>
      </c>
    </row>
    <row r="38" spans="1:16" x14ac:dyDescent="0.25">
      <c r="C38" s="10"/>
      <c r="D38" s="51">
        <f>D37/C37</f>
        <v>0.50165016501650161</v>
      </c>
    </row>
  </sheetData>
  <sheetProtection algorithmName="SHA-512" hashValue="U0aKODIm9/z2QZnsJjZAG5IOuVPp+mlidfHDxq4DdUOBJEnRjHkZgE47yVurgHsHCWdN9+QcbO8j2S4NpxPX0Q==" saltValue="lhIn6fWy0y8Gh+dToSmHnw==" spinCount="100000" sheet="1" objects="1" scenarios="1" autoFilter="0"/>
  <mergeCells count="2">
    <mergeCell ref="A1:A2"/>
    <mergeCell ref="A9:A36"/>
  </mergeCells>
  <conditionalFormatting sqref="C3:D3 D4:D8">
    <cfRule type="dataBar" priority="44">
      <dataBar>
        <cfvo type="min"/>
        <cfvo type="max"/>
        <color rgb="FF008AEF"/>
      </dataBar>
      <extLst>
        <ext xmlns:x14="http://schemas.microsoft.com/office/spreadsheetml/2009/9/main" uri="{B025F937-C7B1-47D3-B67F-A62EFF666E3E}">
          <x14:id>{E35795F5-EF12-4F05-A8AA-AFD41D898A46}</x14:id>
        </ext>
      </extLst>
    </cfRule>
  </conditionalFormatting>
  <conditionalFormatting sqref="C4:D4">
    <cfRule type="dataBar" priority="4">
      <dataBar>
        <cfvo type="min"/>
        <cfvo type="max"/>
        <color rgb="FF008AEF"/>
      </dataBar>
      <extLst>
        <ext xmlns:x14="http://schemas.microsoft.com/office/spreadsheetml/2009/9/main" uri="{B025F937-C7B1-47D3-B67F-A62EFF666E3E}">
          <x14:id>{DF0118A7-EE51-4AB7-ADA6-5FED8D3FFFD7}</x14:id>
        </ext>
      </extLst>
    </cfRule>
  </conditionalFormatting>
  <conditionalFormatting sqref="C5:D5">
    <cfRule type="dataBar" priority="5">
      <dataBar>
        <cfvo type="min"/>
        <cfvo type="max"/>
        <color rgb="FF008AEF"/>
      </dataBar>
      <extLst>
        <ext xmlns:x14="http://schemas.microsoft.com/office/spreadsheetml/2009/9/main" uri="{B025F937-C7B1-47D3-B67F-A62EFF666E3E}">
          <x14:id>{0FBB5DDC-C10F-48FA-B9C2-22EBA783452E}</x14:id>
        </ext>
      </extLst>
    </cfRule>
  </conditionalFormatting>
  <conditionalFormatting sqref="C6:D6">
    <cfRule type="dataBar" priority="6">
      <dataBar>
        <cfvo type="min"/>
        <cfvo type="max"/>
        <color rgb="FF008AEF"/>
      </dataBar>
      <extLst>
        <ext xmlns:x14="http://schemas.microsoft.com/office/spreadsheetml/2009/9/main" uri="{B025F937-C7B1-47D3-B67F-A62EFF666E3E}">
          <x14:id>{0B815E28-9366-4988-84ED-D2315285BD3A}</x14:id>
        </ext>
      </extLst>
    </cfRule>
  </conditionalFormatting>
  <conditionalFormatting sqref="C7:D7">
    <cfRule type="dataBar" priority="7">
      <dataBar>
        <cfvo type="min"/>
        <cfvo type="max"/>
        <color rgb="FF008AEF"/>
      </dataBar>
      <extLst>
        <ext xmlns:x14="http://schemas.microsoft.com/office/spreadsheetml/2009/9/main" uri="{B025F937-C7B1-47D3-B67F-A62EFF666E3E}">
          <x14:id>{88A627CB-FF94-429C-A4E8-0084A266B962}</x14:id>
        </ext>
      </extLst>
    </cfRule>
  </conditionalFormatting>
  <conditionalFormatting sqref="C8:D8">
    <cfRule type="dataBar" priority="8">
      <dataBar>
        <cfvo type="min"/>
        <cfvo type="max"/>
        <color rgb="FF008AEF"/>
      </dataBar>
      <extLst>
        <ext xmlns:x14="http://schemas.microsoft.com/office/spreadsheetml/2009/9/main" uri="{B025F937-C7B1-47D3-B67F-A62EFF666E3E}">
          <x14:id>{DB88F653-4ED4-4372-B77A-DC36E570CF72}</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{FB945381-73A6-456D-AD05-D6F36E51491B}</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{3237C683-D66C-41FF-8482-1484D0FE199A}</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{E292D393-8379-4A14-BC28-3428A730FC17}</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{9460A669-8CEF-4171-9885-37CE3B616802}</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{6E98E9C0-62A2-4D24-9B30-54397CC105BA}</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{7921F998-DF7F-4BDC-B760-8E9FCD082560}</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{3E1E6832-58C1-4C45-97C5-FF7874A7B2C3}</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{7CF75CC3-BFF3-4215-BECD-DDB5437FE3AF}</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{75701497-A3E7-4A3D-9E0D-34902C4684CC}</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{FEE6FC14-1765-46D3-A6FC-689CDA75D9C3}</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{318AFB3C-10FF-40EF-A3A9-54B440FB43D7}</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{E919EAC5-ED79-42CE-A300-A684FB9AE6F1}</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{95E7303C-1CD3-412F-A131-858DEB3EE201}</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{02A6C0B7-A14C-4D46-9C24-7F47BFE986C9}</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{6FA83750-E926-498F-961B-3B83D1344C8C}</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{1902596E-3523-420A-B5E4-B6BFFB2D387E}</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{7DDC6A74-2F86-4D0D-A633-72392B0B5E39}</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{7C13FAA2-E9B6-497A-9B1E-5A5BD87C7A65}</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{C04EE786-4B8F-4B5D-AE9B-4AC0DF65B7F7}</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{3AFB079D-A998-45FD-AA4A-42FD1D0E2E2D}</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{60202934-6D67-4EE1-8E9B-2ADE1B2E3E14}</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{C5633341-F1EA-4BA3-A8EC-84498D6A23E5}</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{4E865B5C-7F73-46AF-A30A-4F168B7E4694}</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{315A280E-85EA-443F-8B9F-F4A78CE92EE7}</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{C55AA5E2-7262-45BF-94AD-6F61924401AF}</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{E2D0FEF0-40F2-46BC-A4F8-47A38199A443}</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{F96B3F95-3DD1-45BE-A385-6623A1DF0604}</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{C23FFC33-252C-479A-AD70-752925E1289B}</x14:id>
        </ext>
      </extLst>
    </cfRule>
  </conditionalFormatting>
  <conditionalFormatting sqref="E3:F32 E33:O36">
    <cfRule type="cellIs" dxfId="28" priority="1" operator="greaterThan">
      <formula>0</formula>
    </cfRule>
  </conditionalFormatting>
  <conditionalFormatting sqref="G9:O32">
    <cfRule type="cellIs" dxfId="27" priority="11" operator="greaterThan">
      <formula>0</formula>
    </cfRule>
  </conditionalFormatting>
  <conditionalFormatting sqref="G3:P8">
    <cfRule type="cellIs" dxfId="26"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35795F5-EF12-4F05-A8AA-AFD41D898A46}">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DF0118A7-EE51-4AB7-ADA6-5FED8D3FFFD7}">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0FBB5DDC-C10F-48FA-B9C2-22EBA783452E}">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B815E28-9366-4988-84ED-D2315285BD3A}">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88A627CB-FF94-429C-A4E8-0084A266B962}">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B88F653-4ED4-4372-B77A-DC36E570CF72}">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FB945381-73A6-456D-AD05-D6F36E51491B}">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3237C683-D66C-41FF-8482-1484D0FE199A}">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E292D393-8379-4A14-BC28-3428A730FC1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9460A669-8CEF-4171-9885-37CE3B616802}">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6E98E9C0-62A2-4D24-9B30-54397CC105BA}">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7921F998-DF7F-4BDC-B760-8E9FCD082560}">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3E1E6832-58C1-4C45-97C5-FF7874A7B2C3}">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7CF75CC3-BFF3-4215-BECD-DDB5437FE3AF}">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75701497-A3E7-4A3D-9E0D-34902C4684CC}">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FEE6FC14-1765-46D3-A6FC-689CDA75D9C3}">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318AFB3C-10FF-40EF-A3A9-54B440FB43D7}">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919EAC5-ED79-42CE-A300-A684FB9AE6F1}">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95E7303C-1CD3-412F-A131-858DEB3EE201}">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02A6C0B7-A14C-4D46-9C24-7F47BFE986C9}">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6FA83750-E926-498F-961B-3B83D1344C8C}">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1902596E-3523-420A-B5E4-B6BFFB2D387E}">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7DDC6A74-2F86-4D0D-A633-72392B0B5E39}">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7C13FAA2-E9B6-497A-9B1E-5A5BD87C7A65}">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04EE786-4B8F-4B5D-AE9B-4AC0DF65B7F7}">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AFB079D-A998-45FD-AA4A-42FD1D0E2E2D}">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60202934-6D67-4EE1-8E9B-2ADE1B2E3E14}">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C5633341-F1EA-4BA3-A8EC-84498D6A23E5}">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4E865B5C-7F73-46AF-A30A-4F168B7E4694}">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315A280E-85EA-443F-8B9F-F4A78CE92EE7}">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C55AA5E2-7262-45BF-94AD-6F61924401AF}">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E2D0FEF0-40F2-46BC-A4F8-47A38199A443}">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96B3F95-3DD1-45BE-A385-6623A1DF0604}">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C23FFC33-252C-479A-AD70-752925E1289B}">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P38"/>
  <sheetViews>
    <sheetView zoomScale="80" zoomScaleNormal="80" workbookViewId="0">
      <selection activeCell="K5" sqref="K5"/>
    </sheetView>
  </sheetViews>
  <sheetFormatPr baseColWidth="10" defaultColWidth="11.42578125" defaultRowHeight="15" x14ac:dyDescent="0.25"/>
  <cols>
    <col min="1" max="1" width="12.28515625" style="2" customWidth="1"/>
    <col min="2" max="2" width="89.42578125" style="2" customWidth="1"/>
    <col min="3" max="3" width="11.42578125" style="2"/>
    <col min="4" max="4" width="22.42578125" style="2" customWidth="1"/>
    <col min="5" max="9" width="17.28515625" style="2" customWidth="1"/>
    <col min="10" max="16384" width="11.42578125" style="2"/>
  </cols>
  <sheetData>
    <row r="1" spans="1:16" ht="61.5" customHeight="1" x14ac:dyDescent="0.25">
      <c r="A1" s="62" t="s">
        <v>1</v>
      </c>
      <c r="B1" s="29" t="s">
        <v>30</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x14ac:dyDescent="0.25">
      <c r="A3" s="52" t="s">
        <v>18</v>
      </c>
      <c r="B3" s="4" t="s">
        <v>31</v>
      </c>
      <c r="C3" s="34">
        <v>2</v>
      </c>
      <c r="D3" s="35">
        <f t="shared" ref="D3:D8" si="0">SUM(E3:P3)</f>
        <v>0</v>
      </c>
      <c r="E3" s="36"/>
      <c r="F3" s="36"/>
      <c r="G3" s="36"/>
      <c r="H3" s="36"/>
      <c r="I3" s="36"/>
      <c r="J3" s="36"/>
      <c r="K3" s="36"/>
      <c r="L3" s="36"/>
      <c r="M3" s="36"/>
      <c r="N3" s="36"/>
      <c r="O3" s="36"/>
      <c r="P3" s="36"/>
    </row>
    <row r="4" spans="1:16" ht="81" customHeight="1" x14ac:dyDescent="0.25">
      <c r="A4" s="53" t="s">
        <v>20</v>
      </c>
      <c r="B4" s="6" t="s">
        <v>19</v>
      </c>
      <c r="C4" s="39">
        <v>2</v>
      </c>
      <c r="D4" s="35">
        <f t="shared" si="0"/>
        <v>2</v>
      </c>
      <c r="E4" s="36">
        <v>0</v>
      </c>
      <c r="F4" s="36">
        <v>0</v>
      </c>
      <c r="G4" s="36">
        <v>0</v>
      </c>
      <c r="H4" s="36">
        <v>0</v>
      </c>
      <c r="I4" s="36">
        <v>1</v>
      </c>
      <c r="J4" s="36">
        <v>1</v>
      </c>
      <c r="K4" s="36"/>
      <c r="L4" s="36"/>
      <c r="M4" s="36"/>
      <c r="N4" s="36"/>
      <c r="O4" s="36"/>
      <c r="P4" s="36"/>
    </row>
    <row r="5" spans="1:16" ht="81" customHeight="1" x14ac:dyDescent="0.25">
      <c r="A5" s="52" t="s">
        <v>18</v>
      </c>
      <c r="B5" s="4" t="s">
        <v>32</v>
      </c>
      <c r="C5" s="41">
        <v>1</v>
      </c>
      <c r="D5" s="35">
        <f t="shared" si="0"/>
        <v>0</v>
      </c>
      <c r="E5" s="36"/>
      <c r="F5" s="36"/>
      <c r="G5" s="36"/>
      <c r="H5" s="36"/>
      <c r="I5" s="36"/>
      <c r="J5" s="36"/>
      <c r="K5" s="36"/>
      <c r="L5" s="36"/>
      <c r="M5" s="36"/>
      <c r="N5" s="36"/>
      <c r="O5" s="36"/>
      <c r="P5" s="36"/>
    </row>
    <row r="6" spans="1:16" ht="81" customHeight="1" x14ac:dyDescent="0.25">
      <c r="A6" s="54" t="s">
        <v>23</v>
      </c>
      <c r="B6" s="8" t="s">
        <v>22</v>
      </c>
      <c r="C6" s="44">
        <v>2</v>
      </c>
      <c r="D6" s="35">
        <f t="shared" si="0"/>
        <v>0</v>
      </c>
      <c r="E6" s="36">
        <v>0</v>
      </c>
      <c r="F6" s="36">
        <v>0</v>
      </c>
      <c r="G6" s="36">
        <v>0</v>
      </c>
      <c r="H6" s="36">
        <v>0</v>
      </c>
      <c r="I6" s="36"/>
      <c r="J6" s="36"/>
      <c r="K6" s="36"/>
      <c r="L6" s="36"/>
      <c r="M6" s="36"/>
      <c r="N6" s="36"/>
      <c r="O6" s="36"/>
      <c r="P6" s="36"/>
    </row>
    <row r="7" spans="1:16" ht="81" customHeight="1" x14ac:dyDescent="0.25">
      <c r="A7" s="52" t="s">
        <v>18</v>
      </c>
      <c r="B7" s="4" t="s">
        <v>33</v>
      </c>
      <c r="C7" s="44">
        <v>1</v>
      </c>
      <c r="D7" s="35">
        <f t="shared" si="0"/>
        <v>0</v>
      </c>
      <c r="E7" s="36"/>
      <c r="F7" s="36"/>
      <c r="G7" s="36"/>
      <c r="H7" s="36"/>
      <c r="I7" s="36"/>
      <c r="J7" s="36"/>
      <c r="K7" s="36"/>
      <c r="L7" s="36"/>
      <c r="M7" s="36"/>
      <c r="N7" s="36"/>
      <c r="O7" s="36"/>
      <c r="P7" s="36"/>
    </row>
    <row r="8" spans="1:16" ht="81" customHeight="1" x14ac:dyDescent="0.25">
      <c r="A8" s="52" t="s">
        <v>18</v>
      </c>
      <c r="B8" s="4" t="s">
        <v>34</v>
      </c>
      <c r="C8" s="44">
        <v>1</v>
      </c>
      <c r="D8" s="35">
        <f t="shared" si="0"/>
        <v>0</v>
      </c>
      <c r="E8" s="36"/>
      <c r="F8" s="36"/>
      <c r="G8" s="36"/>
      <c r="H8" s="36"/>
      <c r="I8" s="36"/>
      <c r="J8" s="36"/>
      <c r="K8" s="36"/>
      <c r="L8" s="36"/>
      <c r="M8" s="36"/>
      <c r="N8" s="36"/>
      <c r="O8" s="36"/>
      <c r="P8" s="36"/>
    </row>
    <row r="9" spans="1:16" ht="28.5" customHeight="1" x14ac:dyDescent="0.25">
      <c r="A9" s="64" t="s">
        <v>76</v>
      </c>
      <c r="B9" s="45" t="s">
        <v>77</v>
      </c>
      <c r="C9" s="44">
        <v>3</v>
      </c>
      <c r="D9" s="35">
        <f t="shared" ref="D9:D36" si="1">SUM(E9:O9)</f>
        <v>1</v>
      </c>
      <c r="E9" s="36"/>
      <c r="F9" s="36"/>
      <c r="G9" s="36">
        <v>1</v>
      </c>
      <c r="H9" s="36"/>
      <c r="I9" s="36"/>
      <c r="J9" s="36"/>
      <c r="K9" s="36"/>
      <c r="L9" s="36"/>
      <c r="M9" s="36"/>
      <c r="N9" s="36"/>
      <c r="O9" s="36"/>
      <c r="P9" s="46"/>
    </row>
    <row r="10" spans="1:16" ht="28.5" customHeight="1" x14ac:dyDescent="0.25">
      <c r="A10" s="65"/>
      <c r="B10" s="45" t="s">
        <v>78</v>
      </c>
      <c r="C10" s="44">
        <v>3</v>
      </c>
      <c r="D10" s="35">
        <f t="shared" si="1"/>
        <v>3</v>
      </c>
      <c r="E10" s="36"/>
      <c r="F10" s="36"/>
      <c r="G10" s="36"/>
      <c r="H10" s="36">
        <v>3</v>
      </c>
      <c r="I10" s="36"/>
      <c r="J10" s="36"/>
      <c r="K10" s="36"/>
      <c r="L10" s="36"/>
      <c r="M10" s="36"/>
      <c r="N10" s="36"/>
      <c r="O10" s="36"/>
      <c r="P10" s="46"/>
    </row>
    <row r="11" spans="1:16" ht="28.5" customHeight="1" x14ac:dyDescent="0.25">
      <c r="A11" s="65"/>
      <c r="B11" s="45" t="s">
        <v>79</v>
      </c>
      <c r="C11" s="44">
        <v>48</v>
      </c>
      <c r="D11" s="35">
        <f t="shared" si="1"/>
        <v>23</v>
      </c>
      <c r="E11" s="36"/>
      <c r="F11" s="36">
        <v>5</v>
      </c>
      <c r="G11" s="36">
        <v>6</v>
      </c>
      <c r="H11" s="36"/>
      <c r="I11" s="36">
        <v>12</v>
      </c>
      <c r="J11" s="36"/>
      <c r="K11" s="36"/>
      <c r="L11" s="36"/>
      <c r="M11" s="36"/>
      <c r="N11" s="36"/>
      <c r="O11" s="36"/>
      <c r="P11" s="46"/>
    </row>
    <row r="12" spans="1:16" ht="28.5" customHeight="1" x14ac:dyDescent="0.25">
      <c r="A12" s="65"/>
      <c r="B12" s="45" t="s">
        <v>80</v>
      </c>
      <c r="C12" s="44">
        <v>132</v>
      </c>
      <c r="D12" s="35">
        <f t="shared" si="1"/>
        <v>32</v>
      </c>
      <c r="E12" s="36"/>
      <c r="F12" s="36"/>
      <c r="G12" s="36">
        <v>32</v>
      </c>
      <c r="H12" s="36"/>
      <c r="I12" s="36"/>
      <c r="J12" s="36"/>
      <c r="K12" s="36"/>
      <c r="L12" s="36"/>
      <c r="M12" s="36"/>
      <c r="N12" s="36"/>
      <c r="O12" s="36"/>
      <c r="P12" s="46"/>
    </row>
    <row r="13" spans="1:16" ht="28.5" customHeight="1" x14ac:dyDescent="0.25">
      <c r="A13" s="65"/>
      <c r="B13" s="45" t="s">
        <v>81</v>
      </c>
      <c r="C13" s="44">
        <v>0</v>
      </c>
      <c r="D13" s="35">
        <f t="shared" si="1"/>
        <v>0</v>
      </c>
      <c r="E13" s="36"/>
      <c r="F13" s="36"/>
      <c r="G13" s="36"/>
      <c r="H13" s="36"/>
      <c r="I13" s="36"/>
      <c r="J13" s="36"/>
      <c r="K13" s="36"/>
      <c r="L13" s="36"/>
      <c r="M13" s="36"/>
      <c r="N13" s="36"/>
      <c r="O13" s="36"/>
      <c r="P13" s="46"/>
    </row>
    <row r="14" spans="1:16" ht="28.5" customHeight="1" x14ac:dyDescent="0.25">
      <c r="A14" s="65"/>
      <c r="B14" s="45" t="s">
        <v>82</v>
      </c>
      <c r="C14" s="44">
        <v>0</v>
      </c>
      <c r="D14" s="35">
        <f t="shared" si="1"/>
        <v>0</v>
      </c>
      <c r="E14" s="36"/>
      <c r="F14" s="36"/>
      <c r="G14" s="36"/>
      <c r="H14" s="36"/>
      <c r="I14" s="36"/>
      <c r="J14" s="36"/>
      <c r="K14" s="36"/>
      <c r="L14" s="36"/>
      <c r="M14" s="36"/>
      <c r="N14" s="36"/>
      <c r="O14" s="36"/>
      <c r="P14" s="46"/>
    </row>
    <row r="15" spans="1:16" ht="28.5" customHeight="1" x14ac:dyDescent="0.25">
      <c r="A15" s="65"/>
      <c r="B15" s="45" t="s">
        <v>83</v>
      </c>
      <c r="C15" s="44">
        <v>0</v>
      </c>
      <c r="D15" s="35">
        <f t="shared" si="1"/>
        <v>0</v>
      </c>
      <c r="E15" s="36"/>
      <c r="F15" s="36"/>
      <c r="G15" s="36"/>
      <c r="H15" s="36"/>
      <c r="I15" s="36"/>
      <c r="J15" s="36"/>
      <c r="K15" s="36"/>
      <c r="L15" s="36"/>
      <c r="M15" s="36"/>
      <c r="N15" s="36"/>
      <c r="O15" s="36"/>
      <c r="P15" s="46"/>
    </row>
    <row r="16" spans="1:16" ht="28.5" customHeight="1" x14ac:dyDescent="0.25">
      <c r="A16" s="65"/>
      <c r="B16" s="45" t="s">
        <v>84</v>
      </c>
      <c r="C16" s="44">
        <v>0</v>
      </c>
      <c r="D16" s="35">
        <f t="shared" si="1"/>
        <v>0</v>
      </c>
      <c r="E16" s="36"/>
      <c r="F16" s="36"/>
      <c r="G16" s="36"/>
      <c r="H16" s="36"/>
      <c r="I16" s="36"/>
      <c r="J16" s="36"/>
      <c r="K16" s="36"/>
      <c r="L16" s="36"/>
      <c r="M16" s="36"/>
      <c r="N16" s="36"/>
      <c r="O16" s="36"/>
      <c r="P16" s="46"/>
    </row>
    <row r="17" spans="1:16" ht="28.5" customHeight="1" x14ac:dyDescent="0.25">
      <c r="A17" s="65"/>
      <c r="B17" s="45" t="s">
        <v>85</v>
      </c>
      <c r="C17" s="44">
        <v>0</v>
      </c>
      <c r="D17" s="35">
        <f t="shared" si="1"/>
        <v>0</v>
      </c>
      <c r="E17" s="36"/>
      <c r="F17" s="36"/>
      <c r="G17" s="36"/>
      <c r="H17" s="36"/>
      <c r="I17" s="36"/>
      <c r="J17" s="36"/>
      <c r="K17" s="36"/>
      <c r="L17" s="36"/>
      <c r="M17" s="36"/>
      <c r="N17" s="36"/>
      <c r="O17" s="36"/>
      <c r="P17" s="46"/>
    </row>
    <row r="18" spans="1:16" ht="28.5" customHeight="1" x14ac:dyDescent="0.25">
      <c r="A18" s="65"/>
      <c r="B18" s="45" t="s">
        <v>86</v>
      </c>
      <c r="C18" s="44">
        <v>0</v>
      </c>
      <c r="D18" s="35">
        <f t="shared" si="1"/>
        <v>0</v>
      </c>
      <c r="E18" s="36"/>
      <c r="F18" s="36"/>
      <c r="G18" s="36"/>
      <c r="H18" s="36"/>
      <c r="I18" s="36"/>
      <c r="J18" s="36"/>
      <c r="K18" s="36"/>
      <c r="L18" s="36"/>
      <c r="M18" s="36"/>
      <c r="N18" s="36"/>
      <c r="O18" s="36"/>
      <c r="P18" s="46"/>
    </row>
    <row r="19" spans="1:16" ht="28.5" customHeight="1" x14ac:dyDescent="0.25">
      <c r="A19" s="65"/>
      <c r="B19" s="45" t="s">
        <v>87</v>
      </c>
      <c r="C19" s="44">
        <v>0</v>
      </c>
      <c r="D19" s="35">
        <f t="shared" si="1"/>
        <v>0</v>
      </c>
      <c r="E19" s="36"/>
      <c r="F19" s="36"/>
      <c r="G19" s="36"/>
      <c r="H19" s="36"/>
      <c r="I19" s="36"/>
      <c r="J19" s="36"/>
      <c r="K19" s="36"/>
      <c r="L19" s="36"/>
      <c r="M19" s="36"/>
      <c r="N19" s="36"/>
      <c r="O19" s="36"/>
      <c r="P19" s="46"/>
    </row>
    <row r="20" spans="1:16" ht="28.5" customHeight="1" x14ac:dyDescent="0.25">
      <c r="A20" s="65"/>
      <c r="B20" s="45" t="s">
        <v>88</v>
      </c>
      <c r="C20" s="44">
        <v>0</v>
      </c>
      <c r="D20" s="35">
        <f t="shared" si="1"/>
        <v>0</v>
      </c>
      <c r="E20" s="36"/>
      <c r="F20" s="36"/>
      <c r="G20" s="36"/>
      <c r="H20" s="36"/>
      <c r="I20" s="36"/>
      <c r="J20" s="36"/>
      <c r="K20" s="36"/>
      <c r="L20" s="36"/>
      <c r="M20" s="36"/>
      <c r="N20" s="36"/>
      <c r="O20" s="36"/>
      <c r="P20" s="46"/>
    </row>
    <row r="21" spans="1:16" ht="28.5" customHeight="1" x14ac:dyDescent="0.25">
      <c r="A21" s="65"/>
      <c r="B21" s="45" t="s">
        <v>89</v>
      </c>
      <c r="C21" s="44">
        <v>0</v>
      </c>
      <c r="D21" s="35">
        <f t="shared" si="1"/>
        <v>0</v>
      </c>
      <c r="E21" s="36"/>
      <c r="F21" s="36"/>
      <c r="G21" s="36"/>
      <c r="H21" s="36"/>
      <c r="I21" s="36"/>
      <c r="J21" s="36"/>
      <c r="K21" s="36"/>
      <c r="L21" s="36"/>
      <c r="M21" s="36"/>
      <c r="N21" s="36"/>
      <c r="O21" s="36"/>
      <c r="P21" s="46"/>
    </row>
    <row r="22" spans="1:16" ht="28.5" customHeight="1" x14ac:dyDescent="0.25">
      <c r="A22" s="65"/>
      <c r="B22" s="45" t="s">
        <v>90</v>
      </c>
      <c r="C22" s="44">
        <v>0</v>
      </c>
      <c r="D22" s="35">
        <f t="shared" si="1"/>
        <v>0</v>
      </c>
      <c r="E22" s="36"/>
      <c r="F22" s="36"/>
      <c r="G22" s="36"/>
      <c r="H22" s="36"/>
      <c r="I22" s="36"/>
      <c r="J22" s="36"/>
      <c r="K22" s="36"/>
      <c r="L22" s="36"/>
      <c r="M22" s="36"/>
      <c r="N22" s="36"/>
      <c r="O22" s="36"/>
      <c r="P22" s="46"/>
    </row>
    <row r="23" spans="1:16" ht="28.5" customHeight="1" x14ac:dyDescent="0.25">
      <c r="A23" s="65"/>
      <c r="B23" s="45" t="s">
        <v>91</v>
      </c>
      <c r="C23" s="44">
        <v>130</v>
      </c>
      <c r="D23" s="35">
        <f t="shared" si="1"/>
        <v>61</v>
      </c>
      <c r="E23" s="36"/>
      <c r="F23" s="36">
        <v>27</v>
      </c>
      <c r="G23" s="36">
        <v>3</v>
      </c>
      <c r="H23" s="36"/>
      <c r="I23" s="36">
        <v>31</v>
      </c>
      <c r="J23" s="36"/>
      <c r="K23" s="36"/>
      <c r="L23" s="36"/>
      <c r="M23" s="36"/>
      <c r="N23" s="36"/>
      <c r="O23" s="36"/>
      <c r="P23" s="46"/>
    </row>
    <row r="24" spans="1:16" ht="28.5" customHeight="1" x14ac:dyDescent="0.25">
      <c r="A24" s="65"/>
      <c r="B24" s="45" t="s">
        <v>92</v>
      </c>
      <c r="C24" s="44">
        <v>2</v>
      </c>
      <c r="D24" s="35">
        <f t="shared" si="1"/>
        <v>1</v>
      </c>
      <c r="E24" s="36"/>
      <c r="F24" s="36"/>
      <c r="G24" s="36">
        <v>1</v>
      </c>
      <c r="H24" s="36"/>
      <c r="I24" s="36"/>
      <c r="J24" s="36"/>
      <c r="K24" s="36"/>
      <c r="L24" s="36"/>
      <c r="M24" s="36"/>
      <c r="N24" s="36"/>
      <c r="O24" s="36"/>
      <c r="P24" s="46"/>
    </row>
    <row r="25" spans="1:16" ht="24" customHeight="1" x14ac:dyDescent="0.25">
      <c r="A25" s="65"/>
      <c r="B25" s="47" t="s">
        <v>93</v>
      </c>
      <c r="C25" s="44">
        <v>7</v>
      </c>
      <c r="D25" s="35">
        <f t="shared" si="1"/>
        <v>7</v>
      </c>
      <c r="E25" s="36"/>
      <c r="F25" s="36">
        <v>1</v>
      </c>
      <c r="G25" s="36">
        <v>6</v>
      </c>
      <c r="H25" s="36"/>
      <c r="I25" s="36"/>
      <c r="J25" s="36"/>
      <c r="K25" s="36"/>
      <c r="L25" s="36"/>
      <c r="M25" s="36"/>
      <c r="N25" s="36"/>
      <c r="O25" s="36"/>
      <c r="P25" s="46"/>
    </row>
    <row r="26" spans="1:16" ht="24" customHeight="1" x14ac:dyDescent="0.25">
      <c r="A26" s="65"/>
      <c r="B26" s="47" t="s">
        <v>94</v>
      </c>
      <c r="C26" s="44">
        <v>7</v>
      </c>
      <c r="D26" s="35">
        <f t="shared" si="1"/>
        <v>6</v>
      </c>
      <c r="E26" s="36"/>
      <c r="F26" s="36"/>
      <c r="G26" s="36"/>
      <c r="H26" s="36">
        <v>6</v>
      </c>
      <c r="I26" s="36"/>
      <c r="J26" s="36"/>
      <c r="K26" s="36"/>
      <c r="L26" s="36"/>
      <c r="M26" s="36"/>
      <c r="N26" s="36"/>
      <c r="O26" s="36"/>
      <c r="P26" s="46"/>
    </row>
    <row r="27" spans="1:16" ht="24" customHeight="1" x14ac:dyDescent="0.25">
      <c r="A27" s="65"/>
      <c r="B27" s="47" t="s">
        <v>95</v>
      </c>
      <c r="C27" s="44">
        <v>7</v>
      </c>
      <c r="D27" s="35">
        <f t="shared" si="1"/>
        <v>0</v>
      </c>
      <c r="E27" s="36"/>
      <c r="F27" s="36"/>
      <c r="G27" s="36"/>
      <c r="H27" s="36"/>
      <c r="I27" s="36"/>
      <c r="J27" s="36"/>
      <c r="K27" s="36"/>
      <c r="L27" s="36"/>
      <c r="M27" s="36"/>
      <c r="N27" s="36"/>
      <c r="O27" s="36"/>
      <c r="P27" s="46"/>
    </row>
    <row r="28" spans="1:16" ht="24" customHeight="1" x14ac:dyDescent="0.25">
      <c r="A28" s="65"/>
      <c r="B28" s="47" t="s">
        <v>96</v>
      </c>
      <c r="C28" s="44">
        <v>7</v>
      </c>
      <c r="D28" s="35">
        <f t="shared" si="1"/>
        <v>0</v>
      </c>
      <c r="E28" s="36"/>
      <c r="F28" s="36"/>
      <c r="G28" s="36"/>
      <c r="H28" s="36"/>
      <c r="I28" s="36"/>
      <c r="J28" s="36"/>
      <c r="K28" s="36"/>
      <c r="L28" s="36"/>
      <c r="M28" s="36"/>
      <c r="N28" s="36"/>
      <c r="O28" s="36"/>
      <c r="P28" s="46"/>
    </row>
    <row r="29" spans="1:16" ht="24" customHeight="1" x14ac:dyDescent="0.25">
      <c r="A29" s="65"/>
      <c r="B29" s="47" t="s">
        <v>97</v>
      </c>
      <c r="C29" s="44">
        <v>7</v>
      </c>
      <c r="D29" s="35">
        <f t="shared" si="1"/>
        <v>0</v>
      </c>
      <c r="E29" s="36"/>
      <c r="F29" s="36"/>
      <c r="G29" s="36"/>
      <c r="H29" s="36"/>
      <c r="I29" s="36"/>
      <c r="J29" s="36"/>
      <c r="K29" s="36"/>
      <c r="L29" s="36"/>
      <c r="M29" s="36"/>
      <c r="N29" s="36"/>
      <c r="O29" s="36"/>
      <c r="P29" s="46"/>
    </row>
    <row r="30" spans="1:16" ht="24" customHeight="1" x14ac:dyDescent="0.25">
      <c r="A30" s="65"/>
      <c r="B30" s="47" t="s">
        <v>98</v>
      </c>
      <c r="C30" s="44">
        <v>1</v>
      </c>
      <c r="D30" s="35">
        <f t="shared" si="1"/>
        <v>0</v>
      </c>
      <c r="E30" s="36"/>
      <c r="F30" s="36"/>
      <c r="G30" s="36"/>
      <c r="H30" s="36"/>
      <c r="I30" s="36"/>
      <c r="J30" s="36"/>
      <c r="K30" s="36"/>
      <c r="L30" s="36"/>
      <c r="M30" s="36"/>
      <c r="N30" s="36"/>
      <c r="O30" s="36"/>
      <c r="P30" s="46"/>
    </row>
    <row r="31" spans="1:16" ht="24" customHeight="1" x14ac:dyDescent="0.25">
      <c r="A31" s="65"/>
      <c r="B31" s="47" t="s">
        <v>99</v>
      </c>
      <c r="C31" s="44">
        <v>1</v>
      </c>
      <c r="D31" s="35">
        <f t="shared" si="1"/>
        <v>0</v>
      </c>
      <c r="E31" s="36"/>
      <c r="F31" s="36"/>
      <c r="G31" s="36"/>
      <c r="H31" s="36"/>
      <c r="I31" s="36"/>
      <c r="J31" s="36"/>
      <c r="K31" s="36"/>
      <c r="L31" s="36"/>
      <c r="M31" s="36"/>
      <c r="N31" s="36"/>
      <c r="O31" s="36"/>
      <c r="P31" s="46"/>
    </row>
    <row r="32" spans="1:16" ht="24" customHeight="1" x14ac:dyDescent="0.25">
      <c r="A32" s="65"/>
      <c r="B32" s="47" t="s">
        <v>100</v>
      </c>
      <c r="C32" s="44">
        <v>1</v>
      </c>
      <c r="D32" s="35">
        <f t="shared" si="1"/>
        <v>0</v>
      </c>
      <c r="E32" s="36"/>
      <c r="F32" s="36"/>
      <c r="G32" s="36"/>
      <c r="H32" s="36"/>
      <c r="I32" s="36"/>
      <c r="J32" s="36"/>
      <c r="K32" s="36"/>
      <c r="L32" s="36"/>
      <c r="M32" s="36"/>
      <c r="N32" s="36"/>
      <c r="O32" s="36"/>
      <c r="P32" s="46"/>
    </row>
    <row r="33" spans="1:16" ht="24" customHeight="1" x14ac:dyDescent="0.25">
      <c r="A33" s="65"/>
      <c r="B33" s="47" t="s">
        <v>101</v>
      </c>
      <c r="C33" s="44">
        <v>1</v>
      </c>
      <c r="D33" s="35">
        <f t="shared" si="1"/>
        <v>0</v>
      </c>
      <c r="E33" s="36"/>
      <c r="F33" s="36"/>
      <c r="G33" s="36"/>
      <c r="H33" s="36"/>
      <c r="I33" s="36"/>
      <c r="J33" s="36"/>
      <c r="K33" s="36"/>
      <c r="L33" s="36"/>
      <c r="M33" s="36"/>
      <c r="N33" s="36"/>
      <c r="O33" s="36"/>
      <c r="P33" s="46"/>
    </row>
    <row r="34" spans="1:16" ht="24" customHeight="1" x14ac:dyDescent="0.25">
      <c r="A34" s="65"/>
      <c r="B34" s="47" t="s">
        <v>102</v>
      </c>
      <c r="C34" s="44">
        <v>1</v>
      </c>
      <c r="D34" s="35">
        <f t="shared" si="1"/>
        <v>0</v>
      </c>
      <c r="E34" s="36"/>
      <c r="F34" s="36"/>
      <c r="G34" s="36"/>
      <c r="H34" s="36"/>
      <c r="I34" s="36"/>
      <c r="J34" s="36"/>
      <c r="K34" s="36"/>
      <c r="L34" s="36"/>
      <c r="M34" s="36"/>
      <c r="N34" s="36"/>
      <c r="O34" s="36"/>
      <c r="P34" s="46"/>
    </row>
    <row r="35" spans="1:16" ht="24" customHeight="1" x14ac:dyDescent="0.25">
      <c r="A35" s="65"/>
      <c r="B35" s="47" t="s">
        <v>103</v>
      </c>
      <c r="C35" s="44">
        <v>1</v>
      </c>
      <c r="D35" s="35">
        <f t="shared" si="1"/>
        <v>0</v>
      </c>
      <c r="E35" s="36"/>
      <c r="F35" s="36"/>
      <c r="G35" s="36"/>
      <c r="H35" s="36"/>
      <c r="I35" s="36"/>
      <c r="J35" s="36"/>
      <c r="K35" s="36"/>
      <c r="L35" s="36"/>
      <c r="M35" s="36"/>
      <c r="N35" s="36"/>
      <c r="O35" s="36"/>
      <c r="P35" s="46"/>
    </row>
    <row r="36" spans="1:16" ht="24" customHeight="1" thickBot="1" x14ac:dyDescent="0.3">
      <c r="A36" s="66"/>
      <c r="B36" s="48" t="s">
        <v>104</v>
      </c>
      <c r="C36" s="44">
        <v>1</v>
      </c>
      <c r="D36" s="35">
        <f t="shared" si="1"/>
        <v>0</v>
      </c>
      <c r="E36" s="36"/>
      <c r="F36" s="36"/>
      <c r="G36" s="36"/>
      <c r="H36" s="36"/>
      <c r="I36" s="36"/>
      <c r="J36" s="36"/>
      <c r="K36" s="36"/>
      <c r="L36" s="36"/>
      <c r="M36" s="36"/>
      <c r="N36" s="36"/>
      <c r="O36" s="36"/>
      <c r="P36" s="46"/>
    </row>
    <row r="37" spans="1:16" x14ac:dyDescent="0.25">
      <c r="C37" s="49">
        <f>SUM(C3:C36)</f>
        <v>369</v>
      </c>
      <c r="D37" s="50">
        <f>SUM(D3:D36)</f>
        <v>136</v>
      </c>
    </row>
    <row r="38" spans="1:16" x14ac:dyDescent="0.25">
      <c r="C38" s="10"/>
      <c r="D38" s="51">
        <f>D37/C37</f>
        <v>0.36856368563685638</v>
      </c>
    </row>
  </sheetData>
  <sheetProtection algorithmName="SHA-512" hashValue="tO6xycjaSZ9GygiNQ3nXMuNp0/NzER3zpcz3nKSeQHHGu1SN+ZtD1hG0gJw+6n5MbWzw1TQROkDmLCBjgHsXeQ==" saltValue="ZYZX8YfRGR8QQiG1n9D7jw==" spinCount="100000" sheet="1" objects="1" scenarios="1" autoFilter="0"/>
  <mergeCells count="2">
    <mergeCell ref="A1:A2"/>
    <mergeCell ref="A9:A36"/>
  </mergeCells>
  <conditionalFormatting sqref="C3:D3 D4:D8">
    <cfRule type="dataBar" priority="45">
      <dataBar>
        <cfvo type="min"/>
        <cfvo type="max"/>
        <color rgb="FF008AEF"/>
      </dataBar>
      <extLst>
        <ext xmlns:x14="http://schemas.microsoft.com/office/spreadsheetml/2009/9/main" uri="{B025F937-C7B1-47D3-B67F-A62EFF666E3E}">
          <x14:id>{D6BEC57F-FD8E-41F2-88D0-BDEAE8A5DFD4}</x14:id>
        </ext>
      </extLst>
    </cfRule>
  </conditionalFormatting>
  <conditionalFormatting sqref="C4:D4">
    <cfRule type="dataBar" priority="4">
      <dataBar>
        <cfvo type="min"/>
        <cfvo type="max"/>
        <color rgb="FF008AEF"/>
      </dataBar>
      <extLst>
        <ext xmlns:x14="http://schemas.microsoft.com/office/spreadsheetml/2009/9/main" uri="{B025F937-C7B1-47D3-B67F-A62EFF666E3E}">
          <x14:id>{3812E976-88ED-4B86-BBE8-DBE777234878}</x14:id>
        </ext>
      </extLst>
    </cfRule>
  </conditionalFormatting>
  <conditionalFormatting sqref="C5:D5">
    <cfRule type="dataBar" priority="5">
      <dataBar>
        <cfvo type="min"/>
        <cfvo type="max"/>
        <color rgb="FF008AEF"/>
      </dataBar>
      <extLst>
        <ext xmlns:x14="http://schemas.microsoft.com/office/spreadsheetml/2009/9/main" uri="{B025F937-C7B1-47D3-B67F-A62EFF666E3E}">
          <x14:id>{407F6C8E-ED48-4FEF-A458-E4E5AE963C36}</x14:id>
        </ext>
      </extLst>
    </cfRule>
  </conditionalFormatting>
  <conditionalFormatting sqref="C6:D6">
    <cfRule type="dataBar" priority="6">
      <dataBar>
        <cfvo type="min"/>
        <cfvo type="max"/>
        <color rgb="FF008AEF"/>
      </dataBar>
      <extLst>
        <ext xmlns:x14="http://schemas.microsoft.com/office/spreadsheetml/2009/9/main" uri="{B025F937-C7B1-47D3-B67F-A62EFF666E3E}">
          <x14:id>{06722281-CF83-41B2-B49A-4A8476E8F28D}</x14:id>
        </ext>
      </extLst>
    </cfRule>
  </conditionalFormatting>
  <conditionalFormatting sqref="C7:D7">
    <cfRule type="dataBar" priority="7">
      <dataBar>
        <cfvo type="min"/>
        <cfvo type="max"/>
        <color rgb="FF008AEF"/>
      </dataBar>
      <extLst>
        <ext xmlns:x14="http://schemas.microsoft.com/office/spreadsheetml/2009/9/main" uri="{B025F937-C7B1-47D3-B67F-A62EFF666E3E}">
          <x14:id>{32565EDE-CA7B-40E5-B9EB-6EC042F699A6}</x14:id>
        </ext>
      </extLst>
    </cfRule>
  </conditionalFormatting>
  <conditionalFormatting sqref="C8:D8">
    <cfRule type="dataBar" priority="8">
      <dataBar>
        <cfvo type="min"/>
        <cfvo type="max"/>
        <color rgb="FF008AEF"/>
      </dataBar>
      <extLst>
        <ext xmlns:x14="http://schemas.microsoft.com/office/spreadsheetml/2009/9/main" uri="{B025F937-C7B1-47D3-B67F-A62EFF666E3E}">
          <x14:id>{98500054-789F-46F8-AF5F-7CAC866C9513}</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{1BF34CE3-0375-4FDD-8DFE-777291170EE1}</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{04C7831C-51EA-48A5-AA95-04A3FF166FBA}</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{6E756C0E-E61D-493F-862B-DE6908A77CEC}</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{C48E4354-D268-49F6-A4A1-A58291793DC7}</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{9E7DADE0-48D8-442D-B15B-3A484B13BD21}</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{C37AD7D8-4739-4EA7-9B99-5E407DE55F87}</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{8DF483DF-FBDB-4047-94D9-2E1D407D41FC}</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{F9911470-2E6D-4EB8-9229-BBAA54D126C5}</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{C25A72E6-B055-4539-9BF5-438258F37F98}</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{90563C9C-BA80-441D-9D19-40236EEC788B}</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{D0A7C312-4346-4E8F-A036-A1B66EBF55CE}</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{4FE0D190-5342-4A01-9BA0-85324E860779}</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{8710EB19-F212-47D8-B07E-11E1C184797F}</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{8981771D-1062-4DC5-9F83-FC80089BF0A0}</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{72313680-DDF1-44C3-91BA-A022652FAF14}</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{CC807660-349C-43B6-BE76-8352FD2A2C17}</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{C9073BF7-E2CC-4C17-98C3-1753A4E5F19D}</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{5BF85002-35A3-4275-BBDF-B3EB99E4163F}</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{4A4D4190-072C-4C74-8DE7-CEC0210C361A}</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{7492FEEC-69D2-4B68-BBC9-288F85E6F9E3}</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{B852B9D4-598E-46E2-A25E-3C791529B2A3}</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{36C099C9-5DB7-4C3A-AEB3-901333FFB177}</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{439C2D4F-8E29-45E9-82F5-DF42C43C5863}</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{D80458B9-DB6C-410D-8216-627269BF4FF0}</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{337CEB98-40CB-43CC-B7D0-94AE4A6CF9B4}</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{F9F9AEDA-56B8-42D3-B456-1CBEEE7D5C09}</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{AB6A01B5-D3D9-4DC1-9127-F347D440685B}</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{5C96EC43-A24E-4384-9F84-153ACE85F248}</x14:id>
        </ext>
      </extLst>
    </cfRule>
  </conditionalFormatting>
  <conditionalFormatting sqref="E3:F32 E33:O36">
    <cfRule type="cellIs" dxfId="25" priority="1" operator="greaterThan">
      <formula>0</formula>
    </cfRule>
  </conditionalFormatting>
  <conditionalFormatting sqref="G9:O32">
    <cfRule type="cellIs" dxfId="24" priority="11" operator="greaterThan">
      <formula>0</formula>
    </cfRule>
  </conditionalFormatting>
  <conditionalFormatting sqref="G3:P8">
    <cfRule type="cellIs" dxfId="23"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6BEC57F-FD8E-41F2-88D0-BDEAE8A5DFD4}">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3812E976-88ED-4B86-BBE8-DBE777234878}">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407F6C8E-ED48-4FEF-A458-E4E5AE963C36}">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6722281-CF83-41B2-B49A-4A8476E8F28D}">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32565EDE-CA7B-40E5-B9EB-6EC042F699A6}">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98500054-789F-46F8-AF5F-7CAC866C9513}">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1BF34CE3-0375-4FDD-8DFE-777291170EE1}">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04C7831C-51EA-48A5-AA95-04A3FF166FBA}">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6E756C0E-E61D-493F-862B-DE6908A77CE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C48E4354-D268-49F6-A4A1-A58291793DC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9E7DADE0-48D8-442D-B15B-3A484B13BD21}">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37AD7D8-4739-4EA7-9B99-5E407DE55F87}">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8DF483DF-FBDB-4047-94D9-2E1D407D41FC}">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F9911470-2E6D-4EB8-9229-BBAA54D126C5}">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C25A72E6-B055-4539-9BF5-438258F37F98}">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90563C9C-BA80-441D-9D19-40236EEC788B}">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D0A7C312-4346-4E8F-A036-A1B66EBF55C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4FE0D190-5342-4A01-9BA0-85324E860779}">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710EB19-F212-47D8-B07E-11E1C184797F}">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8981771D-1062-4DC5-9F83-FC80089BF0A0}">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72313680-DDF1-44C3-91BA-A022652FAF1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CC807660-349C-43B6-BE76-8352FD2A2C17}">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C9073BF7-E2CC-4C17-98C3-1753A4E5F19D}">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5BF85002-35A3-4275-BBDF-B3EB99E4163F}">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4A4D4190-072C-4C74-8DE7-CEC0210C361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7492FEEC-69D2-4B68-BBC9-288F85E6F9E3}">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B852B9D4-598E-46E2-A25E-3C791529B2A3}">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36C099C9-5DB7-4C3A-AEB3-901333FFB177}">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439C2D4F-8E29-45E9-82F5-DF42C43C5863}">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D80458B9-DB6C-410D-8216-627269BF4FF0}">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337CEB98-40CB-43CC-B7D0-94AE4A6CF9B4}">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F9F9AEDA-56B8-42D3-B456-1CBEEE7D5C09}">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AB6A01B5-D3D9-4DC1-9127-F347D440685B}">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5C96EC43-A24E-4384-9F84-153ACE85F248}">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P38"/>
  <sheetViews>
    <sheetView topLeftCell="B9" zoomScale="80" zoomScaleNormal="80" workbookViewId="0">
      <selection activeCell="L25" sqref="L25"/>
    </sheetView>
  </sheetViews>
  <sheetFormatPr baseColWidth="10" defaultColWidth="11.42578125" defaultRowHeight="15" x14ac:dyDescent="0.25"/>
  <cols>
    <col min="1" max="1" width="8" style="2" customWidth="1"/>
    <col min="2" max="2" width="87.85546875" style="2" customWidth="1"/>
    <col min="3" max="3" width="11.42578125" style="2"/>
    <col min="4" max="4" width="22.42578125" style="2" customWidth="1"/>
    <col min="5" max="8" width="17.28515625" style="2" customWidth="1"/>
    <col min="9" max="16384" width="11.42578125" style="2"/>
  </cols>
  <sheetData>
    <row r="1" spans="1:16" ht="61.5" customHeight="1" x14ac:dyDescent="0.25">
      <c r="A1" s="62" t="s">
        <v>1</v>
      </c>
      <c r="B1" s="29" t="s">
        <v>35</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x14ac:dyDescent="0.25">
      <c r="A3" s="52" t="s">
        <v>18</v>
      </c>
      <c r="B3" s="4" t="s">
        <v>17</v>
      </c>
      <c r="C3" s="34">
        <v>2</v>
      </c>
      <c r="D3" s="35">
        <f t="shared" ref="D3:D8" si="0">SUM(E3:P3)</f>
        <v>0</v>
      </c>
      <c r="E3" s="36"/>
      <c r="F3" s="36"/>
      <c r="G3" s="36"/>
      <c r="H3" s="36"/>
      <c r="I3" s="36"/>
      <c r="J3" s="36"/>
      <c r="K3" s="36"/>
      <c r="L3" s="36"/>
      <c r="M3" s="36"/>
      <c r="N3" s="36"/>
      <c r="O3" s="36"/>
      <c r="P3" s="36"/>
    </row>
    <row r="4" spans="1:16" ht="81" customHeight="1" x14ac:dyDescent="0.25">
      <c r="A4" s="53" t="s">
        <v>20</v>
      </c>
      <c r="B4" s="11" t="s">
        <v>19</v>
      </c>
      <c r="C4" s="39">
        <v>2</v>
      </c>
      <c r="D4" s="35">
        <f t="shared" si="0"/>
        <v>0</v>
      </c>
      <c r="E4" s="36">
        <v>0</v>
      </c>
      <c r="F4" s="36">
        <v>0</v>
      </c>
      <c r="G4" s="36">
        <v>0</v>
      </c>
      <c r="H4" s="36">
        <v>0</v>
      </c>
      <c r="I4" s="36"/>
      <c r="J4" s="36"/>
      <c r="K4" s="36"/>
      <c r="L4" s="36"/>
      <c r="M4" s="36"/>
      <c r="N4" s="36"/>
      <c r="O4" s="36"/>
      <c r="P4" s="36"/>
    </row>
    <row r="5" spans="1:16" ht="81" customHeight="1" x14ac:dyDescent="0.25">
      <c r="A5" s="54" t="s">
        <v>23</v>
      </c>
      <c r="B5" s="12" t="s">
        <v>22</v>
      </c>
      <c r="C5" s="41">
        <v>2</v>
      </c>
      <c r="D5" s="35">
        <f t="shared" si="0"/>
        <v>0</v>
      </c>
      <c r="E5" s="36">
        <v>0</v>
      </c>
      <c r="F5" s="36">
        <v>0</v>
      </c>
      <c r="G5" s="36">
        <v>0</v>
      </c>
      <c r="H5" s="36">
        <v>0</v>
      </c>
      <c r="I5" s="36"/>
      <c r="J5" s="36"/>
      <c r="K5" s="36"/>
      <c r="L5" s="36"/>
      <c r="M5" s="36"/>
      <c r="N5" s="36"/>
      <c r="O5" s="36"/>
      <c r="P5" s="36"/>
    </row>
    <row r="6" spans="1:16" ht="81" customHeight="1" x14ac:dyDescent="0.25">
      <c r="A6" s="52" t="s">
        <v>18</v>
      </c>
      <c r="B6" s="4" t="s">
        <v>36</v>
      </c>
      <c r="C6" s="44">
        <v>2</v>
      </c>
      <c r="D6" s="35">
        <f t="shared" si="0"/>
        <v>0</v>
      </c>
      <c r="E6" s="36"/>
      <c r="F6" s="36"/>
      <c r="G6" s="36"/>
      <c r="H6" s="36"/>
      <c r="I6" s="36"/>
      <c r="J6" s="36"/>
      <c r="K6" s="36"/>
      <c r="L6" s="36"/>
      <c r="M6" s="36"/>
      <c r="N6" s="36"/>
      <c r="O6" s="36"/>
      <c r="P6" s="36"/>
    </row>
    <row r="7" spans="1:16" ht="81" customHeight="1" x14ac:dyDescent="0.25">
      <c r="A7" s="52" t="s">
        <v>18</v>
      </c>
      <c r="B7" s="4" t="s">
        <v>37</v>
      </c>
      <c r="C7" s="44">
        <v>2</v>
      </c>
      <c r="D7" s="35">
        <f t="shared" si="0"/>
        <v>0</v>
      </c>
      <c r="E7" s="36"/>
      <c r="F7" s="36"/>
      <c r="G7" s="36"/>
      <c r="H7" s="36"/>
      <c r="I7" s="36"/>
      <c r="J7" s="36"/>
      <c r="K7" s="36"/>
      <c r="L7" s="36"/>
      <c r="M7" s="36"/>
      <c r="N7" s="36"/>
      <c r="O7" s="36"/>
      <c r="P7" s="36"/>
    </row>
    <row r="8" spans="1:16" ht="81" customHeight="1" x14ac:dyDescent="0.25">
      <c r="A8" s="52" t="s">
        <v>18</v>
      </c>
      <c r="B8" s="4" t="s">
        <v>38</v>
      </c>
      <c r="C8" s="44">
        <v>1</v>
      </c>
      <c r="D8" s="35">
        <f t="shared" si="0"/>
        <v>0</v>
      </c>
      <c r="E8" s="36"/>
      <c r="F8" s="36"/>
      <c r="G8" s="36"/>
      <c r="H8" s="36"/>
      <c r="I8" s="36"/>
      <c r="J8" s="36"/>
      <c r="K8" s="36"/>
      <c r="L8" s="36"/>
      <c r="M8" s="36"/>
      <c r="N8" s="36"/>
      <c r="O8" s="36"/>
      <c r="P8" s="36"/>
    </row>
    <row r="9" spans="1:16" ht="28.5" customHeight="1" x14ac:dyDescent="0.25">
      <c r="A9" s="64" t="s">
        <v>76</v>
      </c>
      <c r="B9" s="45" t="s">
        <v>77</v>
      </c>
      <c r="C9" s="44">
        <v>3</v>
      </c>
      <c r="D9" s="35">
        <f t="shared" ref="D9:D36" si="1">SUM(E9:O9)</f>
        <v>0</v>
      </c>
      <c r="E9" s="36"/>
      <c r="F9" s="36"/>
      <c r="G9" s="36"/>
      <c r="H9" s="36"/>
      <c r="I9" s="36"/>
      <c r="J9" s="36"/>
      <c r="K9" s="36"/>
      <c r="L9" s="36"/>
      <c r="M9" s="36"/>
      <c r="N9" s="36"/>
      <c r="O9" s="36"/>
      <c r="P9" s="46"/>
    </row>
    <row r="10" spans="1:16" ht="28.5" customHeight="1" x14ac:dyDescent="0.25">
      <c r="A10" s="65"/>
      <c r="B10" s="45" t="s">
        <v>78</v>
      </c>
      <c r="C10" s="44">
        <v>3</v>
      </c>
      <c r="D10" s="35">
        <f t="shared" si="1"/>
        <v>0</v>
      </c>
      <c r="E10" s="36"/>
      <c r="F10" s="36"/>
      <c r="G10" s="36"/>
      <c r="H10" s="36"/>
      <c r="I10" s="36"/>
      <c r="J10" s="36"/>
      <c r="K10" s="36"/>
      <c r="L10" s="36"/>
      <c r="M10" s="36"/>
      <c r="N10" s="36"/>
      <c r="O10" s="36"/>
      <c r="P10" s="46"/>
    </row>
    <row r="11" spans="1:16" ht="28.5" customHeight="1" x14ac:dyDescent="0.25">
      <c r="A11" s="65"/>
      <c r="B11" s="45" t="s">
        <v>79</v>
      </c>
      <c r="C11" s="44">
        <v>52</v>
      </c>
      <c r="D11" s="35">
        <f t="shared" si="1"/>
        <v>9</v>
      </c>
      <c r="E11" s="36"/>
      <c r="F11" s="36">
        <v>7</v>
      </c>
      <c r="G11" s="36">
        <v>1</v>
      </c>
      <c r="H11" s="36">
        <v>1</v>
      </c>
      <c r="I11" s="36"/>
      <c r="J11" s="36"/>
      <c r="K11" s="36"/>
      <c r="L11" s="36"/>
      <c r="M11" s="36"/>
      <c r="N11" s="36"/>
      <c r="O11" s="36"/>
      <c r="P11" s="46"/>
    </row>
    <row r="12" spans="1:16" ht="28.5" customHeight="1" x14ac:dyDescent="0.25">
      <c r="A12" s="65"/>
      <c r="B12" s="45" t="s">
        <v>80</v>
      </c>
      <c r="C12" s="44">
        <v>24</v>
      </c>
      <c r="D12" s="35">
        <f t="shared" si="1"/>
        <v>0</v>
      </c>
      <c r="E12" s="36"/>
      <c r="F12" s="36"/>
      <c r="G12" s="36"/>
      <c r="H12" s="36"/>
      <c r="I12" s="36"/>
      <c r="J12" s="36"/>
      <c r="K12" s="36"/>
      <c r="L12" s="36"/>
      <c r="M12" s="36"/>
      <c r="N12" s="36"/>
      <c r="O12" s="36"/>
      <c r="P12" s="46"/>
    </row>
    <row r="13" spans="1:16" ht="28.5" customHeight="1" x14ac:dyDescent="0.25">
      <c r="A13" s="65"/>
      <c r="B13" s="45" t="s">
        <v>81</v>
      </c>
      <c r="C13" s="44">
        <v>0</v>
      </c>
      <c r="D13" s="35">
        <f t="shared" si="1"/>
        <v>0</v>
      </c>
      <c r="E13" s="36"/>
      <c r="F13" s="36"/>
      <c r="G13" s="36"/>
      <c r="H13" s="36"/>
      <c r="I13" s="36"/>
      <c r="J13" s="36"/>
      <c r="K13" s="36"/>
      <c r="L13" s="36"/>
      <c r="M13" s="36"/>
      <c r="N13" s="36"/>
      <c r="O13" s="36"/>
      <c r="P13" s="46"/>
    </row>
    <row r="14" spans="1:16" ht="28.5" customHeight="1" x14ac:dyDescent="0.25">
      <c r="A14" s="65"/>
      <c r="B14" s="45" t="s">
        <v>82</v>
      </c>
      <c r="C14" s="44">
        <v>68</v>
      </c>
      <c r="D14" s="35">
        <f t="shared" si="1"/>
        <v>2</v>
      </c>
      <c r="E14" s="36"/>
      <c r="F14" s="36">
        <v>2</v>
      </c>
      <c r="G14" s="36"/>
      <c r="H14" s="36"/>
      <c r="I14" s="36"/>
      <c r="J14" s="36"/>
      <c r="K14" s="36"/>
      <c r="L14" s="36"/>
      <c r="M14" s="36"/>
      <c r="N14" s="36"/>
      <c r="O14" s="36"/>
      <c r="P14" s="46"/>
    </row>
    <row r="15" spans="1:16" ht="28.5" customHeight="1" x14ac:dyDescent="0.25">
      <c r="A15" s="65"/>
      <c r="B15" s="45" t="s">
        <v>83</v>
      </c>
      <c r="C15" s="44">
        <v>0</v>
      </c>
      <c r="D15" s="35">
        <f t="shared" si="1"/>
        <v>0</v>
      </c>
      <c r="E15" s="36"/>
      <c r="F15" s="36"/>
      <c r="G15" s="36"/>
      <c r="H15" s="36"/>
      <c r="I15" s="36"/>
      <c r="J15" s="36"/>
      <c r="K15" s="36"/>
      <c r="L15" s="36"/>
      <c r="M15" s="36"/>
      <c r="N15" s="36"/>
      <c r="O15" s="36"/>
      <c r="P15" s="46"/>
    </row>
    <row r="16" spans="1:16" ht="28.5" customHeight="1" x14ac:dyDescent="0.25">
      <c r="A16" s="65"/>
      <c r="B16" s="45" t="s">
        <v>84</v>
      </c>
      <c r="C16" s="44">
        <v>0</v>
      </c>
      <c r="D16" s="35">
        <f t="shared" si="1"/>
        <v>0</v>
      </c>
      <c r="E16" s="36"/>
      <c r="F16" s="36"/>
      <c r="G16" s="36"/>
      <c r="H16" s="36"/>
      <c r="I16" s="36"/>
      <c r="J16" s="36"/>
      <c r="K16" s="36"/>
      <c r="L16" s="36"/>
      <c r="M16" s="36"/>
      <c r="N16" s="36"/>
      <c r="O16" s="36"/>
      <c r="P16" s="46"/>
    </row>
    <row r="17" spans="1:16" ht="28.5" customHeight="1" x14ac:dyDescent="0.25">
      <c r="A17" s="65"/>
      <c r="B17" s="45" t="s">
        <v>85</v>
      </c>
      <c r="C17" s="44">
        <v>0</v>
      </c>
      <c r="D17" s="35">
        <f t="shared" si="1"/>
        <v>0</v>
      </c>
      <c r="E17" s="36"/>
      <c r="F17" s="36"/>
      <c r="G17" s="36"/>
      <c r="H17" s="36"/>
      <c r="I17" s="36"/>
      <c r="J17" s="36"/>
      <c r="K17" s="36"/>
      <c r="L17" s="36"/>
      <c r="M17" s="36"/>
      <c r="N17" s="36"/>
      <c r="O17" s="36"/>
      <c r="P17" s="46"/>
    </row>
    <row r="18" spans="1:16" ht="28.5" customHeight="1" x14ac:dyDescent="0.25">
      <c r="A18" s="65"/>
      <c r="B18" s="45" t="s">
        <v>86</v>
      </c>
      <c r="C18" s="44">
        <v>0</v>
      </c>
      <c r="D18" s="35">
        <f t="shared" si="1"/>
        <v>0</v>
      </c>
      <c r="E18" s="36"/>
      <c r="F18" s="36"/>
      <c r="G18" s="36"/>
      <c r="H18" s="36"/>
      <c r="I18" s="36"/>
      <c r="J18" s="36"/>
      <c r="K18" s="36"/>
      <c r="L18" s="36"/>
      <c r="M18" s="36"/>
      <c r="N18" s="36"/>
      <c r="O18" s="36"/>
      <c r="P18" s="46"/>
    </row>
    <row r="19" spans="1:16" ht="28.5" customHeight="1" x14ac:dyDescent="0.25">
      <c r="A19" s="65"/>
      <c r="B19" s="45" t="s">
        <v>87</v>
      </c>
      <c r="C19" s="44">
        <v>0</v>
      </c>
      <c r="D19" s="35">
        <f t="shared" si="1"/>
        <v>0</v>
      </c>
      <c r="E19" s="36"/>
      <c r="F19" s="36"/>
      <c r="G19" s="36"/>
      <c r="H19" s="36"/>
      <c r="I19" s="36"/>
      <c r="J19" s="36"/>
      <c r="K19" s="36"/>
      <c r="L19" s="36"/>
      <c r="M19" s="36"/>
      <c r="N19" s="36"/>
      <c r="O19" s="36"/>
      <c r="P19" s="46"/>
    </row>
    <row r="20" spans="1:16" ht="28.5" customHeight="1" x14ac:dyDescent="0.25">
      <c r="A20" s="65"/>
      <c r="B20" s="45" t="s">
        <v>88</v>
      </c>
      <c r="C20" s="44">
        <v>0</v>
      </c>
      <c r="D20" s="35">
        <f t="shared" si="1"/>
        <v>0</v>
      </c>
      <c r="E20" s="36"/>
      <c r="F20" s="36"/>
      <c r="G20" s="36"/>
      <c r="H20" s="36"/>
      <c r="I20" s="36"/>
      <c r="J20" s="36"/>
      <c r="K20" s="36"/>
      <c r="L20" s="36"/>
      <c r="M20" s="36"/>
      <c r="N20" s="36"/>
      <c r="O20" s="36"/>
      <c r="P20" s="46"/>
    </row>
    <row r="21" spans="1:16" ht="28.5" customHeight="1" x14ac:dyDescent="0.25">
      <c r="A21" s="65"/>
      <c r="B21" s="45" t="s">
        <v>89</v>
      </c>
      <c r="C21" s="44">
        <v>0</v>
      </c>
      <c r="D21" s="35">
        <f t="shared" si="1"/>
        <v>0</v>
      </c>
      <c r="E21" s="36"/>
      <c r="F21" s="36"/>
      <c r="G21" s="36"/>
      <c r="H21" s="36"/>
      <c r="I21" s="36"/>
      <c r="J21" s="36"/>
      <c r="K21" s="36"/>
      <c r="L21" s="36"/>
      <c r="M21" s="36"/>
      <c r="N21" s="36"/>
      <c r="O21" s="36"/>
      <c r="P21" s="46"/>
    </row>
    <row r="22" spans="1:16" ht="28.5" customHeight="1" x14ac:dyDescent="0.25">
      <c r="A22" s="65"/>
      <c r="B22" s="45" t="s">
        <v>90</v>
      </c>
      <c r="C22" s="44">
        <v>0</v>
      </c>
      <c r="D22" s="35">
        <f t="shared" si="1"/>
        <v>0</v>
      </c>
      <c r="E22" s="36"/>
      <c r="F22" s="36"/>
      <c r="G22" s="36"/>
      <c r="H22" s="36"/>
      <c r="I22" s="36"/>
      <c r="J22" s="36"/>
      <c r="K22" s="36"/>
      <c r="L22" s="36"/>
      <c r="M22" s="36"/>
      <c r="N22" s="36"/>
      <c r="O22" s="36"/>
      <c r="P22" s="46"/>
    </row>
    <row r="23" spans="1:16" ht="28.5" customHeight="1" x14ac:dyDescent="0.25">
      <c r="A23" s="65"/>
      <c r="B23" s="45" t="s">
        <v>91</v>
      </c>
      <c r="C23" s="44">
        <v>55</v>
      </c>
      <c r="D23" s="35">
        <f t="shared" si="1"/>
        <v>19</v>
      </c>
      <c r="E23" s="36">
        <v>10</v>
      </c>
      <c r="F23" s="36"/>
      <c r="G23" s="36">
        <v>9</v>
      </c>
      <c r="H23" s="36"/>
      <c r="I23" s="36"/>
      <c r="J23" s="36"/>
      <c r="K23" s="36"/>
      <c r="L23" s="36"/>
      <c r="M23" s="36"/>
      <c r="N23" s="36"/>
      <c r="O23" s="36"/>
      <c r="P23" s="46"/>
    </row>
    <row r="24" spans="1:16" ht="28.5" customHeight="1" x14ac:dyDescent="0.25">
      <c r="A24" s="65"/>
      <c r="B24" s="45" t="s">
        <v>92</v>
      </c>
      <c r="C24" s="44">
        <v>2</v>
      </c>
      <c r="D24" s="35">
        <f t="shared" si="1"/>
        <v>0</v>
      </c>
      <c r="E24" s="36"/>
      <c r="F24" s="36"/>
      <c r="G24" s="36"/>
      <c r="H24" s="36"/>
      <c r="I24" s="36"/>
      <c r="J24" s="36"/>
      <c r="K24" s="36"/>
      <c r="L24" s="36"/>
      <c r="M24" s="36"/>
      <c r="N24" s="36"/>
      <c r="O24" s="36"/>
      <c r="P24" s="46"/>
    </row>
    <row r="25" spans="1:16" ht="24" customHeight="1" x14ac:dyDescent="0.25">
      <c r="A25" s="65"/>
      <c r="B25" s="47" t="s">
        <v>93</v>
      </c>
      <c r="C25" s="44">
        <v>4</v>
      </c>
      <c r="D25" s="35">
        <f t="shared" si="1"/>
        <v>4</v>
      </c>
      <c r="E25" s="36"/>
      <c r="F25" s="36"/>
      <c r="G25" s="36">
        <v>4</v>
      </c>
      <c r="H25" s="36"/>
      <c r="I25" s="36"/>
      <c r="J25" s="36"/>
      <c r="K25" s="36"/>
      <c r="L25" s="36"/>
      <c r="M25" s="36"/>
      <c r="N25" s="36"/>
      <c r="O25" s="36"/>
      <c r="P25" s="46"/>
    </row>
    <row r="26" spans="1:16" ht="24" customHeight="1" x14ac:dyDescent="0.25">
      <c r="A26" s="65"/>
      <c r="B26" s="47" t="s">
        <v>94</v>
      </c>
      <c r="C26" s="44">
        <v>4</v>
      </c>
      <c r="D26" s="35">
        <f t="shared" si="1"/>
        <v>4</v>
      </c>
      <c r="E26" s="36"/>
      <c r="F26" s="36"/>
      <c r="G26" s="36"/>
      <c r="H26" s="36">
        <v>4</v>
      </c>
      <c r="I26" s="36"/>
      <c r="J26" s="36"/>
      <c r="K26" s="36"/>
      <c r="L26" s="36"/>
      <c r="M26" s="36"/>
      <c r="N26" s="36"/>
      <c r="O26" s="36"/>
      <c r="P26" s="46"/>
    </row>
    <row r="27" spans="1:16" ht="24" customHeight="1" x14ac:dyDescent="0.25">
      <c r="A27" s="65"/>
      <c r="B27" s="47" t="s">
        <v>95</v>
      </c>
      <c r="C27" s="44">
        <v>4</v>
      </c>
      <c r="D27" s="35">
        <f t="shared" si="1"/>
        <v>4</v>
      </c>
      <c r="E27" s="36"/>
      <c r="F27" s="36"/>
      <c r="G27" s="36"/>
      <c r="H27" s="36"/>
      <c r="I27" s="36">
        <v>4</v>
      </c>
      <c r="J27" s="36"/>
      <c r="K27" s="36"/>
      <c r="L27" s="36"/>
      <c r="M27" s="36"/>
      <c r="N27" s="36"/>
      <c r="O27" s="36"/>
      <c r="P27" s="46"/>
    </row>
    <row r="28" spans="1:16" ht="24" customHeight="1" x14ac:dyDescent="0.25">
      <c r="A28" s="65"/>
      <c r="B28" s="47" t="s">
        <v>96</v>
      </c>
      <c r="C28" s="44">
        <v>4</v>
      </c>
      <c r="D28" s="35">
        <f t="shared" si="1"/>
        <v>0</v>
      </c>
      <c r="E28" s="36"/>
      <c r="F28" s="36"/>
      <c r="G28" s="36"/>
      <c r="H28" s="36"/>
      <c r="I28" s="36"/>
      <c r="J28" s="36"/>
      <c r="K28" s="36"/>
      <c r="L28" s="36"/>
      <c r="M28" s="36"/>
      <c r="N28" s="36"/>
      <c r="O28" s="36"/>
      <c r="P28" s="46"/>
    </row>
    <row r="29" spans="1:16" ht="24" customHeight="1" x14ac:dyDescent="0.25">
      <c r="A29" s="65"/>
      <c r="B29" s="47" t="s">
        <v>97</v>
      </c>
      <c r="C29" s="44">
        <v>4</v>
      </c>
      <c r="D29" s="35">
        <f t="shared" si="1"/>
        <v>0</v>
      </c>
      <c r="E29" s="36"/>
      <c r="F29" s="36"/>
      <c r="G29" s="36"/>
      <c r="H29" s="36"/>
      <c r="I29" s="36"/>
      <c r="J29" s="36"/>
      <c r="K29" s="36"/>
      <c r="L29" s="36"/>
      <c r="M29" s="36"/>
      <c r="N29" s="36"/>
      <c r="O29" s="36"/>
      <c r="P29" s="46"/>
    </row>
    <row r="30" spans="1:16" ht="24" customHeight="1" x14ac:dyDescent="0.25">
      <c r="A30" s="65"/>
      <c r="B30" s="47" t="s">
        <v>98</v>
      </c>
      <c r="C30" s="44">
        <v>1</v>
      </c>
      <c r="D30" s="35">
        <f t="shared" si="1"/>
        <v>0</v>
      </c>
      <c r="E30" s="36"/>
      <c r="F30" s="36"/>
      <c r="G30" s="36"/>
      <c r="H30" s="36"/>
      <c r="I30" s="36"/>
      <c r="J30" s="36"/>
      <c r="K30" s="36"/>
      <c r="L30" s="36"/>
      <c r="M30" s="36"/>
      <c r="N30" s="36"/>
      <c r="O30" s="36"/>
      <c r="P30" s="46"/>
    </row>
    <row r="31" spans="1:16" ht="24" customHeight="1" x14ac:dyDescent="0.25">
      <c r="A31" s="65"/>
      <c r="B31" s="47" t="s">
        <v>99</v>
      </c>
      <c r="C31" s="44">
        <v>1</v>
      </c>
      <c r="D31" s="35">
        <f t="shared" si="1"/>
        <v>0</v>
      </c>
      <c r="E31" s="36"/>
      <c r="F31" s="36"/>
      <c r="G31" s="36"/>
      <c r="H31" s="36"/>
      <c r="I31" s="36"/>
      <c r="J31" s="36"/>
      <c r="K31" s="36"/>
      <c r="L31" s="36"/>
      <c r="M31" s="36"/>
      <c r="N31" s="36"/>
      <c r="O31" s="36"/>
      <c r="P31" s="46"/>
    </row>
    <row r="32" spans="1:16" ht="24" customHeight="1" x14ac:dyDescent="0.25">
      <c r="A32" s="65"/>
      <c r="B32" s="47" t="s">
        <v>100</v>
      </c>
      <c r="C32" s="44">
        <v>1</v>
      </c>
      <c r="D32" s="35">
        <f t="shared" si="1"/>
        <v>0</v>
      </c>
      <c r="E32" s="36"/>
      <c r="F32" s="36"/>
      <c r="G32" s="36"/>
      <c r="H32" s="36"/>
      <c r="I32" s="36"/>
      <c r="J32" s="36"/>
      <c r="K32" s="36"/>
      <c r="L32" s="36"/>
      <c r="M32" s="36"/>
      <c r="N32" s="36"/>
      <c r="O32" s="36"/>
      <c r="P32" s="46"/>
    </row>
    <row r="33" spans="1:16" ht="24" customHeight="1" x14ac:dyDescent="0.25">
      <c r="A33" s="65"/>
      <c r="B33" s="47" t="s">
        <v>101</v>
      </c>
      <c r="C33" s="44">
        <v>1</v>
      </c>
      <c r="D33" s="35">
        <f t="shared" si="1"/>
        <v>0</v>
      </c>
      <c r="E33" s="36"/>
      <c r="F33" s="36"/>
      <c r="G33" s="36"/>
      <c r="H33" s="36"/>
      <c r="I33" s="36"/>
      <c r="J33" s="36"/>
      <c r="K33" s="36"/>
      <c r="L33" s="36"/>
      <c r="M33" s="36"/>
      <c r="N33" s="36"/>
      <c r="O33" s="36"/>
      <c r="P33" s="46"/>
    </row>
    <row r="34" spans="1:16" ht="24" customHeight="1" x14ac:dyDescent="0.25">
      <c r="A34" s="65"/>
      <c r="B34" s="47" t="s">
        <v>102</v>
      </c>
      <c r="C34" s="44">
        <v>1</v>
      </c>
      <c r="D34" s="35">
        <f t="shared" si="1"/>
        <v>0</v>
      </c>
      <c r="E34" s="36"/>
      <c r="F34" s="36"/>
      <c r="G34" s="36"/>
      <c r="H34" s="36"/>
      <c r="I34" s="36"/>
      <c r="J34" s="36"/>
      <c r="K34" s="36"/>
      <c r="L34" s="36"/>
      <c r="M34" s="36"/>
      <c r="N34" s="36"/>
      <c r="O34" s="36"/>
      <c r="P34" s="46"/>
    </row>
    <row r="35" spans="1:16" ht="24" customHeight="1" x14ac:dyDescent="0.25">
      <c r="A35" s="65"/>
      <c r="B35" s="47" t="s">
        <v>103</v>
      </c>
      <c r="C35" s="44">
        <v>1</v>
      </c>
      <c r="D35" s="35">
        <f t="shared" si="1"/>
        <v>0</v>
      </c>
      <c r="E35" s="36"/>
      <c r="F35" s="36"/>
      <c r="G35" s="36"/>
      <c r="H35" s="36"/>
      <c r="I35" s="36"/>
      <c r="J35" s="36"/>
      <c r="K35" s="36"/>
      <c r="L35" s="36"/>
      <c r="M35" s="36"/>
      <c r="N35" s="36"/>
      <c r="O35" s="36"/>
      <c r="P35" s="46"/>
    </row>
    <row r="36" spans="1:16" ht="24" customHeight="1" thickBot="1" x14ac:dyDescent="0.3">
      <c r="A36" s="66"/>
      <c r="B36" s="48" t="s">
        <v>104</v>
      </c>
      <c r="C36" s="44">
        <v>1</v>
      </c>
      <c r="D36" s="35">
        <f t="shared" si="1"/>
        <v>0</v>
      </c>
      <c r="E36" s="36"/>
      <c r="F36" s="36"/>
      <c r="G36" s="36"/>
      <c r="H36" s="36"/>
      <c r="I36" s="36"/>
      <c r="J36" s="36"/>
      <c r="K36" s="36"/>
      <c r="L36" s="36"/>
      <c r="M36" s="36"/>
      <c r="N36" s="36"/>
      <c r="O36" s="36"/>
      <c r="P36" s="46"/>
    </row>
    <row r="37" spans="1:16" x14ac:dyDescent="0.25">
      <c r="C37" s="49">
        <f>SUM(C3:C36)</f>
        <v>245</v>
      </c>
      <c r="D37" s="50">
        <f>SUM(D3:D36)</f>
        <v>42</v>
      </c>
    </row>
    <row r="38" spans="1:16" x14ac:dyDescent="0.25">
      <c r="C38" s="10"/>
      <c r="D38" s="51">
        <f>D37/C37</f>
        <v>0.17142857142857143</v>
      </c>
    </row>
  </sheetData>
  <sheetProtection algorithmName="SHA-512" hashValue="HZgdBVVPAsMd28QMX8R/KbckoHe4qRC/8ACoBtZgeFp+xPeYojO8xJO9Abs2oIVkjfq6lApewBiLBjRU9vdCug==" saltValue="8+q6EzJlaj8WmhizIEuJEg==" spinCount="100000" sheet="1" objects="1" scenarios="1" autoFilter="0"/>
  <mergeCells count="2">
    <mergeCell ref="A1:A2"/>
    <mergeCell ref="A9:A36"/>
  </mergeCells>
  <conditionalFormatting sqref="C3:D3 D4:D8">
    <cfRule type="dataBar" priority="46">
      <dataBar>
        <cfvo type="min"/>
        <cfvo type="max"/>
        <color rgb="FF008AEF"/>
      </dataBar>
      <extLst>
        <ext xmlns:x14="http://schemas.microsoft.com/office/spreadsheetml/2009/9/main" uri="{B025F937-C7B1-47D3-B67F-A62EFF666E3E}">
          <x14:id>{0AC6C8C4-3694-486B-9818-4FEB3A040838}</x14:id>
        </ext>
      </extLst>
    </cfRule>
  </conditionalFormatting>
  <conditionalFormatting sqref="C4:D4">
    <cfRule type="dataBar" priority="4">
      <dataBar>
        <cfvo type="min"/>
        <cfvo type="max"/>
        <color rgb="FF008AEF"/>
      </dataBar>
      <extLst>
        <ext xmlns:x14="http://schemas.microsoft.com/office/spreadsheetml/2009/9/main" uri="{B025F937-C7B1-47D3-B67F-A62EFF666E3E}">
          <x14:id>{79531261-0F78-4A55-BFE9-7329A79E69D4}</x14:id>
        </ext>
      </extLst>
    </cfRule>
  </conditionalFormatting>
  <conditionalFormatting sqref="C5:D5">
    <cfRule type="dataBar" priority="5">
      <dataBar>
        <cfvo type="min"/>
        <cfvo type="max"/>
        <color rgb="FF008AEF"/>
      </dataBar>
      <extLst>
        <ext xmlns:x14="http://schemas.microsoft.com/office/spreadsheetml/2009/9/main" uri="{B025F937-C7B1-47D3-B67F-A62EFF666E3E}">
          <x14:id>{A0362011-D19A-4010-9304-DF05760DECD0}</x14:id>
        </ext>
      </extLst>
    </cfRule>
  </conditionalFormatting>
  <conditionalFormatting sqref="C6:D6">
    <cfRule type="dataBar" priority="6">
      <dataBar>
        <cfvo type="min"/>
        <cfvo type="max"/>
        <color rgb="FF008AEF"/>
      </dataBar>
      <extLst>
        <ext xmlns:x14="http://schemas.microsoft.com/office/spreadsheetml/2009/9/main" uri="{B025F937-C7B1-47D3-B67F-A62EFF666E3E}">
          <x14:id>{2C49D714-8FC9-4202-8CF0-CBD8B0BD186C}</x14:id>
        </ext>
      </extLst>
    </cfRule>
  </conditionalFormatting>
  <conditionalFormatting sqref="C7:D7">
    <cfRule type="dataBar" priority="7">
      <dataBar>
        <cfvo type="min"/>
        <cfvo type="max"/>
        <color rgb="FF008AEF"/>
      </dataBar>
      <extLst>
        <ext xmlns:x14="http://schemas.microsoft.com/office/spreadsheetml/2009/9/main" uri="{B025F937-C7B1-47D3-B67F-A62EFF666E3E}">
          <x14:id>{82A81362-D3D7-40E7-A359-EF1B7A978D76}</x14:id>
        </ext>
      </extLst>
    </cfRule>
  </conditionalFormatting>
  <conditionalFormatting sqref="C8:D8">
    <cfRule type="dataBar" priority="8">
      <dataBar>
        <cfvo type="min"/>
        <cfvo type="max"/>
        <color rgb="FF008AEF"/>
      </dataBar>
      <extLst>
        <ext xmlns:x14="http://schemas.microsoft.com/office/spreadsheetml/2009/9/main" uri="{B025F937-C7B1-47D3-B67F-A62EFF666E3E}">
          <x14:id>{3F99B82A-2C70-48A4-A37C-A26A623E2E19}</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{968F5962-BD65-445B-9C84-AAE1660EFA17}</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{B810B2ED-040A-47FD-8949-0E65348CB623}</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{F61B2D18-F8F2-49D0-9BC4-19A6823D136E}</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{D910AFB5-8366-4240-9DCA-4A255EDE4902}</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{56921E03-DC12-4551-88F4-C23ECC455D0C}</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{C110963C-ACD5-47D1-8409-C933CD38BAB4}</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{D9FAC77B-7CE0-423C-902A-592B6333DB84}</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{96438DDD-80BE-494E-BC5A-6A4CF4CF512C}</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{81428E43-E278-4D4C-8DBA-A5677657916A}</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{14D3020F-4220-431F-B9E0-3683D946CB5A}</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{E36C3D90-382C-4CC0-AE5E-C65BC3D71AEC}</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{34A40BCF-0A64-4D2D-9BAD-5162C6B093CD}</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{7229B967-AF1F-4E60-9C40-CB080A3873D4}</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{59C44C89-5A4E-4B89-AD0F-05F0760F4E9E}</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{35C91F6C-8A3B-45BB-93C2-92EF7C4C50D4}</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{FADCBA74-195C-455D-AE2C-D008B959697A}</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{89F0172D-1C78-402C-BA3E-02DB783926E5}</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{78132E69-B9D9-4BDE-A7D7-B0443A279539}</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{9826ABE9-C973-41D9-9074-727115BCEF65}</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{9CEE4871-A813-4889-860A-D8572B05E5BA}</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{C9A3281C-50E5-4237-B658-BBFD31EAF053}</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{E21CC795-9AA6-4DB6-8F06-814C699A97D4}</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{C35FE61D-C80F-4640-A44D-9123EBBD15B2}</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{282B4DA5-485E-45C3-B72F-AEA281C6A94D}</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{4966F892-2A9F-4B9E-8097-141ACDCF7C46}</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{26918BEC-4E0E-4F6B-9CF4-42284E912F36}</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{B8049844-8BE8-4EF7-9D9A-4FA4A56A0E41}</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{975BDDE5-4975-4381-A334-52E65CAC6E8A}</x14:id>
        </ext>
      </extLst>
    </cfRule>
  </conditionalFormatting>
  <conditionalFormatting sqref="E3:F32 E33:O36">
    <cfRule type="cellIs" dxfId="22" priority="1" operator="greaterThan">
      <formula>0</formula>
    </cfRule>
  </conditionalFormatting>
  <conditionalFormatting sqref="G9:O32">
    <cfRule type="cellIs" dxfId="21" priority="11" operator="greaterThan">
      <formula>0</formula>
    </cfRule>
  </conditionalFormatting>
  <conditionalFormatting sqref="G3:P8">
    <cfRule type="cellIs" dxfId="20"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AC6C8C4-3694-486B-9818-4FEB3A040838}">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79531261-0F78-4A55-BFE9-7329A79E69D4}">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A0362011-D19A-4010-9304-DF05760DECD0}">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2C49D714-8FC9-4202-8CF0-CBD8B0BD186C}">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82A81362-D3D7-40E7-A359-EF1B7A978D76}">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3F99B82A-2C70-48A4-A37C-A26A623E2E19}">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968F5962-BD65-445B-9C84-AAE1660EFA17}">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B810B2ED-040A-47FD-8949-0E65348CB623}">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F61B2D18-F8F2-49D0-9BC4-19A6823D136E}">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D910AFB5-8366-4240-9DCA-4A255EDE4902}">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56921E03-DC12-4551-88F4-C23ECC455D0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C110963C-ACD5-47D1-8409-C933CD38BAB4}">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D9FAC77B-7CE0-423C-902A-592B6333DB84}">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96438DDD-80BE-494E-BC5A-6A4CF4CF512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81428E43-E278-4D4C-8DBA-A5677657916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4D3020F-4220-431F-B9E0-3683D946CB5A}">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E36C3D90-382C-4CC0-AE5E-C65BC3D71AEC}">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34A40BCF-0A64-4D2D-9BAD-5162C6B093C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7229B967-AF1F-4E60-9C40-CB080A3873D4}">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59C44C89-5A4E-4B89-AD0F-05F0760F4E9E}">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35C91F6C-8A3B-45BB-93C2-92EF7C4C50D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FADCBA74-195C-455D-AE2C-D008B959697A}">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89F0172D-1C78-402C-BA3E-02DB783926E5}">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78132E69-B9D9-4BDE-A7D7-B0443A27953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9826ABE9-C973-41D9-9074-727115BCEF65}">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9CEE4871-A813-4889-860A-D8572B05E5BA}">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C9A3281C-50E5-4237-B658-BBFD31EAF053}">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E21CC795-9AA6-4DB6-8F06-814C699A97D4}">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C35FE61D-C80F-4640-A44D-9123EBBD15B2}">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282B4DA5-485E-45C3-B72F-AEA281C6A94D}">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4966F892-2A9F-4B9E-8097-141ACDCF7C46}">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26918BEC-4E0E-4F6B-9CF4-42284E912F36}">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B8049844-8BE8-4EF7-9D9A-4FA4A56A0E41}">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975BDDE5-4975-4381-A334-52E65CAC6E8A}">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P45"/>
  <sheetViews>
    <sheetView zoomScale="86" zoomScaleNormal="86" workbookViewId="0">
      <selection activeCell="I4" sqref="I4"/>
    </sheetView>
  </sheetViews>
  <sheetFormatPr baseColWidth="10" defaultColWidth="11.42578125" defaultRowHeight="15" x14ac:dyDescent="0.25"/>
  <cols>
    <col min="1" max="1" width="10.42578125" style="2" customWidth="1"/>
    <col min="2" max="2" width="72.42578125" style="2" customWidth="1"/>
    <col min="3" max="3" width="11.42578125" style="2"/>
    <col min="4" max="4" width="22.42578125" style="2" customWidth="1"/>
    <col min="5" max="8" width="17.28515625" style="2" customWidth="1"/>
    <col min="9" max="16384" width="11.42578125" style="2"/>
  </cols>
  <sheetData>
    <row r="1" spans="1:16" ht="61.5" customHeight="1" x14ac:dyDescent="0.25">
      <c r="A1" s="62" t="s">
        <v>1</v>
      </c>
      <c r="B1" s="29" t="s">
        <v>39</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thickBot="1" x14ac:dyDescent="0.3">
      <c r="A3" s="32" t="s">
        <v>18</v>
      </c>
      <c r="B3" s="33" t="s">
        <v>17</v>
      </c>
      <c r="C3" s="34">
        <v>2</v>
      </c>
      <c r="D3" s="35">
        <f t="shared" ref="D3:D8" si="0">SUM(E3:P3)</f>
        <v>0</v>
      </c>
      <c r="E3" s="36"/>
      <c r="F3" s="36"/>
      <c r="G3" s="36"/>
      <c r="H3" s="36"/>
      <c r="I3" s="36"/>
      <c r="J3" s="36"/>
      <c r="K3" s="36"/>
      <c r="L3" s="36"/>
      <c r="M3" s="36"/>
      <c r="N3" s="36"/>
      <c r="O3" s="36"/>
      <c r="P3" s="36"/>
    </row>
    <row r="4" spans="1:16" ht="81" customHeight="1" thickBot="1" x14ac:dyDescent="0.3">
      <c r="A4" s="37" t="s">
        <v>20</v>
      </c>
      <c r="B4" s="38" t="s">
        <v>19</v>
      </c>
      <c r="C4" s="39">
        <v>2</v>
      </c>
      <c r="D4" s="35">
        <f t="shared" si="0"/>
        <v>1</v>
      </c>
      <c r="E4" s="36">
        <v>0</v>
      </c>
      <c r="F4" s="36">
        <v>0</v>
      </c>
      <c r="G4" s="36">
        <v>0</v>
      </c>
      <c r="H4" s="36">
        <v>0</v>
      </c>
      <c r="I4" s="36">
        <v>1</v>
      </c>
      <c r="J4" s="36"/>
      <c r="K4" s="36"/>
      <c r="L4" s="36"/>
      <c r="M4" s="36"/>
      <c r="N4" s="36"/>
      <c r="O4" s="36"/>
      <c r="P4" s="36"/>
    </row>
    <row r="5" spans="1:16" ht="81" customHeight="1" thickBot="1" x14ac:dyDescent="0.3">
      <c r="A5" s="40" t="s">
        <v>23</v>
      </c>
      <c r="B5" s="16" t="s">
        <v>40</v>
      </c>
      <c r="C5" s="41">
        <v>1</v>
      </c>
      <c r="D5" s="35">
        <f t="shared" si="0"/>
        <v>0</v>
      </c>
      <c r="E5" s="36">
        <v>0</v>
      </c>
      <c r="F5" s="36">
        <v>0</v>
      </c>
      <c r="G5" s="36">
        <v>0</v>
      </c>
      <c r="H5" s="36">
        <v>0</v>
      </c>
      <c r="I5" s="36"/>
      <c r="J5" s="36"/>
      <c r="K5" s="36"/>
      <c r="L5" s="36"/>
      <c r="M5" s="36"/>
      <c r="N5" s="36"/>
      <c r="O5" s="36"/>
      <c r="P5" s="36"/>
    </row>
    <row r="6" spans="1:16" ht="81" customHeight="1" thickBot="1" x14ac:dyDescent="0.3">
      <c r="A6" s="42" t="s">
        <v>18</v>
      </c>
      <c r="B6" s="43" t="s">
        <v>36</v>
      </c>
      <c r="C6" s="44">
        <v>2</v>
      </c>
      <c r="D6" s="35">
        <f t="shared" si="0"/>
        <v>0</v>
      </c>
      <c r="E6" s="36"/>
      <c r="F6" s="36"/>
      <c r="G6" s="36"/>
      <c r="H6" s="36"/>
      <c r="I6" s="36"/>
      <c r="J6" s="36"/>
      <c r="K6" s="36"/>
      <c r="L6" s="36"/>
      <c r="M6" s="36"/>
      <c r="N6" s="36"/>
      <c r="O6" s="36"/>
      <c r="P6" s="36"/>
    </row>
    <row r="7" spans="1:16" ht="81" customHeight="1" thickBot="1" x14ac:dyDescent="0.3">
      <c r="A7" s="42" t="s">
        <v>18</v>
      </c>
      <c r="B7" s="43" t="s">
        <v>37</v>
      </c>
      <c r="C7" s="44">
        <v>2</v>
      </c>
      <c r="D7" s="35">
        <f t="shared" si="0"/>
        <v>0</v>
      </c>
      <c r="E7" s="36"/>
      <c r="F7" s="36"/>
      <c r="G7" s="36"/>
      <c r="H7" s="36"/>
      <c r="I7" s="36"/>
      <c r="J7" s="36"/>
      <c r="K7" s="36"/>
      <c r="L7" s="36"/>
      <c r="M7" s="36"/>
      <c r="N7" s="36"/>
      <c r="O7" s="36"/>
      <c r="P7" s="36"/>
    </row>
    <row r="8" spans="1:16" ht="81" customHeight="1" thickBot="1" x14ac:dyDescent="0.3">
      <c r="A8" s="42" t="s">
        <v>18</v>
      </c>
      <c r="B8" s="43" t="s">
        <v>38</v>
      </c>
      <c r="C8" s="44">
        <v>1</v>
      </c>
      <c r="D8" s="35">
        <f t="shared" si="0"/>
        <v>0</v>
      </c>
      <c r="E8" s="36"/>
      <c r="F8" s="36"/>
      <c r="G8" s="36"/>
      <c r="H8" s="36"/>
      <c r="I8" s="36"/>
      <c r="J8" s="36"/>
      <c r="K8" s="36"/>
      <c r="L8" s="36"/>
      <c r="M8" s="36"/>
      <c r="N8" s="36"/>
      <c r="O8" s="36"/>
      <c r="P8" s="36"/>
    </row>
    <row r="9" spans="1:16" ht="28.5" customHeight="1" x14ac:dyDescent="0.25">
      <c r="A9" s="64" t="s">
        <v>76</v>
      </c>
      <c r="B9" s="45" t="s">
        <v>77</v>
      </c>
      <c r="C9" s="44">
        <v>3</v>
      </c>
      <c r="D9" s="35">
        <f t="shared" ref="D9:D36" si="1">SUM(E9:O9)</f>
        <v>4</v>
      </c>
      <c r="E9" s="36"/>
      <c r="F9" s="36"/>
      <c r="G9" s="36">
        <v>1</v>
      </c>
      <c r="H9" s="36"/>
      <c r="I9" s="36">
        <v>3</v>
      </c>
      <c r="J9" s="36"/>
      <c r="K9" s="36"/>
      <c r="L9" s="36"/>
      <c r="M9" s="36"/>
      <c r="N9" s="36"/>
      <c r="O9" s="36"/>
      <c r="P9" s="46"/>
    </row>
    <row r="10" spans="1:16" ht="28.5" customHeight="1" x14ac:dyDescent="0.25">
      <c r="A10" s="65"/>
      <c r="B10" s="45" t="s">
        <v>78</v>
      </c>
      <c r="C10" s="44">
        <v>3</v>
      </c>
      <c r="D10" s="35">
        <f t="shared" si="1"/>
        <v>2</v>
      </c>
      <c r="E10" s="36"/>
      <c r="F10" s="36"/>
      <c r="G10" s="36">
        <v>2</v>
      </c>
      <c r="H10" s="36"/>
      <c r="I10" s="36"/>
      <c r="J10" s="36"/>
      <c r="K10" s="36"/>
      <c r="L10" s="36"/>
      <c r="M10" s="36"/>
      <c r="N10" s="36"/>
      <c r="O10" s="36"/>
      <c r="P10" s="46"/>
    </row>
    <row r="11" spans="1:16" ht="28.5" customHeight="1" x14ac:dyDescent="0.25">
      <c r="A11" s="65"/>
      <c r="B11" s="45" t="s">
        <v>79</v>
      </c>
      <c r="C11" s="44">
        <v>24</v>
      </c>
      <c r="D11" s="35">
        <f t="shared" si="1"/>
        <v>8</v>
      </c>
      <c r="E11" s="36"/>
      <c r="F11" s="36">
        <v>3</v>
      </c>
      <c r="G11" s="36">
        <v>2</v>
      </c>
      <c r="H11" s="36">
        <v>3</v>
      </c>
      <c r="I11" s="36"/>
      <c r="J11" s="36"/>
      <c r="K11" s="36"/>
      <c r="L11" s="36"/>
      <c r="M11" s="36"/>
      <c r="N11" s="36"/>
      <c r="O11" s="36"/>
      <c r="P11" s="46"/>
    </row>
    <row r="12" spans="1:16" ht="28.5" customHeight="1" x14ac:dyDescent="0.25">
      <c r="A12" s="65"/>
      <c r="B12" s="45" t="s">
        <v>80</v>
      </c>
      <c r="C12" s="44">
        <v>72</v>
      </c>
      <c r="D12" s="35">
        <f t="shared" si="1"/>
        <v>26</v>
      </c>
      <c r="E12" s="36"/>
      <c r="F12" s="36">
        <v>26</v>
      </c>
      <c r="G12" s="36"/>
      <c r="H12" s="36"/>
      <c r="I12" s="36"/>
      <c r="J12" s="36"/>
      <c r="K12" s="36"/>
      <c r="L12" s="36"/>
      <c r="M12" s="36"/>
      <c r="N12" s="36"/>
      <c r="O12" s="36"/>
      <c r="P12" s="46"/>
    </row>
    <row r="13" spans="1:16" ht="28.5" customHeight="1" x14ac:dyDescent="0.25">
      <c r="A13" s="65"/>
      <c r="B13" s="45" t="s">
        <v>81</v>
      </c>
      <c r="C13" s="44">
        <v>0</v>
      </c>
      <c r="D13" s="35">
        <f t="shared" si="1"/>
        <v>0</v>
      </c>
      <c r="E13" s="36"/>
      <c r="F13" s="36"/>
      <c r="G13" s="36"/>
      <c r="H13" s="36"/>
      <c r="I13" s="36"/>
      <c r="J13" s="36"/>
      <c r="K13" s="36"/>
      <c r="L13" s="36"/>
      <c r="M13" s="36"/>
      <c r="N13" s="36"/>
      <c r="O13" s="36"/>
      <c r="P13" s="46"/>
    </row>
    <row r="14" spans="1:16" ht="28.5" customHeight="1" x14ac:dyDescent="0.25">
      <c r="A14" s="65"/>
      <c r="B14" s="45" t="s">
        <v>82</v>
      </c>
      <c r="C14" s="44">
        <v>6</v>
      </c>
      <c r="D14" s="35">
        <f t="shared" si="1"/>
        <v>0</v>
      </c>
      <c r="E14" s="36"/>
      <c r="F14" s="36"/>
      <c r="G14" s="36"/>
      <c r="H14" s="36"/>
      <c r="I14" s="36"/>
      <c r="J14" s="36"/>
      <c r="K14" s="36"/>
      <c r="L14" s="36"/>
      <c r="M14" s="36"/>
      <c r="N14" s="36"/>
      <c r="O14" s="36"/>
      <c r="P14" s="46"/>
    </row>
    <row r="15" spans="1:16" ht="28.5" customHeight="1" x14ac:dyDescent="0.25">
      <c r="A15" s="65"/>
      <c r="B15" s="45" t="s">
        <v>83</v>
      </c>
      <c r="C15" s="44">
        <v>0</v>
      </c>
      <c r="D15" s="35">
        <f t="shared" si="1"/>
        <v>0</v>
      </c>
      <c r="E15" s="36"/>
      <c r="F15" s="36"/>
      <c r="G15" s="36"/>
      <c r="H15" s="36"/>
      <c r="I15" s="36"/>
      <c r="J15" s="36"/>
      <c r="K15" s="36"/>
      <c r="L15" s="36"/>
      <c r="M15" s="36"/>
      <c r="N15" s="36"/>
      <c r="O15" s="36"/>
      <c r="P15" s="46"/>
    </row>
    <row r="16" spans="1:16" ht="28.5" customHeight="1" x14ac:dyDescent="0.25">
      <c r="A16" s="65"/>
      <c r="B16" s="45" t="s">
        <v>84</v>
      </c>
      <c r="C16" s="44">
        <v>26</v>
      </c>
      <c r="D16" s="35">
        <f t="shared" si="1"/>
        <v>6</v>
      </c>
      <c r="E16" s="36"/>
      <c r="F16" s="36"/>
      <c r="G16" s="36"/>
      <c r="H16" s="36"/>
      <c r="I16" s="36">
        <v>6</v>
      </c>
      <c r="J16" s="36"/>
      <c r="K16" s="36"/>
      <c r="L16" s="36"/>
      <c r="M16" s="36"/>
      <c r="N16" s="36"/>
      <c r="O16" s="36"/>
      <c r="P16" s="46"/>
    </row>
    <row r="17" spans="1:16" ht="28.5" customHeight="1" x14ac:dyDescent="0.25">
      <c r="A17" s="65"/>
      <c r="B17" s="45" t="s">
        <v>85</v>
      </c>
      <c r="C17" s="44">
        <v>0</v>
      </c>
      <c r="D17" s="35">
        <f t="shared" si="1"/>
        <v>0</v>
      </c>
      <c r="E17" s="36"/>
      <c r="F17" s="36"/>
      <c r="G17" s="36"/>
      <c r="H17" s="36"/>
      <c r="I17" s="36"/>
      <c r="J17" s="36"/>
      <c r="K17" s="36"/>
      <c r="L17" s="36"/>
      <c r="M17" s="36"/>
      <c r="N17" s="36"/>
      <c r="O17" s="36"/>
      <c r="P17" s="46"/>
    </row>
    <row r="18" spans="1:16" ht="28.5" customHeight="1" x14ac:dyDescent="0.25">
      <c r="A18" s="65"/>
      <c r="B18" s="45" t="s">
        <v>86</v>
      </c>
      <c r="C18" s="44">
        <v>0</v>
      </c>
      <c r="D18" s="35">
        <f t="shared" si="1"/>
        <v>0</v>
      </c>
      <c r="E18" s="36"/>
      <c r="F18" s="36"/>
      <c r="G18" s="36"/>
      <c r="H18" s="36"/>
      <c r="I18" s="36"/>
      <c r="J18" s="36"/>
      <c r="K18" s="36"/>
      <c r="L18" s="36"/>
      <c r="M18" s="36"/>
      <c r="N18" s="36"/>
      <c r="O18" s="36"/>
      <c r="P18" s="46"/>
    </row>
    <row r="19" spans="1:16" ht="28.5" customHeight="1" x14ac:dyDescent="0.25">
      <c r="A19" s="65"/>
      <c r="B19" s="45" t="s">
        <v>87</v>
      </c>
      <c r="C19" s="44">
        <v>0</v>
      </c>
      <c r="D19" s="35">
        <f t="shared" si="1"/>
        <v>0</v>
      </c>
      <c r="E19" s="36"/>
      <c r="F19" s="36"/>
      <c r="G19" s="36"/>
      <c r="H19" s="36"/>
      <c r="I19" s="36"/>
      <c r="J19" s="36"/>
      <c r="K19" s="36"/>
      <c r="L19" s="36"/>
      <c r="M19" s="36"/>
      <c r="N19" s="36"/>
      <c r="O19" s="36"/>
      <c r="P19" s="46"/>
    </row>
    <row r="20" spans="1:16" ht="28.5" customHeight="1" x14ac:dyDescent="0.25">
      <c r="A20" s="65"/>
      <c r="B20" s="45" t="s">
        <v>88</v>
      </c>
      <c r="C20" s="44">
        <v>0</v>
      </c>
      <c r="D20" s="35">
        <f t="shared" si="1"/>
        <v>0</v>
      </c>
      <c r="E20" s="36"/>
      <c r="F20" s="36"/>
      <c r="G20" s="36"/>
      <c r="H20" s="36"/>
      <c r="I20" s="36"/>
      <c r="J20" s="36"/>
      <c r="K20" s="36"/>
      <c r="L20" s="36"/>
      <c r="M20" s="36"/>
      <c r="N20" s="36"/>
      <c r="O20" s="36"/>
      <c r="P20" s="46"/>
    </row>
    <row r="21" spans="1:16" ht="28.5" customHeight="1" x14ac:dyDescent="0.25">
      <c r="A21" s="65"/>
      <c r="B21" s="45" t="s">
        <v>89</v>
      </c>
      <c r="C21" s="44">
        <v>0</v>
      </c>
      <c r="D21" s="35">
        <f t="shared" si="1"/>
        <v>0</v>
      </c>
      <c r="E21" s="36"/>
      <c r="F21" s="36"/>
      <c r="G21" s="36"/>
      <c r="H21" s="36"/>
      <c r="I21" s="36"/>
      <c r="J21" s="36"/>
      <c r="K21" s="36"/>
      <c r="L21" s="36"/>
      <c r="M21" s="36"/>
      <c r="N21" s="36"/>
      <c r="O21" s="36"/>
      <c r="P21" s="46"/>
    </row>
    <row r="22" spans="1:16" ht="28.5" customHeight="1" x14ac:dyDescent="0.25">
      <c r="A22" s="65"/>
      <c r="B22" s="45" t="s">
        <v>90</v>
      </c>
      <c r="C22" s="44">
        <v>0</v>
      </c>
      <c r="D22" s="35">
        <f t="shared" si="1"/>
        <v>0</v>
      </c>
      <c r="E22" s="36"/>
      <c r="F22" s="36"/>
      <c r="G22" s="36"/>
      <c r="H22" s="36"/>
      <c r="I22" s="36"/>
      <c r="J22" s="36"/>
      <c r="K22" s="36"/>
      <c r="L22" s="36"/>
      <c r="M22" s="36"/>
      <c r="N22" s="36"/>
      <c r="O22" s="36"/>
      <c r="P22" s="46"/>
    </row>
    <row r="23" spans="1:16" ht="28.5" customHeight="1" x14ac:dyDescent="0.25">
      <c r="A23" s="65"/>
      <c r="B23" s="45" t="s">
        <v>91</v>
      </c>
      <c r="C23" s="44">
        <v>80</v>
      </c>
      <c r="D23" s="35">
        <f t="shared" si="1"/>
        <v>40</v>
      </c>
      <c r="E23" s="36"/>
      <c r="F23" s="36">
        <v>20</v>
      </c>
      <c r="G23" s="36"/>
      <c r="H23" s="36">
        <v>20</v>
      </c>
      <c r="I23" s="36"/>
      <c r="J23" s="36"/>
      <c r="K23" s="36"/>
      <c r="L23" s="36"/>
      <c r="M23" s="36"/>
      <c r="N23" s="36"/>
      <c r="O23" s="36"/>
      <c r="P23" s="46"/>
    </row>
    <row r="24" spans="1:16" ht="28.5" customHeight="1" x14ac:dyDescent="0.25">
      <c r="A24" s="65"/>
      <c r="B24" s="45" t="s">
        <v>92</v>
      </c>
      <c r="C24" s="44">
        <v>2</v>
      </c>
      <c r="D24" s="35">
        <f t="shared" si="1"/>
        <v>0</v>
      </c>
      <c r="E24" s="36"/>
      <c r="F24" s="36"/>
      <c r="G24" s="36"/>
      <c r="H24" s="36"/>
      <c r="I24" s="36"/>
      <c r="J24" s="36"/>
      <c r="K24" s="36"/>
      <c r="L24" s="36"/>
      <c r="M24" s="36"/>
      <c r="N24" s="36"/>
      <c r="O24" s="36"/>
      <c r="P24" s="46"/>
    </row>
    <row r="25" spans="1:16" ht="24" customHeight="1" x14ac:dyDescent="0.25">
      <c r="A25" s="65"/>
      <c r="B25" s="47" t="s">
        <v>93</v>
      </c>
      <c r="C25" s="44">
        <v>8</v>
      </c>
      <c r="D25" s="35">
        <f t="shared" si="1"/>
        <v>8</v>
      </c>
      <c r="E25" s="36"/>
      <c r="F25" s="36"/>
      <c r="G25" s="36">
        <v>8</v>
      </c>
      <c r="H25" s="36"/>
      <c r="I25" s="36"/>
      <c r="J25" s="36"/>
      <c r="K25" s="36"/>
      <c r="L25" s="36"/>
      <c r="M25" s="36"/>
      <c r="N25" s="36"/>
      <c r="O25" s="36"/>
      <c r="P25" s="46"/>
    </row>
    <row r="26" spans="1:16" ht="24" customHeight="1" x14ac:dyDescent="0.25">
      <c r="A26" s="65"/>
      <c r="B26" s="47" t="s">
        <v>94</v>
      </c>
      <c r="C26" s="44">
        <v>8</v>
      </c>
      <c r="D26" s="35">
        <f t="shared" si="1"/>
        <v>8</v>
      </c>
      <c r="E26" s="36"/>
      <c r="F26" s="36"/>
      <c r="G26" s="36"/>
      <c r="H26" s="36">
        <v>8</v>
      </c>
      <c r="I26" s="36"/>
      <c r="J26" s="36"/>
      <c r="K26" s="36"/>
      <c r="L26" s="36"/>
      <c r="M26" s="36"/>
      <c r="N26" s="36"/>
      <c r="O26" s="36"/>
      <c r="P26" s="46"/>
    </row>
    <row r="27" spans="1:16" ht="24" customHeight="1" x14ac:dyDescent="0.25">
      <c r="A27" s="65"/>
      <c r="B27" s="47" t="s">
        <v>95</v>
      </c>
      <c r="C27" s="44">
        <v>8</v>
      </c>
      <c r="D27" s="35">
        <f t="shared" si="1"/>
        <v>8</v>
      </c>
      <c r="E27" s="36"/>
      <c r="F27" s="36"/>
      <c r="G27" s="36"/>
      <c r="H27" s="36"/>
      <c r="I27" s="36">
        <v>8</v>
      </c>
      <c r="J27" s="36"/>
      <c r="K27" s="36"/>
      <c r="L27" s="36"/>
      <c r="M27" s="36"/>
      <c r="N27" s="36"/>
      <c r="O27" s="36"/>
      <c r="P27" s="46"/>
    </row>
    <row r="28" spans="1:16" ht="24" customHeight="1" x14ac:dyDescent="0.25">
      <c r="A28" s="65"/>
      <c r="B28" s="47" t="s">
        <v>96</v>
      </c>
      <c r="C28" s="44">
        <v>8</v>
      </c>
      <c r="D28" s="35">
        <f t="shared" si="1"/>
        <v>0</v>
      </c>
      <c r="E28" s="36"/>
      <c r="F28" s="36"/>
      <c r="G28" s="36"/>
      <c r="H28" s="36"/>
      <c r="I28" s="36"/>
      <c r="J28" s="36"/>
      <c r="K28" s="36"/>
      <c r="L28" s="36"/>
      <c r="M28" s="36"/>
      <c r="N28" s="36"/>
      <c r="O28" s="36"/>
      <c r="P28" s="46"/>
    </row>
    <row r="29" spans="1:16" ht="24" customHeight="1" x14ac:dyDescent="0.25">
      <c r="A29" s="65"/>
      <c r="B29" s="47" t="s">
        <v>97</v>
      </c>
      <c r="C29" s="44">
        <v>8</v>
      </c>
      <c r="D29" s="35">
        <f t="shared" si="1"/>
        <v>0</v>
      </c>
      <c r="E29" s="36"/>
      <c r="F29" s="36"/>
      <c r="G29" s="36"/>
      <c r="H29" s="36"/>
      <c r="I29" s="36"/>
      <c r="J29" s="36"/>
      <c r="K29" s="36"/>
      <c r="L29" s="36"/>
      <c r="M29" s="36"/>
      <c r="N29" s="36"/>
      <c r="O29" s="36"/>
      <c r="P29" s="46"/>
    </row>
    <row r="30" spans="1:16" ht="24" customHeight="1" x14ac:dyDescent="0.25">
      <c r="A30" s="65"/>
      <c r="B30" s="47" t="s">
        <v>98</v>
      </c>
      <c r="C30" s="44">
        <v>1</v>
      </c>
      <c r="D30" s="35">
        <f t="shared" si="1"/>
        <v>0</v>
      </c>
      <c r="E30" s="36"/>
      <c r="F30" s="36"/>
      <c r="G30" s="36"/>
      <c r="H30" s="36"/>
      <c r="I30" s="36"/>
      <c r="J30" s="36"/>
      <c r="K30" s="36"/>
      <c r="L30" s="36"/>
      <c r="M30" s="36"/>
      <c r="N30" s="36"/>
      <c r="O30" s="36"/>
      <c r="P30" s="46"/>
    </row>
    <row r="31" spans="1:16" ht="24" customHeight="1" x14ac:dyDescent="0.25">
      <c r="A31" s="65"/>
      <c r="B31" s="47" t="s">
        <v>99</v>
      </c>
      <c r="C31" s="44">
        <v>1</v>
      </c>
      <c r="D31" s="35">
        <f t="shared" si="1"/>
        <v>0</v>
      </c>
      <c r="E31" s="36"/>
      <c r="F31" s="36"/>
      <c r="G31" s="36"/>
      <c r="H31" s="36"/>
      <c r="I31" s="36"/>
      <c r="J31" s="36"/>
      <c r="K31" s="36"/>
      <c r="L31" s="36"/>
      <c r="M31" s="36"/>
      <c r="N31" s="36"/>
      <c r="O31" s="36"/>
      <c r="P31" s="46"/>
    </row>
    <row r="32" spans="1:16" ht="24" customHeight="1" x14ac:dyDescent="0.25">
      <c r="A32" s="65"/>
      <c r="B32" s="47" t="s">
        <v>100</v>
      </c>
      <c r="C32" s="44">
        <v>1</v>
      </c>
      <c r="D32" s="35">
        <f t="shared" si="1"/>
        <v>0</v>
      </c>
      <c r="E32" s="36"/>
      <c r="F32" s="36"/>
      <c r="G32" s="36"/>
      <c r="H32" s="36"/>
      <c r="I32" s="36"/>
      <c r="J32" s="36"/>
      <c r="K32" s="36"/>
      <c r="L32" s="36"/>
      <c r="M32" s="36"/>
      <c r="N32" s="36"/>
      <c r="O32" s="36"/>
      <c r="P32" s="46"/>
    </row>
    <row r="33" spans="1:16" ht="24" customHeight="1" x14ac:dyDescent="0.25">
      <c r="A33" s="65"/>
      <c r="B33" s="47" t="s">
        <v>101</v>
      </c>
      <c r="C33" s="44">
        <v>1</v>
      </c>
      <c r="D33" s="35">
        <f t="shared" si="1"/>
        <v>0</v>
      </c>
      <c r="E33" s="36"/>
      <c r="F33" s="36"/>
      <c r="G33" s="36"/>
      <c r="H33" s="36"/>
      <c r="I33" s="36"/>
      <c r="J33" s="36"/>
      <c r="K33" s="36"/>
      <c r="L33" s="36"/>
      <c r="M33" s="36"/>
      <c r="N33" s="36"/>
      <c r="O33" s="36"/>
      <c r="P33" s="46"/>
    </row>
    <row r="34" spans="1:16" ht="24" customHeight="1" x14ac:dyDescent="0.25">
      <c r="A34" s="65"/>
      <c r="B34" s="47" t="s">
        <v>102</v>
      </c>
      <c r="C34" s="44">
        <v>1</v>
      </c>
      <c r="D34" s="35">
        <f t="shared" si="1"/>
        <v>0</v>
      </c>
      <c r="E34" s="36"/>
      <c r="F34" s="36"/>
      <c r="G34" s="36"/>
      <c r="H34" s="36"/>
      <c r="I34" s="36"/>
      <c r="J34" s="36"/>
      <c r="K34" s="36"/>
      <c r="L34" s="36"/>
      <c r="M34" s="36"/>
      <c r="N34" s="36"/>
      <c r="O34" s="36"/>
      <c r="P34" s="46"/>
    </row>
    <row r="35" spans="1:16" ht="24" customHeight="1" x14ac:dyDescent="0.25">
      <c r="A35" s="65"/>
      <c r="B35" s="47" t="s">
        <v>103</v>
      </c>
      <c r="C35" s="44">
        <v>1</v>
      </c>
      <c r="D35" s="35">
        <f t="shared" si="1"/>
        <v>0</v>
      </c>
      <c r="E35" s="36"/>
      <c r="F35" s="36"/>
      <c r="G35" s="36"/>
      <c r="H35" s="36"/>
      <c r="I35" s="36"/>
      <c r="J35" s="36"/>
      <c r="K35" s="36"/>
      <c r="L35" s="36"/>
      <c r="M35" s="36"/>
      <c r="N35" s="36"/>
      <c r="O35" s="36"/>
      <c r="P35" s="46"/>
    </row>
    <row r="36" spans="1:16" ht="24" customHeight="1" thickBot="1" x14ac:dyDescent="0.3">
      <c r="A36" s="66"/>
      <c r="B36" s="48" t="s">
        <v>104</v>
      </c>
      <c r="C36" s="44">
        <v>1</v>
      </c>
      <c r="D36" s="35">
        <f t="shared" si="1"/>
        <v>0</v>
      </c>
      <c r="E36" s="36"/>
      <c r="F36" s="36"/>
      <c r="G36" s="36"/>
      <c r="H36" s="36"/>
      <c r="I36" s="36"/>
      <c r="J36" s="36"/>
      <c r="K36" s="36"/>
      <c r="L36" s="36"/>
      <c r="M36" s="36"/>
      <c r="N36" s="36"/>
      <c r="O36" s="36"/>
      <c r="P36" s="46"/>
    </row>
    <row r="37" spans="1:16" x14ac:dyDescent="0.25">
      <c r="C37" s="49">
        <f>SUM(C3:C36)</f>
        <v>273</v>
      </c>
      <c r="D37" s="50">
        <f>SUM(D3:D36)</f>
        <v>111</v>
      </c>
    </row>
    <row r="38" spans="1:16" x14ac:dyDescent="0.25">
      <c r="C38" s="10"/>
      <c r="D38" s="51">
        <f>D37/C37</f>
        <v>0.40659340659340659</v>
      </c>
    </row>
    <row r="45" spans="1:16" ht="16.5" customHeight="1" x14ac:dyDescent="0.25"/>
  </sheetData>
  <sheetProtection algorithmName="SHA-512" hashValue="syW0CIIi6lBD852Qf4DnuphlI8LTE5YqxxKfyCE5j1jhDCiT/NOX71DO8tDZw1HNqD+GPvpDGYgUCRtgDbGrJA==" saltValue="alLvEgMqxMRHszpGScoN6w==" spinCount="100000" sheet="1" objects="1" scenarios="1" autoFilter="0"/>
  <mergeCells count="2">
    <mergeCell ref="A1:A2"/>
    <mergeCell ref="A9:A36"/>
  </mergeCells>
  <conditionalFormatting sqref="C3:D3 D4:D8">
    <cfRule type="dataBar" priority="47">
      <dataBar>
        <cfvo type="min"/>
        <cfvo type="max"/>
        <color rgb="FF008AEF"/>
      </dataBar>
      <extLst>
        <ext xmlns:x14="http://schemas.microsoft.com/office/spreadsheetml/2009/9/main" uri="{B025F937-C7B1-47D3-B67F-A62EFF666E3E}">
          <x14:id>{06473EB9-D957-49A0-AC53-D5BAD9BF0E6B}</x14:id>
        </ext>
      </extLst>
    </cfRule>
  </conditionalFormatting>
  <conditionalFormatting sqref="C4:D4">
    <cfRule type="dataBar" priority="4">
      <dataBar>
        <cfvo type="min"/>
        <cfvo type="max"/>
        <color rgb="FF008AEF"/>
      </dataBar>
      <extLst>
        <ext xmlns:x14="http://schemas.microsoft.com/office/spreadsheetml/2009/9/main" uri="{B025F937-C7B1-47D3-B67F-A62EFF666E3E}">
          <x14:id>{167F1416-6130-4F62-9C27-E5B79A671D59}</x14:id>
        </ext>
      </extLst>
    </cfRule>
  </conditionalFormatting>
  <conditionalFormatting sqref="C5:D5">
    <cfRule type="dataBar" priority="5">
      <dataBar>
        <cfvo type="min"/>
        <cfvo type="max"/>
        <color rgb="FF008AEF"/>
      </dataBar>
      <extLst>
        <ext xmlns:x14="http://schemas.microsoft.com/office/spreadsheetml/2009/9/main" uri="{B025F937-C7B1-47D3-B67F-A62EFF666E3E}">
          <x14:id>{CABCF65F-AAF0-4FB5-8756-4BAC7E4682FF}</x14:id>
        </ext>
      </extLst>
    </cfRule>
  </conditionalFormatting>
  <conditionalFormatting sqref="C6:D6">
    <cfRule type="dataBar" priority="6">
      <dataBar>
        <cfvo type="min"/>
        <cfvo type="max"/>
        <color rgb="FF008AEF"/>
      </dataBar>
      <extLst>
        <ext xmlns:x14="http://schemas.microsoft.com/office/spreadsheetml/2009/9/main" uri="{B025F937-C7B1-47D3-B67F-A62EFF666E3E}">
          <x14:id>{E55DD2E5-8235-4F7D-8F67-EEF17B358841}</x14:id>
        </ext>
      </extLst>
    </cfRule>
  </conditionalFormatting>
  <conditionalFormatting sqref="C7:D7">
    <cfRule type="dataBar" priority="7">
      <dataBar>
        <cfvo type="min"/>
        <cfvo type="max"/>
        <color rgb="FF008AEF"/>
      </dataBar>
      <extLst>
        <ext xmlns:x14="http://schemas.microsoft.com/office/spreadsheetml/2009/9/main" uri="{B025F937-C7B1-47D3-B67F-A62EFF666E3E}">
          <x14:id>{9A747816-5776-4E43-8901-276DF7B401A5}</x14:id>
        </ext>
      </extLst>
    </cfRule>
  </conditionalFormatting>
  <conditionalFormatting sqref="C8:D8">
    <cfRule type="dataBar" priority="8">
      <dataBar>
        <cfvo type="min"/>
        <cfvo type="max"/>
        <color rgb="FF008AEF"/>
      </dataBar>
      <extLst>
        <ext xmlns:x14="http://schemas.microsoft.com/office/spreadsheetml/2009/9/main" uri="{B025F937-C7B1-47D3-B67F-A62EFF666E3E}">
          <x14:id>{DBC3E28E-9EE8-4CA4-8151-FECF3128309D}</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{96C72DCF-A77F-495E-BC25-7335FE479BDA}</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{7C89A51E-BA82-49AC-924D-216B0F3D51C7}</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{7239E2D1-F748-47AA-B2AE-E40F6B538B57}</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{AEC80231-31C5-4182-B10B-91212BC8C4E1}</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{409D7DCC-0616-486D-9AA9-C96AF3637B77}</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{A89FBAD8-0126-4DA6-92A9-D571AF20B3D7}</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{2A9D80F2-5FB3-4D6E-BDEC-A53028734CFE}</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{60B97D89-F025-4B43-8B9D-CCB0EE3F7543}</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{916FE267-0758-4299-9FB3-803DB54B1CD1}</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{8D3BDDAD-2B40-4FC1-AA40-86EBF01B0EED}</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{86B9E43A-54A6-4A13-9141-A6B5E77E66E4}</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{E3B9ADC9-0C75-4E50-AC9E-A7C591D7B716}</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{21BB1CAA-5D0E-45FA-A2EB-0201B4B71662}</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{23B85BBA-9059-46AB-9CF1-87B1B8A0D72F}</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{5CC9F368-6822-4DE3-A864-04E0E4C383A2}</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{B83EC205-36F6-45D6-B31A-1AE90CC496E6}</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{E96F0F90-5B7E-4E9D-B1AD-563D9CF2B54E}</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{823CFC80-0A1D-46E0-8681-DFB338755C64}</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{2F6526A4-F405-47F3-BE26-F1724AE484CB}</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{DC2A7B36-7690-4119-B2A4-C827A4892AB0}</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{69C5FCD1-7E61-43B3-9F4F-1E690D34F468}</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{DE594B06-BB02-42BA-9F97-005E7E3EE64D}</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{0CAF1F89-F709-41A5-9704-8F17C9DAD5AA}</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{B67A213F-5250-4399-9303-91D186CFB97C}</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{655E9364-A9B4-4B02-ADFC-DD088E2A01C1}</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{BF06EF52-C07B-4F18-9477-1B8A2E6ECD9D}</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{7730BAB1-B750-45AE-AF1E-3654EFC8614A}</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{AA66B517-F134-4882-A1FB-F337C9D4D363}</x14:id>
        </ext>
      </extLst>
    </cfRule>
  </conditionalFormatting>
  <conditionalFormatting sqref="E3:F32 E33:O36">
    <cfRule type="cellIs" dxfId="19" priority="1" operator="greaterThan">
      <formula>0</formula>
    </cfRule>
  </conditionalFormatting>
  <conditionalFormatting sqref="G9:O32">
    <cfRule type="cellIs" dxfId="18" priority="11" operator="greaterThan">
      <formula>0</formula>
    </cfRule>
  </conditionalFormatting>
  <conditionalFormatting sqref="G3:P8">
    <cfRule type="cellIs" dxfId="17" priority="2" operator="greaterThan">
      <formula>0</formula>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06473EB9-D957-49A0-AC53-D5BAD9BF0E6B}">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167F1416-6130-4F62-9C27-E5B79A671D59}">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CABCF65F-AAF0-4FB5-8756-4BAC7E4682FF}">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E55DD2E5-8235-4F7D-8F67-EEF17B358841}">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9A747816-5776-4E43-8901-276DF7B401A5}">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BC3E28E-9EE8-4CA4-8151-FECF3128309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96C72DCF-A77F-495E-BC25-7335FE479BDA}">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7C89A51E-BA82-49AC-924D-216B0F3D51C7}">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7239E2D1-F748-47AA-B2AE-E40F6B538B5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EC80231-31C5-4182-B10B-91212BC8C4E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09D7DCC-0616-486D-9AA9-C96AF3637B77}">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A89FBAD8-0126-4DA6-92A9-D571AF20B3D7}">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2A9D80F2-5FB3-4D6E-BDEC-A53028734CF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60B97D89-F025-4B43-8B9D-CCB0EE3F754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916FE267-0758-4299-9FB3-803DB54B1CD1}">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8D3BDDAD-2B40-4FC1-AA40-86EBF01B0EED}">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86B9E43A-54A6-4A13-9141-A6B5E77E66E4}">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E3B9ADC9-0C75-4E50-AC9E-A7C591D7B716}">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21BB1CAA-5D0E-45FA-A2EB-0201B4B71662}">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23B85BBA-9059-46AB-9CF1-87B1B8A0D72F}">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5CC9F368-6822-4DE3-A864-04E0E4C383A2}">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B83EC205-36F6-45D6-B31A-1AE90CC496E6}">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E96F0F90-5B7E-4E9D-B1AD-563D9CF2B54E}">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823CFC80-0A1D-46E0-8681-DFB338755C64}">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2F6526A4-F405-47F3-BE26-F1724AE484CB}">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DC2A7B36-7690-4119-B2A4-C827A4892AB0}">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69C5FCD1-7E61-43B3-9F4F-1E690D34F468}">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DE594B06-BB02-42BA-9F97-005E7E3EE64D}">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0CAF1F89-F709-41A5-9704-8F17C9DAD5AA}">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B67A213F-5250-4399-9303-91D186CFB97C}">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655E9364-A9B4-4B02-ADFC-DD088E2A01C1}">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BF06EF52-C07B-4F18-9477-1B8A2E6ECD9D}">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7730BAB1-B750-45AE-AF1E-3654EFC8614A}">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AA66B517-F134-4882-A1FB-F337C9D4D363}">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P38"/>
  <sheetViews>
    <sheetView topLeftCell="B1" zoomScale="80" zoomScaleNormal="80" workbookViewId="0">
      <selection activeCell="I4" sqref="I4"/>
    </sheetView>
  </sheetViews>
  <sheetFormatPr baseColWidth="10" defaultColWidth="11.42578125" defaultRowHeight="15" x14ac:dyDescent="0.25"/>
  <cols>
    <col min="1" max="1" width="7" style="2" customWidth="1"/>
    <col min="2" max="2" width="90.7109375" style="2" customWidth="1"/>
    <col min="3" max="3" width="11.42578125" style="2"/>
    <col min="4" max="4" width="22.42578125" style="2" customWidth="1"/>
    <col min="5" max="8" width="17.28515625" style="2" customWidth="1"/>
    <col min="9" max="16384" width="11.42578125" style="2"/>
  </cols>
  <sheetData>
    <row r="1" spans="1:16" ht="61.5" customHeight="1" x14ac:dyDescent="0.25">
      <c r="A1" s="62" t="s">
        <v>1</v>
      </c>
      <c r="B1" s="29" t="s">
        <v>41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thickBot="1" x14ac:dyDescent="0.3">
      <c r="A3" s="52" t="s">
        <v>18</v>
      </c>
      <c r="B3" s="14" t="s">
        <v>17</v>
      </c>
      <c r="C3" s="34">
        <v>2</v>
      </c>
      <c r="D3" s="35">
        <f t="shared" ref="D3:D8" si="0">SUM(E3:P3)</f>
        <v>1</v>
      </c>
      <c r="E3" s="36">
        <v>1</v>
      </c>
      <c r="F3" s="36"/>
      <c r="G3" s="36"/>
      <c r="H3" s="36"/>
      <c r="I3" s="36"/>
      <c r="J3" s="36"/>
      <c r="K3" s="36"/>
      <c r="L3" s="36"/>
      <c r="M3" s="36"/>
      <c r="N3" s="36"/>
      <c r="O3" s="36"/>
      <c r="P3" s="36"/>
    </row>
    <row r="4" spans="1:16" ht="81" customHeight="1" thickBot="1" x14ac:dyDescent="0.3">
      <c r="A4" s="55" t="s">
        <v>20</v>
      </c>
      <c r="B4" s="15" t="s">
        <v>19</v>
      </c>
      <c r="C4" s="39">
        <v>2</v>
      </c>
      <c r="D4" s="35">
        <f t="shared" si="0"/>
        <v>1</v>
      </c>
      <c r="E4" s="36">
        <v>0</v>
      </c>
      <c r="F4" s="36">
        <v>0</v>
      </c>
      <c r="G4" s="36">
        <v>0</v>
      </c>
      <c r="H4" s="36">
        <v>1</v>
      </c>
      <c r="I4" s="36"/>
      <c r="J4" s="36"/>
      <c r="K4" s="36"/>
      <c r="L4" s="36"/>
      <c r="M4" s="36"/>
      <c r="N4" s="36"/>
      <c r="O4" s="36"/>
      <c r="P4" s="36"/>
    </row>
    <row r="5" spans="1:16" ht="81" customHeight="1" thickBot="1" x14ac:dyDescent="0.3">
      <c r="A5" s="54" t="s">
        <v>23</v>
      </c>
      <c r="B5" s="16" t="s">
        <v>42</v>
      </c>
      <c r="C5" s="41">
        <v>1</v>
      </c>
      <c r="D5" s="35">
        <f t="shared" si="0"/>
        <v>1</v>
      </c>
      <c r="E5" s="36">
        <v>0</v>
      </c>
      <c r="F5" s="36">
        <v>0</v>
      </c>
      <c r="G5" s="36">
        <v>0</v>
      </c>
      <c r="H5" s="36">
        <v>1</v>
      </c>
      <c r="I5" s="36"/>
      <c r="J5" s="36"/>
      <c r="K5" s="36"/>
      <c r="L5" s="36"/>
      <c r="M5" s="36"/>
      <c r="N5" s="36"/>
      <c r="O5" s="36"/>
      <c r="P5" s="36"/>
    </row>
    <row r="6" spans="1:16" ht="81" customHeight="1" thickBot="1" x14ac:dyDescent="0.3">
      <c r="A6" s="52" t="s">
        <v>18</v>
      </c>
      <c r="B6" s="14" t="s">
        <v>43</v>
      </c>
      <c r="C6" s="44">
        <v>2</v>
      </c>
      <c r="D6" s="35">
        <f t="shared" si="0"/>
        <v>0</v>
      </c>
      <c r="E6" s="36"/>
      <c r="F6" s="36"/>
      <c r="G6" s="36"/>
      <c r="H6" s="36"/>
      <c r="I6" s="36"/>
      <c r="J6" s="36"/>
      <c r="K6" s="36"/>
      <c r="L6" s="36"/>
      <c r="M6" s="36"/>
      <c r="N6" s="36"/>
      <c r="O6" s="36"/>
      <c r="P6" s="36"/>
    </row>
    <row r="7" spans="1:16" ht="81" customHeight="1" thickBot="1" x14ac:dyDescent="0.3">
      <c r="A7" s="52" t="s">
        <v>18</v>
      </c>
      <c r="B7" s="14" t="s">
        <v>37</v>
      </c>
      <c r="C7" s="44">
        <v>2</v>
      </c>
      <c r="D7" s="35">
        <f t="shared" si="0"/>
        <v>1</v>
      </c>
      <c r="E7" s="36"/>
      <c r="F7" s="36"/>
      <c r="G7" s="36"/>
      <c r="H7" s="36">
        <v>1</v>
      </c>
      <c r="I7" s="36"/>
      <c r="J7" s="36"/>
      <c r="K7" s="36"/>
      <c r="L7" s="36"/>
      <c r="M7" s="36"/>
      <c r="N7" s="36"/>
      <c r="O7" s="36"/>
      <c r="P7" s="36"/>
    </row>
    <row r="8" spans="1:16" ht="81" customHeight="1" thickBot="1" x14ac:dyDescent="0.3">
      <c r="A8" s="52" t="s">
        <v>18</v>
      </c>
      <c r="B8" s="14" t="s">
        <v>38</v>
      </c>
      <c r="C8" s="44">
        <v>1</v>
      </c>
      <c r="D8" s="35">
        <f t="shared" si="0"/>
        <v>1</v>
      </c>
      <c r="E8" s="36"/>
      <c r="F8" s="36"/>
      <c r="G8" s="36"/>
      <c r="H8" s="36">
        <v>1</v>
      </c>
      <c r="I8" s="36"/>
      <c r="J8" s="36"/>
      <c r="K8" s="36"/>
      <c r="L8" s="36"/>
      <c r="M8" s="36"/>
      <c r="N8" s="36"/>
      <c r="O8" s="36"/>
      <c r="P8" s="36"/>
    </row>
    <row r="9" spans="1:16" ht="28.5" customHeight="1" x14ac:dyDescent="0.25">
      <c r="A9" s="64" t="s">
        <v>76</v>
      </c>
      <c r="B9" s="45" t="s">
        <v>77</v>
      </c>
      <c r="C9" s="44">
        <v>0</v>
      </c>
      <c r="D9" s="35">
        <f t="shared" ref="D9:D36" si="1">SUM(E9:O9)</f>
        <v>0</v>
      </c>
      <c r="E9" s="36"/>
      <c r="F9" s="36"/>
      <c r="G9" s="36"/>
      <c r="H9" s="36"/>
      <c r="I9" s="36"/>
      <c r="J9" s="36"/>
      <c r="K9" s="36"/>
      <c r="L9" s="36"/>
      <c r="M9" s="36"/>
      <c r="N9" s="36"/>
      <c r="O9" s="36"/>
      <c r="P9" s="46"/>
    </row>
    <row r="10" spans="1:16" ht="28.5" customHeight="1" x14ac:dyDescent="0.25">
      <c r="A10" s="65"/>
      <c r="B10" s="45" t="s">
        <v>78</v>
      </c>
      <c r="C10" s="44">
        <v>0</v>
      </c>
      <c r="D10" s="35">
        <f t="shared" si="1"/>
        <v>0</v>
      </c>
      <c r="E10" s="36"/>
      <c r="F10" s="36"/>
      <c r="G10" s="36"/>
      <c r="H10" s="36"/>
      <c r="I10" s="36"/>
      <c r="J10" s="36"/>
      <c r="K10" s="36"/>
      <c r="L10" s="36"/>
      <c r="M10" s="36"/>
      <c r="N10" s="36"/>
      <c r="O10" s="36"/>
      <c r="P10" s="46"/>
    </row>
    <row r="11" spans="1:16" ht="28.5" customHeight="1" x14ac:dyDescent="0.25">
      <c r="A11" s="65"/>
      <c r="B11" s="45" t="s">
        <v>79</v>
      </c>
      <c r="C11" s="44">
        <v>48</v>
      </c>
      <c r="D11" s="35">
        <f t="shared" si="1"/>
        <v>17</v>
      </c>
      <c r="E11" s="36">
        <v>3</v>
      </c>
      <c r="F11" s="36">
        <v>8</v>
      </c>
      <c r="G11" s="36"/>
      <c r="H11" s="36">
        <v>6</v>
      </c>
      <c r="I11" s="36"/>
      <c r="J11" s="36"/>
      <c r="K11" s="36"/>
      <c r="L11" s="36"/>
      <c r="M11" s="36"/>
      <c r="N11" s="36"/>
      <c r="O11" s="36"/>
      <c r="P11" s="46"/>
    </row>
    <row r="12" spans="1:16" ht="28.5" customHeight="1" x14ac:dyDescent="0.25">
      <c r="A12" s="65"/>
      <c r="B12" s="45" t="s">
        <v>80</v>
      </c>
      <c r="C12" s="44">
        <v>127</v>
      </c>
      <c r="D12" s="35">
        <f t="shared" si="1"/>
        <v>47</v>
      </c>
      <c r="E12" s="36"/>
      <c r="F12" s="36">
        <v>38</v>
      </c>
      <c r="G12" s="36"/>
      <c r="H12" s="36">
        <v>5</v>
      </c>
      <c r="I12" s="36">
        <v>4</v>
      </c>
      <c r="J12" s="36"/>
      <c r="K12" s="36"/>
      <c r="L12" s="36"/>
      <c r="M12" s="36"/>
      <c r="N12" s="36"/>
      <c r="O12" s="36"/>
      <c r="P12" s="46"/>
    </row>
    <row r="13" spans="1:16" ht="28.5" customHeight="1" x14ac:dyDescent="0.25">
      <c r="A13" s="65"/>
      <c r="B13" s="45" t="s">
        <v>81</v>
      </c>
      <c r="C13" s="44">
        <v>0</v>
      </c>
      <c r="D13" s="35">
        <f t="shared" si="1"/>
        <v>0</v>
      </c>
      <c r="E13" s="36"/>
      <c r="F13" s="36"/>
      <c r="G13" s="36"/>
      <c r="H13" s="36"/>
      <c r="I13" s="36"/>
      <c r="J13" s="36"/>
      <c r="K13" s="36"/>
      <c r="L13" s="36"/>
      <c r="M13" s="36"/>
      <c r="N13" s="36"/>
      <c r="O13" s="36"/>
      <c r="P13" s="46"/>
    </row>
    <row r="14" spans="1:16" ht="28.5" customHeight="1" x14ac:dyDescent="0.25">
      <c r="A14" s="65"/>
      <c r="B14" s="45" t="s">
        <v>82</v>
      </c>
      <c r="C14" s="44">
        <v>1</v>
      </c>
      <c r="D14" s="35">
        <f t="shared" si="1"/>
        <v>0</v>
      </c>
      <c r="E14" s="36"/>
      <c r="F14" s="36"/>
      <c r="G14" s="36"/>
      <c r="H14" s="36"/>
      <c r="I14" s="36"/>
      <c r="J14" s="36"/>
      <c r="K14" s="36"/>
      <c r="L14" s="36"/>
      <c r="M14" s="36"/>
      <c r="N14" s="36"/>
      <c r="O14" s="36"/>
      <c r="P14" s="46"/>
    </row>
    <row r="15" spans="1:16" ht="28.5" customHeight="1" x14ac:dyDescent="0.25">
      <c r="A15" s="65"/>
      <c r="B15" s="45" t="s">
        <v>83</v>
      </c>
      <c r="C15" s="44">
        <v>0</v>
      </c>
      <c r="D15" s="35">
        <f t="shared" si="1"/>
        <v>0</v>
      </c>
      <c r="E15" s="36"/>
      <c r="F15" s="36"/>
      <c r="G15" s="36"/>
      <c r="H15" s="36"/>
      <c r="I15" s="36"/>
      <c r="J15" s="36"/>
      <c r="K15" s="36"/>
      <c r="L15" s="36"/>
      <c r="M15" s="36"/>
      <c r="N15" s="36"/>
      <c r="O15" s="36"/>
      <c r="P15" s="46"/>
    </row>
    <row r="16" spans="1:16" ht="28.5" customHeight="1" x14ac:dyDescent="0.25">
      <c r="A16" s="65"/>
      <c r="B16" s="45" t="s">
        <v>84</v>
      </c>
      <c r="C16" s="44">
        <v>0</v>
      </c>
      <c r="D16" s="35">
        <f t="shared" si="1"/>
        <v>0</v>
      </c>
      <c r="E16" s="36"/>
      <c r="F16" s="36"/>
      <c r="G16" s="36"/>
      <c r="H16" s="36"/>
      <c r="I16" s="36"/>
      <c r="J16" s="36"/>
      <c r="K16" s="36"/>
      <c r="L16" s="36"/>
      <c r="M16" s="36"/>
      <c r="N16" s="36"/>
      <c r="O16" s="36"/>
      <c r="P16" s="46"/>
    </row>
    <row r="17" spans="1:16" ht="28.5" customHeight="1" x14ac:dyDescent="0.25">
      <c r="A17" s="65"/>
      <c r="B17" s="45" t="s">
        <v>85</v>
      </c>
      <c r="C17" s="44">
        <v>0</v>
      </c>
      <c r="D17" s="35">
        <f t="shared" si="1"/>
        <v>0</v>
      </c>
      <c r="E17" s="36"/>
      <c r="F17" s="36"/>
      <c r="G17" s="36"/>
      <c r="H17" s="36"/>
      <c r="I17" s="36"/>
      <c r="J17" s="36"/>
      <c r="K17" s="36"/>
      <c r="L17" s="36"/>
      <c r="M17" s="36"/>
      <c r="N17" s="36"/>
      <c r="O17" s="36"/>
      <c r="P17" s="46"/>
    </row>
    <row r="18" spans="1:16" ht="28.5" customHeight="1" x14ac:dyDescent="0.25">
      <c r="A18" s="65"/>
      <c r="B18" s="45" t="s">
        <v>86</v>
      </c>
      <c r="C18" s="44">
        <v>0</v>
      </c>
      <c r="D18" s="35">
        <f t="shared" si="1"/>
        <v>0</v>
      </c>
      <c r="E18" s="36"/>
      <c r="F18" s="36"/>
      <c r="G18" s="36"/>
      <c r="H18" s="36"/>
      <c r="I18" s="36"/>
      <c r="J18" s="36"/>
      <c r="K18" s="36"/>
      <c r="L18" s="36"/>
      <c r="M18" s="36"/>
      <c r="N18" s="36"/>
      <c r="O18" s="36"/>
      <c r="P18" s="46"/>
    </row>
    <row r="19" spans="1:16" ht="28.5" customHeight="1" x14ac:dyDescent="0.25">
      <c r="A19" s="65"/>
      <c r="B19" s="45" t="s">
        <v>87</v>
      </c>
      <c r="C19" s="44">
        <v>1</v>
      </c>
      <c r="D19" s="35">
        <f t="shared" si="1"/>
        <v>0</v>
      </c>
      <c r="E19" s="36"/>
      <c r="F19" s="36"/>
      <c r="G19" s="36"/>
      <c r="H19" s="36"/>
      <c r="I19" s="36"/>
      <c r="J19" s="36"/>
      <c r="K19" s="36"/>
      <c r="L19" s="36"/>
      <c r="M19" s="36"/>
      <c r="N19" s="36"/>
      <c r="O19" s="36"/>
      <c r="P19" s="46"/>
    </row>
    <row r="20" spans="1:16" ht="28.5" customHeight="1" x14ac:dyDescent="0.25">
      <c r="A20" s="65"/>
      <c r="B20" s="45" t="s">
        <v>88</v>
      </c>
      <c r="C20" s="44">
        <v>0</v>
      </c>
      <c r="D20" s="35">
        <f t="shared" si="1"/>
        <v>0</v>
      </c>
      <c r="E20" s="36"/>
      <c r="F20" s="36"/>
      <c r="G20" s="36"/>
      <c r="H20" s="36"/>
      <c r="I20" s="36"/>
      <c r="J20" s="36"/>
      <c r="K20" s="36"/>
      <c r="L20" s="36"/>
      <c r="M20" s="36"/>
      <c r="N20" s="36"/>
      <c r="O20" s="36"/>
      <c r="P20" s="46"/>
    </row>
    <row r="21" spans="1:16" ht="28.5" customHeight="1" x14ac:dyDescent="0.25">
      <c r="A21" s="65"/>
      <c r="B21" s="45" t="s">
        <v>89</v>
      </c>
      <c r="C21" s="44">
        <v>0</v>
      </c>
      <c r="D21" s="35">
        <f t="shared" si="1"/>
        <v>0</v>
      </c>
      <c r="E21" s="36"/>
      <c r="F21" s="36"/>
      <c r="G21" s="36"/>
      <c r="H21" s="36"/>
      <c r="I21" s="36"/>
      <c r="J21" s="36"/>
      <c r="K21" s="36"/>
      <c r="L21" s="36"/>
      <c r="M21" s="36"/>
      <c r="N21" s="36"/>
      <c r="O21" s="36"/>
      <c r="P21" s="46"/>
    </row>
    <row r="22" spans="1:16" ht="28.5" customHeight="1" x14ac:dyDescent="0.25">
      <c r="A22" s="65"/>
      <c r="B22" s="45" t="s">
        <v>90</v>
      </c>
      <c r="C22" s="44">
        <v>0</v>
      </c>
      <c r="D22" s="35">
        <f t="shared" si="1"/>
        <v>0</v>
      </c>
      <c r="E22" s="36"/>
      <c r="F22" s="36"/>
      <c r="G22" s="36"/>
      <c r="H22" s="36"/>
      <c r="I22" s="36"/>
      <c r="J22" s="36"/>
      <c r="K22" s="36"/>
      <c r="L22" s="36"/>
      <c r="M22" s="36"/>
      <c r="N22" s="36"/>
      <c r="O22" s="36"/>
      <c r="P22" s="46"/>
    </row>
    <row r="23" spans="1:16" ht="28.5" customHeight="1" x14ac:dyDescent="0.25">
      <c r="A23" s="65"/>
      <c r="B23" s="45" t="s">
        <v>91</v>
      </c>
      <c r="C23" s="44">
        <v>60</v>
      </c>
      <c r="D23" s="35">
        <f t="shared" si="1"/>
        <v>53</v>
      </c>
      <c r="E23" s="36"/>
      <c r="F23" s="36">
        <v>10</v>
      </c>
      <c r="G23" s="36">
        <v>7</v>
      </c>
      <c r="H23" s="36">
        <v>36</v>
      </c>
      <c r="I23" s="36"/>
      <c r="J23" s="36"/>
      <c r="K23" s="36"/>
      <c r="L23" s="36"/>
      <c r="M23" s="36"/>
      <c r="N23" s="36"/>
      <c r="O23" s="36"/>
      <c r="P23" s="46"/>
    </row>
    <row r="24" spans="1:16" ht="28.5" customHeight="1" x14ac:dyDescent="0.25">
      <c r="A24" s="65"/>
      <c r="B24" s="45" t="s">
        <v>92</v>
      </c>
      <c r="C24" s="44">
        <v>2</v>
      </c>
      <c r="D24" s="35">
        <f t="shared" si="1"/>
        <v>1</v>
      </c>
      <c r="E24" s="36">
        <v>1</v>
      </c>
      <c r="F24" s="36"/>
      <c r="G24" s="36"/>
      <c r="H24" s="36"/>
      <c r="I24" s="36"/>
      <c r="J24" s="36"/>
      <c r="K24" s="36"/>
      <c r="L24" s="36"/>
      <c r="M24" s="36"/>
      <c r="N24" s="36"/>
      <c r="O24" s="36"/>
      <c r="P24" s="46"/>
    </row>
    <row r="25" spans="1:16" ht="24" customHeight="1" x14ac:dyDescent="0.25">
      <c r="A25" s="65"/>
      <c r="B25" s="47" t="s">
        <v>93</v>
      </c>
      <c r="C25" s="44">
        <v>8</v>
      </c>
      <c r="D25" s="35">
        <f t="shared" si="1"/>
        <v>5</v>
      </c>
      <c r="E25" s="36"/>
      <c r="F25" s="36"/>
      <c r="G25" s="36">
        <v>5</v>
      </c>
      <c r="H25" s="36"/>
      <c r="I25" s="36"/>
      <c r="J25" s="36"/>
      <c r="K25" s="36"/>
      <c r="L25" s="36"/>
      <c r="M25" s="36"/>
      <c r="N25" s="36"/>
      <c r="O25" s="36"/>
      <c r="P25" s="46"/>
    </row>
    <row r="26" spans="1:16" ht="24" customHeight="1" x14ac:dyDescent="0.25">
      <c r="A26" s="65"/>
      <c r="B26" s="47" t="s">
        <v>94</v>
      </c>
      <c r="C26" s="44">
        <v>8</v>
      </c>
      <c r="D26" s="35">
        <f t="shared" si="1"/>
        <v>7</v>
      </c>
      <c r="E26" s="36"/>
      <c r="F26" s="36"/>
      <c r="G26" s="36">
        <v>1</v>
      </c>
      <c r="H26" s="36">
        <v>6</v>
      </c>
      <c r="I26" s="36"/>
      <c r="J26" s="36"/>
      <c r="K26" s="36"/>
      <c r="L26" s="36"/>
      <c r="M26" s="36"/>
      <c r="N26" s="36"/>
      <c r="O26" s="36"/>
      <c r="P26" s="46"/>
    </row>
    <row r="27" spans="1:16" ht="24" customHeight="1" x14ac:dyDescent="0.25">
      <c r="A27" s="65"/>
      <c r="B27" s="47" t="s">
        <v>95</v>
      </c>
      <c r="C27" s="44">
        <v>8</v>
      </c>
      <c r="D27" s="35">
        <f t="shared" si="1"/>
        <v>8</v>
      </c>
      <c r="E27" s="36"/>
      <c r="F27" s="36"/>
      <c r="G27" s="36"/>
      <c r="H27" s="36"/>
      <c r="I27" s="36">
        <v>8</v>
      </c>
      <c r="J27" s="36"/>
      <c r="K27" s="36"/>
      <c r="L27" s="36"/>
      <c r="M27" s="36"/>
      <c r="N27" s="36"/>
      <c r="O27" s="36"/>
      <c r="P27" s="46"/>
    </row>
    <row r="28" spans="1:16" ht="24" customHeight="1" x14ac:dyDescent="0.25">
      <c r="A28" s="65"/>
      <c r="B28" s="47" t="s">
        <v>96</v>
      </c>
      <c r="C28" s="44">
        <v>8</v>
      </c>
      <c r="D28" s="35">
        <f t="shared" si="1"/>
        <v>0</v>
      </c>
      <c r="E28" s="36"/>
      <c r="F28" s="36"/>
      <c r="G28" s="36"/>
      <c r="H28" s="36"/>
      <c r="I28" s="36"/>
      <c r="J28" s="36"/>
      <c r="K28" s="36"/>
      <c r="L28" s="36"/>
      <c r="M28" s="36"/>
      <c r="N28" s="36"/>
      <c r="O28" s="36"/>
      <c r="P28" s="46"/>
    </row>
    <row r="29" spans="1:16" ht="24" customHeight="1" x14ac:dyDescent="0.25">
      <c r="A29" s="65"/>
      <c r="B29" s="47" t="s">
        <v>97</v>
      </c>
      <c r="C29" s="44">
        <v>8</v>
      </c>
      <c r="D29" s="35">
        <f t="shared" si="1"/>
        <v>0</v>
      </c>
      <c r="E29" s="36"/>
      <c r="F29" s="36"/>
      <c r="G29" s="36"/>
      <c r="H29" s="36"/>
      <c r="I29" s="36"/>
      <c r="J29" s="36"/>
      <c r="K29" s="36"/>
      <c r="L29" s="36"/>
      <c r="M29" s="36"/>
      <c r="N29" s="36"/>
      <c r="O29" s="36"/>
      <c r="P29" s="46"/>
    </row>
    <row r="30" spans="1:16" ht="24" customHeight="1" x14ac:dyDescent="0.25">
      <c r="A30" s="65"/>
      <c r="B30" s="47" t="s">
        <v>98</v>
      </c>
      <c r="C30" s="44">
        <v>1</v>
      </c>
      <c r="D30" s="35">
        <f t="shared" si="1"/>
        <v>0</v>
      </c>
      <c r="E30" s="36"/>
      <c r="F30" s="36"/>
      <c r="G30" s="36"/>
      <c r="H30" s="36"/>
      <c r="I30" s="36"/>
      <c r="J30" s="36"/>
      <c r="K30" s="36"/>
      <c r="L30" s="36"/>
      <c r="M30" s="36"/>
      <c r="N30" s="36"/>
      <c r="O30" s="36"/>
      <c r="P30" s="46"/>
    </row>
    <row r="31" spans="1:16" ht="24" customHeight="1" x14ac:dyDescent="0.25">
      <c r="A31" s="65"/>
      <c r="B31" s="47" t="s">
        <v>99</v>
      </c>
      <c r="C31" s="44">
        <v>1</v>
      </c>
      <c r="D31" s="35">
        <f t="shared" si="1"/>
        <v>0</v>
      </c>
      <c r="E31" s="36"/>
      <c r="F31" s="36"/>
      <c r="G31" s="36"/>
      <c r="H31" s="36"/>
      <c r="I31" s="36"/>
      <c r="J31" s="36"/>
      <c r="K31" s="36"/>
      <c r="L31" s="36"/>
      <c r="M31" s="36"/>
      <c r="N31" s="36"/>
      <c r="O31" s="36"/>
      <c r="P31" s="46"/>
    </row>
    <row r="32" spans="1:16" ht="24" customHeight="1" x14ac:dyDescent="0.25">
      <c r="A32" s="65"/>
      <c r="B32" s="47" t="s">
        <v>100</v>
      </c>
      <c r="C32" s="44">
        <v>1</v>
      </c>
      <c r="D32" s="35">
        <f t="shared" si="1"/>
        <v>0</v>
      </c>
      <c r="E32" s="36"/>
      <c r="F32" s="36"/>
      <c r="G32" s="36"/>
      <c r="H32" s="36"/>
      <c r="I32" s="36"/>
      <c r="J32" s="36"/>
      <c r="K32" s="36"/>
      <c r="L32" s="36"/>
      <c r="M32" s="36"/>
      <c r="N32" s="36"/>
      <c r="O32" s="36"/>
      <c r="P32" s="46"/>
    </row>
    <row r="33" spans="1:16" ht="24" customHeight="1" x14ac:dyDescent="0.25">
      <c r="A33" s="65"/>
      <c r="B33" s="47" t="s">
        <v>101</v>
      </c>
      <c r="C33" s="44">
        <v>1</v>
      </c>
      <c r="D33" s="35">
        <f t="shared" si="1"/>
        <v>0</v>
      </c>
      <c r="E33" s="36"/>
      <c r="F33" s="36"/>
      <c r="G33" s="36"/>
      <c r="H33" s="36"/>
      <c r="I33" s="36"/>
      <c r="J33" s="36"/>
      <c r="K33" s="36"/>
      <c r="L33" s="36"/>
      <c r="M33" s="36"/>
      <c r="N33" s="36"/>
      <c r="O33" s="36"/>
      <c r="P33" s="46"/>
    </row>
    <row r="34" spans="1:16" ht="24" customHeight="1" x14ac:dyDescent="0.25">
      <c r="A34" s="65"/>
      <c r="B34" s="47" t="s">
        <v>102</v>
      </c>
      <c r="C34" s="44">
        <v>1</v>
      </c>
      <c r="D34" s="35">
        <f t="shared" si="1"/>
        <v>0</v>
      </c>
      <c r="E34" s="36"/>
      <c r="F34" s="36"/>
      <c r="G34" s="36"/>
      <c r="H34" s="36"/>
      <c r="I34" s="36"/>
      <c r="J34" s="36"/>
      <c r="K34" s="36"/>
      <c r="L34" s="36"/>
      <c r="M34" s="36"/>
      <c r="N34" s="36"/>
      <c r="O34" s="36"/>
      <c r="P34" s="46"/>
    </row>
    <row r="35" spans="1:16" ht="24" customHeight="1" x14ac:dyDescent="0.25">
      <c r="A35" s="65"/>
      <c r="B35" s="47" t="s">
        <v>103</v>
      </c>
      <c r="C35" s="44">
        <v>1</v>
      </c>
      <c r="D35" s="35">
        <f t="shared" si="1"/>
        <v>0</v>
      </c>
      <c r="E35" s="36"/>
      <c r="F35" s="36"/>
      <c r="G35" s="36"/>
      <c r="H35" s="36"/>
      <c r="I35" s="36"/>
      <c r="J35" s="36"/>
      <c r="K35" s="36"/>
      <c r="L35" s="36"/>
      <c r="M35" s="36"/>
      <c r="N35" s="36"/>
      <c r="O35" s="36"/>
      <c r="P35" s="46"/>
    </row>
    <row r="36" spans="1:16" ht="24" customHeight="1" thickBot="1" x14ac:dyDescent="0.3">
      <c r="A36" s="66"/>
      <c r="B36" s="48" t="s">
        <v>104</v>
      </c>
      <c r="C36" s="44">
        <v>1</v>
      </c>
      <c r="D36" s="35">
        <f t="shared" si="1"/>
        <v>0</v>
      </c>
      <c r="E36" s="36"/>
      <c r="F36" s="36"/>
      <c r="G36" s="36"/>
      <c r="H36" s="36"/>
      <c r="I36" s="36"/>
      <c r="J36" s="36"/>
      <c r="K36" s="36"/>
      <c r="L36" s="36"/>
      <c r="M36" s="36"/>
      <c r="N36" s="36"/>
      <c r="O36" s="36"/>
      <c r="P36" s="46"/>
    </row>
    <row r="37" spans="1:16" x14ac:dyDescent="0.25">
      <c r="C37" s="49">
        <f>SUM(C3:C36)</f>
        <v>296</v>
      </c>
      <c r="D37" s="50">
        <f>SUM(D3:D36)</f>
        <v>143</v>
      </c>
    </row>
    <row r="38" spans="1:16" x14ac:dyDescent="0.25">
      <c r="C38" s="10"/>
      <c r="D38" s="51">
        <f>D37/C37</f>
        <v>0.48310810810810811</v>
      </c>
    </row>
  </sheetData>
  <sheetProtection algorithmName="SHA-512" hashValue="8DY12B5QcL5GKm+ntrhTqSLO8rD4UeVcjibfi681otegmju6mw8hRjas0bbCPyYM4u7PtsV5lVkxdAkp3977Kw==" saltValue="WC4MvvKbtOJayaYPYi+v3Q==" spinCount="100000" sheet="1" objects="1" scenarios="1" autoFilter="0"/>
  <mergeCells count="2">
    <mergeCell ref="A1:A2"/>
    <mergeCell ref="A9:A36"/>
  </mergeCells>
  <conditionalFormatting sqref="C3:D3 D4:D8">
    <cfRule type="dataBar" priority="48">
      <dataBar>
        <cfvo type="min"/>
        <cfvo type="max"/>
        <color rgb="FF008AEF"/>
      </dataBar>
      <extLst>
        <ext xmlns:x14="http://schemas.microsoft.com/office/spreadsheetml/2009/9/main" uri="{B025F937-C7B1-47D3-B67F-A62EFF666E3E}">
          <x14:id>{A1B629AB-DC59-445A-84FB-A55B13BA63D3}</x14:id>
        </ext>
      </extLst>
    </cfRule>
  </conditionalFormatting>
  <conditionalFormatting sqref="C4:D4">
    <cfRule type="dataBar" priority="4">
      <dataBar>
        <cfvo type="min"/>
        <cfvo type="max"/>
        <color rgb="FF008AEF"/>
      </dataBar>
      <extLst>
        <ext xmlns:x14="http://schemas.microsoft.com/office/spreadsheetml/2009/9/main" uri="{B025F937-C7B1-47D3-B67F-A62EFF666E3E}">
          <x14:id>{99B1F3A3-C4F3-410C-87EE-81288C0D5A2E}</x14:id>
        </ext>
      </extLst>
    </cfRule>
  </conditionalFormatting>
  <conditionalFormatting sqref="C5:D5">
    <cfRule type="dataBar" priority="5">
      <dataBar>
        <cfvo type="min"/>
        <cfvo type="max"/>
        <color rgb="FF008AEF"/>
      </dataBar>
      <extLst>
        <ext xmlns:x14="http://schemas.microsoft.com/office/spreadsheetml/2009/9/main" uri="{B025F937-C7B1-47D3-B67F-A62EFF666E3E}">
          <x14:id>{F42E72CF-A1EA-41B9-8B8B-4A91BFF68A36}</x14:id>
        </ext>
      </extLst>
    </cfRule>
  </conditionalFormatting>
  <conditionalFormatting sqref="C6:D6">
    <cfRule type="dataBar" priority="6">
      <dataBar>
        <cfvo type="min"/>
        <cfvo type="max"/>
        <color rgb="FF008AEF"/>
      </dataBar>
      <extLst>
        <ext xmlns:x14="http://schemas.microsoft.com/office/spreadsheetml/2009/9/main" uri="{B025F937-C7B1-47D3-B67F-A62EFF666E3E}">
          <x14:id>{9D6B6AF7-0063-414B-B444-43B6BD6A2B85}</x14:id>
        </ext>
      </extLst>
    </cfRule>
  </conditionalFormatting>
  <conditionalFormatting sqref="C7:D7">
    <cfRule type="dataBar" priority="7">
      <dataBar>
        <cfvo type="min"/>
        <cfvo type="max"/>
        <color rgb="FF008AEF"/>
      </dataBar>
      <extLst>
        <ext xmlns:x14="http://schemas.microsoft.com/office/spreadsheetml/2009/9/main" uri="{B025F937-C7B1-47D3-B67F-A62EFF666E3E}">
          <x14:id>{7A9F89D1-DAA3-40FA-A09C-216424EA19F7}</x14:id>
        </ext>
      </extLst>
    </cfRule>
  </conditionalFormatting>
  <conditionalFormatting sqref="C8:D8">
    <cfRule type="dataBar" priority="8">
      <dataBar>
        <cfvo type="min"/>
        <cfvo type="max"/>
        <color rgb="FF008AEF"/>
      </dataBar>
      <extLst>
        <ext xmlns:x14="http://schemas.microsoft.com/office/spreadsheetml/2009/9/main" uri="{B025F937-C7B1-47D3-B67F-A62EFF666E3E}">
          <x14:id>{D299A512-8BED-4F49-BA17-60729B26B08B}</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{AF7A5B6B-687D-4DB8-9E41-69B3EC074993}</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{1E56A4F8-439E-4FF1-A33F-ECC787EC1D34}</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{2B9AC389-F1B3-4FE9-84E9-0555AA5E4987}</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{A96FE65F-62E9-4B15-B03A-81CC17696C07}</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{C5697BD1-EA3D-4B4A-8E27-B11B4C3FA6A4}</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{127758DF-468C-49A6-9B63-ECC3B91A0CAF}</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{F369DE11-11FF-4571-AA7D-46EDF9335E5E}</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{3D6FA6FD-3F1D-40C4-96DE-D81149668828}</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{FFF01E09-C60E-492D-A605-27EC726D2C7D}</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{B3B8311F-6748-4A37-A017-2D24FEE72122}</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{BBC99A6E-0236-4A50-9BF9-007CA33D6ED2}</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{BAB76B34-55F6-4E74-94DE-19832E5EB9BF}</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{E5C14787-180E-44BF-B7B9-6F6125108C42}</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{D2B154C2-C153-4C23-A8DA-29A232F18F8A}</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{C3325AB9-DDEC-4032-BDB8-81FD10248E8A}</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{85189B68-A673-4492-B035-2812CEB36A02}</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{DD03B535-8787-492D-BA3B-914458E12C95}</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{8B99B41E-1546-4893-A512-E18D739120CF}</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{5466E5BE-B660-4596-8BA1-12210B50A77A}</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{CBAD9274-A38A-40B8-A20B-FAEF653BA411}</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{7F79767D-B84D-4342-8021-8F5F74DE564F}</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{6E09119D-FB46-4167-911C-4574A34870D1}</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{932F4235-E15B-445A-82DB-FD65292F6E53}</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{42B66DB5-0039-443F-B59B-73918D09477A}</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{E8FEC332-CAAC-4040-8B4B-80F6417379E7}</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{00E2A4FB-B173-4CB4-9252-1CE99264999C}</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{3F00844E-CCF9-43A4-B3AB-573AB99C0519}</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{F5192BC6-1F6D-40AE-B323-BCB650A9DBEC}</x14:id>
        </ext>
      </extLst>
    </cfRule>
  </conditionalFormatting>
  <conditionalFormatting sqref="E3:F32 E33:O36">
    <cfRule type="cellIs" dxfId="16" priority="1" operator="greaterThan">
      <formula>0</formula>
    </cfRule>
  </conditionalFormatting>
  <conditionalFormatting sqref="G9:O32">
    <cfRule type="cellIs" dxfId="15" priority="11" operator="greaterThan">
      <formula>0</formula>
    </cfRule>
  </conditionalFormatting>
  <conditionalFormatting sqref="G3:P8">
    <cfRule type="cellIs" dxfId="14"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1B629AB-DC59-445A-84FB-A55B13BA63D3}">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99B1F3A3-C4F3-410C-87EE-81288C0D5A2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F42E72CF-A1EA-41B9-8B8B-4A91BFF68A36}">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9D6B6AF7-0063-414B-B444-43B6BD6A2B85}">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7A9F89D1-DAA3-40FA-A09C-216424EA19F7}">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299A512-8BED-4F49-BA17-60729B26B08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AF7A5B6B-687D-4DB8-9E41-69B3EC074993}">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E56A4F8-439E-4FF1-A33F-ECC787EC1D3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2B9AC389-F1B3-4FE9-84E9-0555AA5E498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A96FE65F-62E9-4B15-B03A-81CC17696C07}">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C5697BD1-EA3D-4B4A-8E27-B11B4C3FA6A4}">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127758DF-468C-49A6-9B63-ECC3B91A0CAF}">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F369DE11-11FF-4571-AA7D-46EDF9335E5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3D6FA6FD-3F1D-40C4-96DE-D81149668828}">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FFF01E09-C60E-492D-A605-27EC726D2C7D}">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B3B8311F-6748-4A37-A017-2D24FEE72122}">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BBC99A6E-0236-4A50-9BF9-007CA33D6ED2}">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BAB76B34-55F6-4E74-94DE-19832E5EB9BF}">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E5C14787-180E-44BF-B7B9-6F6125108C42}">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D2B154C2-C153-4C23-A8DA-29A232F18F8A}">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C3325AB9-DDEC-4032-BDB8-81FD10248E8A}">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85189B68-A673-4492-B035-2812CEB36A02}">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DD03B535-8787-492D-BA3B-914458E12C95}">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8B99B41E-1546-4893-A512-E18D739120CF}">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5466E5BE-B660-4596-8BA1-12210B50A77A}">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CBAD9274-A38A-40B8-A20B-FAEF653BA411}">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7F79767D-B84D-4342-8021-8F5F74DE564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6E09119D-FB46-4167-911C-4574A34870D1}">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932F4235-E15B-445A-82DB-FD65292F6E53}">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42B66DB5-0039-443F-B59B-73918D09477A}">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E8FEC332-CAAC-4040-8B4B-80F6417379E7}">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00E2A4FB-B173-4CB4-9252-1CE99264999C}">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3F00844E-CCF9-43A4-B3AB-573AB99C0519}">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F5192BC6-1F6D-40AE-B323-BCB650A9DBEC}">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AMI58"/>
  <sheetViews>
    <sheetView zoomScale="70" zoomScaleNormal="70" workbookViewId="0">
      <selection activeCell="H8" sqref="H8"/>
    </sheetView>
  </sheetViews>
  <sheetFormatPr baseColWidth="10" defaultColWidth="11.28515625" defaultRowHeight="15" x14ac:dyDescent="0.25"/>
  <cols>
    <col min="1" max="1" width="7.7109375" style="17" customWidth="1"/>
    <col min="2" max="2" width="89" style="17" customWidth="1"/>
    <col min="3" max="3" width="11.28515625" style="17"/>
    <col min="4" max="4" width="22.42578125" style="17" customWidth="1"/>
    <col min="5" max="8" width="17.140625" style="17" customWidth="1"/>
    <col min="9" max="1023" width="11.28515625" style="17"/>
    <col min="1024" max="16384" width="11.28515625" style="21"/>
  </cols>
  <sheetData>
    <row r="1" spans="1:16" s="2" customFormat="1" ht="61.5" customHeight="1" x14ac:dyDescent="0.25">
      <c r="A1" s="62" t="s">
        <v>1</v>
      </c>
      <c r="B1" s="29" t="s">
        <v>44</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s="2" customFormat="1" ht="81" customHeight="1" x14ac:dyDescent="0.25">
      <c r="A3" s="56" t="s">
        <v>18</v>
      </c>
      <c r="B3" s="18" t="s">
        <v>17</v>
      </c>
      <c r="C3" s="34">
        <v>2</v>
      </c>
      <c r="D3" s="35">
        <f t="shared" ref="D3:D8" si="0">SUM(E3:P3)</f>
        <v>0</v>
      </c>
      <c r="E3" s="36"/>
      <c r="F3" s="36"/>
      <c r="G3" s="36"/>
      <c r="H3" s="36"/>
      <c r="I3" s="36"/>
      <c r="J3" s="36"/>
      <c r="K3" s="36"/>
      <c r="L3" s="36"/>
      <c r="M3" s="36"/>
      <c r="N3" s="36"/>
      <c r="O3" s="36"/>
      <c r="P3" s="36"/>
    </row>
    <row r="4" spans="1:16" s="2" customFormat="1" ht="81" customHeight="1" x14ac:dyDescent="0.25">
      <c r="A4" s="57" t="s">
        <v>20</v>
      </c>
      <c r="B4" s="19" t="s">
        <v>19</v>
      </c>
      <c r="C4" s="39">
        <v>2</v>
      </c>
      <c r="D4" s="35">
        <f t="shared" si="0"/>
        <v>0</v>
      </c>
      <c r="E4" s="36">
        <v>0</v>
      </c>
      <c r="F4" s="36">
        <v>0</v>
      </c>
      <c r="G4" s="36">
        <v>0</v>
      </c>
      <c r="H4" s="36">
        <v>0</v>
      </c>
      <c r="I4" s="36"/>
      <c r="J4" s="36"/>
      <c r="K4" s="36"/>
      <c r="L4" s="36"/>
      <c r="M4" s="36"/>
      <c r="N4" s="36"/>
      <c r="O4" s="36"/>
      <c r="P4" s="36"/>
    </row>
    <row r="5" spans="1:16" s="2" customFormat="1" ht="81" customHeight="1" x14ac:dyDescent="0.25">
      <c r="A5" s="58" t="s">
        <v>23</v>
      </c>
      <c r="B5" s="20" t="s">
        <v>42</v>
      </c>
      <c r="C5" s="41">
        <v>1</v>
      </c>
      <c r="D5" s="35">
        <f t="shared" si="0"/>
        <v>1</v>
      </c>
      <c r="E5" s="36">
        <v>0</v>
      </c>
      <c r="F5" s="36">
        <v>0</v>
      </c>
      <c r="G5" s="36">
        <v>0</v>
      </c>
      <c r="H5" s="36">
        <v>0</v>
      </c>
      <c r="I5" s="36"/>
      <c r="J5" s="36">
        <v>1</v>
      </c>
      <c r="K5" s="36"/>
      <c r="L5" s="36"/>
      <c r="M5" s="36"/>
      <c r="N5" s="36"/>
      <c r="O5" s="36"/>
      <c r="P5" s="36"/>
    </row>
    <row r="6" spans="1:16" s="2" customFormat="1" ht="81" customHeight="1" x14ac:dyDescent="0.25">
      <c r="A6" s="56" t="s">
        <v>18</v>
      </c>
      <c r="B6" s="18" t="s">
        <v>36</v>
      </c>
      <c r="C6" s="44">
        <v>2</v>
      </c>
      <c r="D6" s="35">
        <f t="shared" si="0"/>
        <v>0</v>
      </c>
      <c r="E6" s="36"/>
      <c r="F6" s="36"/>
      <c r="G6" s="36"/>
      <c r="H6" s="36"/>
      <c r="I6" s="36"/>
      <c r="J6" s="36"/>
      <c r="K6" s="36"/>
      <c r="L6" s="36"/>
      <c r="M6" s="36"/>
      <c r="N6" s="36"/>
      <c r="O6" s="36"/>
      <c r="P6" s="36"/>
    </row>
    <row r="7" spans="1:16" s="2" customFormat="1" ht="81" customHeight="1" x14ac:dyDescent="0.25">
      <c r="A7" s="56" t="s">
        <v>18</v>
      </c>
      <c r="B7" s="18" t="s">
        <v>37</v>
      </c>
      <c r="C7" s="44">
        <v>2</v>
      </c>
      <c r="D7" s="35">
        <f t="shared" si="0"/>
        <v>0</v>
      </c>
      <c r="E7" s="36"/>
      <c r="F7" s="36"/>
      <c r="G7" s="36"/>
      <c r="H7" s="36"/>
      <c r="I7" s="36"/>
      <c r="J7" s="36"/>
      <c r="K7" s="36"/>
      <c r="L7" s="36"/>
      <c r="M7" s="36"/>
      <c r="N7" s="36"/>
      <c r="O7" s="36"/>
      <c r="P7" s="36"/>
    </row>
    <row r="8" spans="1:16" s="2" customFormat="1" ht="81" customHeight="1" x14ac:dyDescent="0.25">
      <c r="A8" s="56" t="s">
        <v>18</v>
      </c>
      <c r="B8" s="18" t="s">
        <v>38</v>
      </c>
      <c r="C8" s="44">
        <v>1</v>
      </c>
      <c r="D8" s="35">
        <f t="shared" si="0"/>
        <v>0</v>
      </c>
      <c r="E8" s="36"/>
      <c r="F8" s="36"/>
      <c r="G8" s="36"/>
      <c r="H8" s="36"/>
      <c r="I8" s="36"/>
      <c r="J8" s="36"/>
      <c r="K8" s="36"/>
      <c r="L8" s="36"/>
      <c r="M8" s="36"/>
      <c r="N8" s="36"/>
      <c r="O8" s="36"/>
      <c r="P8" s="36"/>
    </row>
    <row r="9" spans="1:16" s="2" customFormat="1" ht="28.5" customHeight="1" x14ac:dyDescent="0.25">
      <c r="A9" s="64" t="s">
        <v>76</v>
      </c>
      <c r="B9" s="45" t="s">
        <v>77</v>
      </c>
      <c r="C9" s="44">
        <v>3</v>
      </c>
      <c r="D9" s="35">
        <f t="shared" ref="D9:D36" si="1">SUM(E9:O9)</f>
        <v>0</v>
      </c>
      <c r="E9" s="36"/>
      <c r="F9" s="36"/>
      <c r="G9" s="36"/>
      <c r="H9" s="36"/>
      <c r="I9" s="36"/>
      <c r="J9" s="36"/>
      <c r="K9" s="36"/>
      <c r="L9" s="36"/>
      <c r="M9" s="36"/>
      <c r="N9" s="36"/>
      <c r="O9" s="36"/>
      <c r="P9" s="46"/>
    </row>
    <row r="10" spans="1:16" s="2" customFormat="1" ht="28.5" customHeight="1" x14ac:dyDescent="0.25">
      <c r="A10" s="65"/>
      <c r="B10" s="45" t="s">
        <v>78</v>
      </c>
      <c r="C10" s="44">
        <v>3</v>
      </c>
      <c r="D10" s="35">
        <f t="shared" si="1"/>
        <v>0</v>
      </c>
      <c r="E10" s="36"/>
      <c r="F10" s="36"/>
      <c r="G10" s="36"/>
      <c r="H10" s="36"/>
      <c r="I10" s="36"/>
      <c r="J10" s="36"/>
      <c r="K10" s="36"/>
      <c r="L10" s="36"/>
      <c r="M10" s="36"/>
      <c r="N10" s="36"/>
      <c r="O10" s="36"/>
      <c r="P10" s="46"/>
    </row>
    <row r="11" spans="1:16" s="2" customFormat="1" ht="28.5" customHeight="1" x14ac:dyDescent="0.25">
      <c r="A11" s="65"/>
      <c r="B11" s="45" t="s">
        <v>79</v>
      </c>
      <c r="C11" s="44">
        <v>92</v>
      </c>
      <c r="D11" s="35">
        <f t="shared" si="1"/>
        <v>26</v>
      </c>
      <c r="E11" s="36">
        <v>3</v>
      </c>
      <c r="F11" s="36">
        <v>4</v>
      </c>
      <c r="G11" s="36">
        <v>5</v>
      </c>
      <c r="H11" s="36">
        <v>6</v>
      </c>
      <c r="I11" s="36">
        <v>8</v>
      </c>
      <c r="J11" s="36"/>
      <c r="K11" s="36"/>
      <c r="L11" s="36"/>
      <c r="M11" s="36"/>
      <c r="N11" s="36"/>
      <c r="O11" s="36"/>
      <c r="P11" s="46"/>
    </row>
    <row r="12" spans="1:16" s="2" customFormat="1" ht="28.5" customHeight="1" x14ac:dyDescent="0.25">
      <c r="A12" s="65"/>
      <c r="B12" s="45" t="s">
        <v>80</v>
      </c>
      <c r="C12" s="44">
        <v>83</v>
      </c>
      <c r="D12" s="35">
        <f t="shared" si="1"/>
        <v>43</v>
      </c>
      <c r="E12" s="36"/>
      <c r="F12" s="36"/>
      <c r="G12" s="36">
        <v>22</v>
      </c>
      <c r="H12" s="36">
        <v>21</v>
      </c>
      <c r="I12" s="36"/>
      <c r="J12" s="36"/>
      <c r="K12" s="36"/>
      <c r="L12" s="36"/>
      <c r="M12" s="36"/>
      <c r="N12" s="36"/>
      <c r="O12" s="36"/>
      <c r="P12" s="46"/>
    </row>
    <row r="13" spans="1:16" s="2" customFormat="1" ht="28.5" customHeight="1" x14ac:dyDescent="0.25">
      <c r="A13" s="65"/>
      <c r="B13" s="45" t="s">
        <v>81</v>
      </c>
      <c r="C13" s="44">
        <v>0</v>
      </c>
      <c r="D13" s="35">
        <f t="shared" si="1"/>
        <v>0</v>
      </c>
      <c r="E13" s="36"/>
      <c r="F13" s="36"/>
      <c r="G13" s="36"/>
      <c r="H13" s="36"/>
      <c r="I13" s="36"/>
      <c r="J13" s="36"/>
      <c r="K13" s="36"/>
      <c r="L13" s="36"/>
      <c r="M13" s="36"/>
      <c r="N13" s="36"/>
      <c r="O13" s="36"/>
      <c r="P13" s="46"/>
    </row>
    <row r="14" spans="1:16" s="2" customFormat="1" ht="28.5" customHeight="1" x14ac:dyDescent="0.25">
      <c r="A14" s="65"/>
      <c r="B14" s="45" t="s">
        <v>82</v>
      </c>
      <c r="C14" s="44">
        <v>6</v>
      </c>
      <c r="D14" s="35">
        <f t="shared" si="1"/>
        <v>1</v>
      </c>
      <c r="E14" s="36"/>
      <c r="F14" s="36"/>
      <c r="G14" s="36">
        <v>1</v>
      </c>
      <c r="H14" s="36"/>
      <c r="I14" s="36"/>
      <c r="J14" s="36"/>
      <c r="K14" s="36"/>
      <c r="L14" s="36"/>
      <c r="M14" s="36"/>
      <c r="N14" s="36"/>
      <c r="O14" s="36"/>
      <c r="P14" s="46"/>
    </row>
    <row r="15" spans="1:16" s="2" customFormat="1" ht="28.5" customHeight="1" x14ac:dyDescent="0.25">
      <c r="A15" s="65"/>
      <c r="B15" s="45" t="s">
        <v>83</v>
      </c>
      <c r="C15" s="44">
        <v>0</v>
      </c>
      <c r="D15" s="35">
        <f t="shared" si="1"/>
        <v>0</v>
      </c>
      <c r="E15" s="36"/>
      <c r="F15" s="36"/>
      <c r="G15" s="36"/>
      <c r="H15" s="36"/>
      <c r="I15" s="36"/>
      <c r="J15" s="36"/>
      <c r="K15" s="36"/>
      <c r="L15" s="36"/>
      <c r="M15" s="36"/>
      <c r="N15" s="36"/>
      <c r="O15" s="36"/>
      <c r="P15" s="46"/>
    </row>
    <row r="16" spans="1:16" s="2" customFormat="1" ht="28.5" customHeight="1" x14ac:dyDescent="0.25">
      <c r="A16" s="65"/>
      <c r="B16" s="45" t="s">
        <v>84</v>
      </c>
      <c r="C16" s="44">
        <v>0</v>
      </c>
      <c r="D16" s="35">
        <f t="shared" si="1"/>
        <v>0</v>
      </c>
      <c r="E16" s="36"/>
      <c r="F16" s="36"/>
      <c r="G16" s="36"/>
      <c r="H16" s="36"/>
      <c r="I16" s="36"/>
      <c r="J16" s="36"/>
      <c r="K16" s="36"/>
      <c r="L16" s="36"/>
      <c r="M16" s="36"/>
      <c r="N16" s="36"/>
      <c r="O16" s="36"/>
      <c r="P16" s="46"/>
    </row>
    <row r="17" spans="1:16" s="2" customFormat="1" ht="28.5" customHeight="1" x14ac:dyDescent="0.25">
      <c r="A17" s="65"/>
      <c r="B17" s="45" t="s">
        <v>85</v>
      </c>
      <c r="C17" s="44">
        <v>0</v>
      </c>
      <c r="D17" s="35">
        <f t="shared" si="1"/>
        <v>0</v>
      </c>
      <c r="E17" s="36"/>
      <c r="F17" s="36"/>
      <c r="G17" s="36"/>
      <c r="H17" s="36"/>
      <c r="I17" s="36"/>
      <c r="J17" s="36"/>
      <c r="K17" s="36"/>
      <c r="L17" s="36"/>
      <c r="M17" s="36"/>
      <c r="N17" s="36"/>
      <c r="O17" s="36"/>
      <c r="P17" s="46"/>
    </row>
    <row r="18" spans="1:16" s="2" customFormat="1" ht="28.5" customHeight="1" x14ac:dyDescent="0.25">
      <c r="A18" s="65"/>
      <c r="B18" s="45" t="s">
        <v>86</v>
      </c>
      <c r="C18" s="44">
        <v>0</v>
      </c>
      <c r="D18" s="35">
        <f t="shared" si="1"/>
        <v>0</v>
      </c>
      <c r="E18" s="36"/>
      <c r="F18" s="36"/>
      <c r="G18" s="36"/>
      <c r="H18" s="36"/>
      <c r="I18" s="36"/>
      <c r="J18" s="36"/>
      <c r="K18" s="36"/>
      <c r="L18" s="36"/>
      <c r="M18" s="36"/>
      <c r="N18" s="36"/>
      <c r="O18" s="36"/>
      <c r="P18" s="46"/>
    </row>
    <row r="19" spans="1:16" s="2" customFormat="1" ht="28.5" customHeight="1" x14ac:dyDescent="0.25">
      <c r="A19" s="65"/>
      <c r="B19" s="45" t="s">
        <v>87</v>
      </c>
      <c r="C19" s="44">
        <v>0</v>
      </c>
      <c r="D19" s="35">
        <f t="shared" si="1"/>
        <v>0</v>
      </c>
      <c r="E19" s="36"/>
      <c r="F19" s="36"/>
      <c r="G19" s="36"/>
      <c r="H19" s="36"/>
      <c r="I19" s="36"/>
      <c r="J19" s="36"/>
      <c r="K19" s="36"/>
      <c r="L19" s="36"/>
      <c r="M19" s="36"/>
      <c r="N19" s="36"/>
      <c r="O19" s="36"/>
      <c r="P19" s="46"/>
    </row>
    <row r="20" spans="1:16" s="2" customFormat="1" ht="28.5" customHeight="1" x14ac:dyDescent="0.25">
      <c r="A20" s="65"/>
      <c r="B20" s="45" t="s">
        <v>88</v>
      </c>
      <c r="C20" s="44">
        <v>0</v>
      </c>
      <c r="D20" s="35">
        <f t="shared" si="1"/>
        <v>0</v>
      </c>
      <c r="E20" s="36"/>
      <c r="F20" s="36"/>
      <c r="G20" s="36"/>
      <c r="H20" s="36"/>
      <c r="I20" s="36"/>
      <c r="J20" s="36"/>
      <c r="K20" s="36"/>
      <c r="L20" s="36"/>
      <c r="M20" s="36"/>
      <c r="N20" s="36"/>
      <c r="O20" s="36"/>
      <c r="P20" s="46"/>
    </row>
    <row r="21" spans="1:16" s="2" customFormat="1" ht="28.5" customHeight="1" x14ac:dyDescent="0.25">
      <c r="A21" s="65"/>
      <c r="B21" s="45" t="s">
        <v>89</v>
      </c>
      <c r="C21" s="44">
        <v>0</v>
      </c>
      <c r="D21" s="35">
        <f t="shared" si="1"/>
        <v>0</v>
      </c>
      <c r="E21" s="36"/>
      <c r="F21" s="36"/>
      <c r="G21" s="36"/>
      <c r="H21" s="36"/>
      <c r="I21" s="36"/>
      <c r="J21" s="36"/>
      <c r="K21" s="36"/>
      <c r="L21" s="36"/>
      <c r="M21" s="36"/>
      <c r="N21" s="36"/>
      <c r="O21" s="36"/>
      <c r="P21" s="46"/>
    </row>
    <row r="22" spans="1:16" s="2" customFormat="1" ht="28.5" customHeight="1" x14ac:dyDescent="0.25">
      <c r="A22" s="65"/>
      <c r="B22" s="45" t="s">
        <v>90</v>
      </c>
      <c r="C22" s="44">
        <v>0</v>
      </c>
      <c r="D22" s="35">
        <f t="shared" si="1"/>
        <v>0</v>
      </c>
      <c r="E22" s="36"/>
      <c r="F22" s="36"/>
      <c r="G22" s="36"/>
      <c r="H22" s="36"/>
      <c r="I22" s="36"/>
      <c r="J22" s="36"/>
      <c r="K22" s="36"/>
      <c r="L22" s="36"/>
      <c r="M22" s="36"/>
      <c r="N22" s="36"/>
      <c r="O22" s="36"/>
      <c r="P22" s="46"/>
    </row>
    <row r="23" spans="1:16" s="2" customFormat="1" ht="28.5" customHeight="1" x14ac:dyDescent="0.25">
      <c r="A23" s="65"/>
      <c r="B23" s="45" t="s">
        <v>91</v>
      </c>
      <c r="C23" s="44">
        <v>85</v>
      </c>
      <c r="D23" s="35">
        <f t="shared" si="1"/>
        <v>51</v>
      </c>
      <c r="E23" s="36">
        <v>21</v>
      </c>
      <c r="F23" s="36">
        <v>7</v>
      </c>
      <c r="G23" s="36"/>
      <c r="H23" s="36"/>
      <c r="I23" s="36">
        <v>23</v>
      </c>
      <c r="J23" s="36"/>
      <c r="K23" s="36"/>
      <c r="L23" s="36"/>
      <c r="M23" s="36"/>
      <c r="N23" s="36"/>
      <c r="O23" s="36"/>
      <c r="P23" s="46"/>
    </row>
    <row r="24" spans="1:16" s="2" customFormat="1" ht="28.5" customHeight="1" x14ac:dyDescent="0.25">
      <c r="A24" s="65"/>
      <c r="B24" s="45" t="s">
        <v>92</v>
      </c>
      <c r="C24" s="44">
        <v>2</v>
      </c>
      <c r="D24" s="35">
        <f t="shared" si="1"/>
        <v>0</v>
      </c>
      <c r="E24" s="36"/>
      <c r="F24" s="36"/>
      <c r="G24" s="36"/>
      <c r="H24" s="36"/>
      <c r="I24" s="36"/>
      <c r="J24" s="36"/>
      <c r="K24" s="36"/>
      <c r="L24" s="36"/>
      <c r="M24" s="36"/>
      <c r="N24" s="36"/>
      <c r="O24" s="36"/>
      <c r="P24" s="46"/>
    </row>
    <row r="25" spans="1:16" s="2" customFormat="1" ht="24" customHeight="1" x14ac:dyDescent="0.25">
      <c r="A25" s="65"/>
      <c r="B25" s="47" t="s">
        <v>93</v>
      </c>
      <c r="C25" s="44">
        <v>7</v>
      </c>
      <c r="D25" s="35">
        <f t="shared" si="1"/>
        <v>7</v>
      </c>
      <c r="E25" s="36">
        <v>4</v>
      </c>
      <c r="F25" s="36"/>
      <c r="G25" s="36">
        <v>3</v>
      </c>
      <c r="H25" s="36"/>
      <c r="I25" s="36"/>
      <c r="J25" s="36"/>
      <c r="K25" s="36"/>
      <c r="L25" s="36"/>
      <c r="M25" s="36"/>
      <c r="N25" s="36"/>
      <c r="O25" s="36"/>
      <c r="P25" s="46"/>
    </row>
    <row r="26" spans="1:16" s="2" customFormat="1" ht="24" customHeight="1" x14ac:dyDescent="0.25">
      <c r="A26" s="65"/>
      <c r="B26" s="47" t="s">
        <v>94</v>
      </c>
      <c r="C26" s="44">
        <v>7</v>
      </c>
      <c r="D26" s="35">
        <f t="shared" si="1"/>
        <v>7</v>
      </c>
      <c r="E26" s="36"/>
      <c r="F26" s="36"/>
      <c r="G26" s="36"/>
      <c r="H26" s="36">
        <v>7</v>
      </c>
      <c r="I26" s="36"/>
      <c r="J26" s="36"/>
      <c r="K26" s="36"/>
      <c r="L26" s="36"/>
      <c r="M26" s="36"/>
      <c r="N26" s="36"/>
      <c r="O26" s="36"/>
      <c r="P26" s="46"/>
    </row>
    <row r="27" spans="1:16" s="2" customFormat="1" ht="24" customHeight="1" x14ac:dyDescent="0.25">
      <c r="A27" s="65"/>
      <c r="B27" s="47" t="s">
        <v>95</v>
      </c>
      <c r="C27" s="44">
        <v>7</v>
      </c>
      <c r="D27" s="35">
        <f t="shared" si="1"/>
        <v>7</v>
      </c>
      <c r="E27" s="36"/>
      <c r="F27" s="36"/>
      <c r="G27" s="36"/>
      <c r="H27" s="36"/>
      <c r="I27" s="36">
        <v>7</v>
      </c>
      <c r="J27" s="36"/>
      <c r="K27" s="36"/>
      <c r="L27" s="36"/>
      <c r="M27" s="36"/>
      <c r="N27" s="36"/>
      <c r="O27" s="36"/>
      <c r="P27" s="46"/>
    </row>
    <row r="28" spans="1:16" s="2" customFormat="1" ht="24" customHeight="1" x14ac:dyDescent="0.25">
      <c r="A28" s="65"/>
      <c r="B28" s="47" t="s">
        <v>96</v>
      </c>
      <c r="C28" s="44">
        <v>7</v>
      </c>
      <c r="D28" s="35">
        <f t="shared" si="1"/>
        <v>0</v>
      </c>
      <c r="E28" s="36"/>
      <c r="F28" s="36"/>
      <c r="G28" s="36"/>
      <c r="H28" s="36"/>
      <c r="I28" s="36"/>
      <c r="J28" s="36"/>
      <c r="K28" s="36"/>
      <c r="L28" s="36"/>
      <c r="M28" s="36"/>
      <c r="N28" s="36"/>
      <c r="O28" s="36"/>
      <c r="P28" s="46"/>
    </row>
    <row r="29" spans="1:16" s="2" customFormat="1" ht="24" customHeight="1" x14ac:dyDescent="0.25">
      <c r="A29" s="65"/>
      <c r="B29" s="47" t="s">
        <v>97</v>
      </c>
      <c r="C29" s="44">
        <v>7</v>
      </c>
      <c r="D29" s="35">
        <f t="shared" si="1"/>
        <v>0</v>
      </c>
      <c r="E29" s="36"/>
      <c r="F29" s="36"/>
      <c r="G29" s="36"/>
      <c r="H29" s="36"/>
      <c r="I29" s="36"/>
      <c r="J29" s="36"/>
      <c r="K29" s="36"/>
      <c r="L29" s="36"/>
      <c r="M29" s="36"/>
      <c r="N29" s="36"/>
      <c r="O29" s="36"/>
      <c r="P29" s="46"/>
    </row>
    <row r="30" spans="1:16" s="2" customFormat="1" ht="24" customHeight="1" x14ac:dyDescent="0.25">
      <c r="A30" s="65"/>
      <c r="B30" s="47" t="s">
        <v>98</v>
      </c>
      <c r="C30" s="44">
        <v>1</v>
      </c>
      <c r="D30" s="35">
        <f t="shared" si="1"/>
        <v>0</v>
      </c>
      <c r="E30" s="36"/>
      <c r="F30" s="36"/>
      <c r="G30" s="36"/>
      <c r="H30" s="36"/>
      <c r="I30" s="36"/>
      <c r="J30" s="36"/>
      <c r="K30" s="36"/>
      <c r="L30" s="36"/>
      <c r="M30" s="36"/>
      <c r="N30" s="36"/>
      <c r="O30" s="36"/>
      <c r="P30" s="46"/>
    </row>
    <row r="31" spans="1:16" s="2" customFormat="1" ht="24" customHeight="1" x14ac:dyDescent="0.25">
      <c r="A31" s="65"/>
      <c r="B31" s="47" t="s">
        <v>99</v>
      </c>
      <c r="C31" s="44">
        <v>1</v>
      </c>
      <c r="D31" s="35">
        <f t="shared" si="1"/>
        <v>0</v>
      </c>
      <c r="E31" s="36"/>
      <c r="F31" s="36"/>
      <c r="G31" s="36"/>
      <c r="H31" s="36"/>
      <c r="I31" s="36"/>
      <c r="J31" s="36"/>
      <c r="K31" s="36"/>
      <c r="L31" s="36"/>
      <c r="M31" s="36"/>
      <c r="N31" s="36"/>
      <c r="O31" s="36"/>
      <c r="P31" s="46"/>
    </row>
    <row r="32" spans="1:16" s="2" customFormat="1" ht="24" customHeight="1" x14ac:dyDescent="0.25">
      <c r="A32" s="65"/>
      <c r="B32" s="47" t="s">
        <v>100</v>
      </c>
      <c r="C32" s="44">
        <v>1</v>
      </c>
      <c r="D32" s="35">
        <f t="shared" si="1"/>
        <v>0</v>
      </c>
      <c r="E32" s="36"/>
      <c r="F32" s="36"/>
      <c r="G32" s="36"/>
      <c r="H32" s="36"/>
      <c r="I32" s="36"/>
      <c r="J32" s="36"/>
      <c r="K32" s="36"/>
      <c r="L32" s="36"/>
      <c r="M32" s="36"/>
      <c r="N32" s="36"/>
      <c r="O32" s="36"/>
      <c r="P32" s="46"/>
    </row>
    <row r="33" spans="1:16" s="2" customFormat="1" ht="24" customHeight="1" x14ac:dyDescent="0.25">
      <c r="A33" s="65"/>
      <c r="B33" s="47" t="s">
        <v>101</v>
      </c>
      <c r="C33" s="44">
        <v>1</v>
      </c>
      <c r="D33" s="35">
        <f t="shared" si="1"/>
        <v>0</v>
      </c>
      <c r="E33" s="36"/>
      <c r="F33" s="36"/>
      <c r="G33" s="36"/>
      <c r="H33" s="36"/>
      <c r="I33" s="36"/>
      <c r="J33" s="36"/>
      <c r="K33" s="36"/>
      <c r="L33" s="36"/>
      <c r="M33" s="36"/>
      <c r="N33" s="36"/>
      <c r="O33" s="36"/>
      <c r="P33" s="46"/>
    </row>
    <row r="34" spans="1:16" s="2" customFormat="1" ht="24" customHeight="1" x14ac:dyDescent="0.25">
      <c r="A34" s="65"/>
      <c r="B34" s="47" t="s">
        <v>102</v>
      </c>
      <c r="C34" s="44">
        <v>1</v>
      </c>
      <c r="D34" s="35">
        <f t="shared" si="1"/>
        <v>0</v>
      </c>
      <c r="E34" s="36"/>
      <c r="F34" s="36"/>
      <c r="G34" s="36"/>
      <c r="H34" s="36"/>
      <c r="I34" s="36"/>
      <c r="J34" s="36"/>
      <c r="K34" s="36"/>
      <c r="L34" s="36"/>
      <c r="M34" s="36"/>
      <c r="N34" s="36"/>
      <c r="O34" s="36"/>
      <c r="P34" s="46"/>
    </row>
    <row r="35" spans="1:16" s="2" customFormat="1" ht="24" customHeight="1" x14ac:dyDescent="0.25">
      <c r="A35" s="65"/>
      <c r="B35" s="47" t="s">
        <v>103</v>
      </c>
      <c r="C35" s="44">
        <v>1</v>
      </c>
      <c r="D35" s="35">
        <f t="shared" si="1"/>
        <v>0</v>
      </c>
      <c r="E35" s="36"/>
      <c r="F35" s="36"/>
      <c r="G35" s="36"/>
      <c r="H35" s="36"/>
      <c r="I35" s="36"/>
      <c r="J35" s="36"/>
      <c r="K35" s="36"/>
      <c r="L35" s="36"/>
      <c r="M35" s="36"/>
      <c r="N35" s="36"/>
      <c r="O35" s="36"/>
      <c r="P35" s="46"/>
    </row>
    <row r="36" spans="1:16" s="2" customFormat="1" ht="24" customHeight="1" thickBot="1" x14ac:dyDescent="0.3">
      <c r="A36" s="66"/>
      <c r="B36" s="48" t="s">
        <v>104</v>
      </c>
      <c r="C36" s="44">
        <v>1</v>
      </c>
      <c r="D36" s="35">
        <f t="shared" si="1"/>
        <v>0</v>
      </c>
      <c r="E36" s="36"/>
      <c r="F36" s="36"/>
      <c r="G36" s="36"/>
      <c r="H36" s="36"/>
      <c r="I36" s="36"/>
      <c r="J36" s="36"/>
      <c r="K36" s="36"/>
      <c r="L36" s="36"/>
      <c r="M36" s="36"/>
      <c r="N36" s="36"/>
      <c r="O36" s="36"/>
      <c r="P36" s="46"/>
    </row>
    <row r="37" spans="1:16" s="2" customFormat="1" x14ac:dyDescent="0.25">
      <c r="C37" s="49">
        <f>SUM(C3:C36)</f>
        <v>326</v>
      </c>
      <c r="D37" s="50">
        <f>SUM(D3:D36)</f>
        <v>143</v>
      </c>
    </row>
    <row r="38" spans="1:16" s="2" customFormat="1" x14ac:dyDescent="0.25">
      <c r="C38" s="10"/>
      <c r="D38" s="51">
        <f>D37/C37</f>
        <v>0.43865030674846628</v>
      </c>
    </row>
    <row r="43" spans="1:16" x14ac:dyDescent="0.25">
      <c r="C43" s="2"/>
    </row>
    <row r="44" spans="1:16" x14ac:dyDescent="0.25">
      <c r="C44" s="2"/>
    </row>
    <row r="45" spans="1:16" x14ac:dyDescent="0.25">
      <c r="C45" s="2"/>
    </row>
    <row r="46" spans="1:16" x14ac:dyDescent="0.25">
      <c r="C46" s="2"/>
    </row>
    <row r="47" spans="1:16" x14ac:dyDescent="0.25">
      <c r="C47" s="2"/>
    </row>
    <row r="48" spans="1:16" x14ac:dyDescent="0.25">
      <c r="C48" s="2"/>
    </row>
    <row r="49" spans="3:3" x14ac:dyDescent="0.25">
      <c r="C49" s="2"/>
    </row>
    <row r="50" spans="3:3" x14ac:dyDescent="0.25">
      <c r="C50" s="2"/>
    </row>
    <row r="51" spans="3:3" x14ac:dyDescent="0.25">
      <c r="C51" s="2"/>
    </row>
    <row r="52" spans="3:3" x14ac:dyDescent="0.25">
      <c r="C52" s="2"/>
    </row>
    <row r="53" spans="3:3" x14ac:dyDescent="0.25">
      <c r="C53" s="2"/>
    </row>
    <row r="54" spans="3:3" x14ac:dyDescent="0.25">
      <c r="C54" s="2"/>
    </row>
    <row r="55" spans="3:3" x14ac:dyDescent="0.25">
      <c r="C55" s="2"/>
    </row>
    <row r="56" spans="3:3" x14ac:dyDescent="0.25">
      <c r="C56" s="2"/>
    </row>
    <row r="57" spans="3:3" x14ac:dyDescent="0.25">
      <c r="C57" s="2"/>
    </row>
    <row r="58" spans="3:3" x14ac:dyDescent="0.25">
      <c r="C58" s="2"/>
    </row>
  </sheetData>
  <sheetProtection algorithmName="SHA-512" hashValue="+b6BZEyICf92TBMTJkLW7KkcNZJNGIouYoYYnser5DatNG7r4QOFvhYJ6UsWbgV3VixssLP0yFNWhgME39yuZg==" saltValue="wtkWWQZCY+3kIw6mv4n/Kw==" spinCount="100000" sheet="1" objects="1" scenarios="1" autoFilter="0"/>
  <mergeCells count="2">
    <mergeCell ref="A1:A2"/>
    <mergeCell ref="A9:A36"/>
  </mergeCells>
  <conditionalFormatting sqref="C3:D3 D4:D8">
    <cfRule type="dataBar" priority="49">
      <dataBar>
        <cfvo type="min"/>
        <cfvo type="max"/>
        <color rgb="FF008AEF"/>
      </dataBar>
      <extLst>
        <ext xmlns:x14="http://schemas.microsoft.com/office/spreadsheetml/2009/9/main" uri="{B025F937-C7B1-47D3-B67F-A62EFF666E3E}">
          <x14:id>{4D1B185F-3A8B-4AE7-A4AD-4F6493633E1F}</x14:id>
        </ext>
      </extLst>
    </cfRule>
  </conditionalFormatting>
  <conditionalFormatting sqref="C4:D4">
    <cfRule type="dataBar" priority="4">
      <dataBar>
        <cfvo type="min"/>
        <cfvo type="max"/>
        <color rgb="FF008AEF"/>
      </dataBar>
      <extLst>
        <ext xmlns:x14="http://schemas.microsoft.com/office/spreadsheetml/2009/9/main" uri="{B025F937-C7B1-47D3-B67F-A62EFF666E3E}">
          <x14:id>{9EE688F8-150B-45A7-955A-9431135AA3E5}</x14:id>
        </ext>
      </extLst>
    </cfRule>
  </conditionalFormatting>
  <conditionalFormatting sqref="C5:D5">
    <cfRule type="dataBar" priority="5">
      <dataBar>
        <cfvo type="min"/>
        <cfvo type="max"/>
        <color rgb="FF008AEF"/>
      </dataBar>
      <extLst>
        <ext xmlns:x14="http://schemas.microsoft.com/office/spreadsheetml/2009/9/main" uri="{B025F937-C7B1-47D3-B67F-A62EFF666E3E}">
          <x14:id>{4C230EF6-5A18-4FC2-91E9-E109EF35D763}</x14:id>
        </ext>
      </extLst>
    </cfRule>
  </conditionalFormatting>
  <conditionalFormatting sqref="C6:D6">
    <cfRule type="dataBar" priority="6">
      <dataBar>
        <cfvo type="min"/>
        <cfvo type="max"/>
        <color rgb="FF008AEF"/>
      </dataBar>
      <extLst>
        <ext xmlns:x14="http://schemas.microsoft.com/office/spreadsheetml/2009/9/main" uri="{B025F937-C7B1-47D3-B67F-A62EFF666E3E}">
          <x14:id>{04D6C53A-6B27-4953-9CB4-C24A15D17528}</x14:id>
        </ext>
      </extLst>
    </cfRule>
  </conditionalFormatting>
  <conditionalFormatting sqref="C7:D7">
    <cfRule type="dataBar" priority="7">
      <dataBar>
        <cfvo type="min"/>
        <cfvo type="max"/>
        <color rgb="FF008AEF"/>
      </dataBar>
      <extLst>
        <ext xmlns:x14="http://schemas.microsoft.com/office/spreadsheetml/2009/9/main" uri="{B025F937-C7B1-47D3-B67F-A62EFF666E3E}">
          <x14:id>{2FB485E8-8C87-437D-B536-D54E27E49B11}</x14:id>
        </ext>
      </extLst>
    </cfRule>
  </conditionalFormatting>
  <conditionalFormatting sqref="C8:D8">
    <cfRule type="dataBar" priority="8">
      <dataBar>
        <cfvo type="min"/>
        <cfvo type="max"/>
        <color rgb="FF008AEF"/>
      </dataBar>
      <extLst>
        <ext xmlns:x14="http://schemas.microsoft.com/office/spreadsheetml/2009/9/main" uri="{B025F937-C7B1-47D3-B67F-A62EFF666E3E}">
          <x14:id>{CDC28662-C44B-421E-9CDA-FD7F1574849D}</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{B59469DE-2398-4BA2-935A-6187E47EBBA4}</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{5FAF5B4D-5557-4790-8FA6-213CD847CB20}</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{4E2DF6A7-D439-4B8D-813B-CCDBF1F8876C}</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{33C82151-F468-4A03-818C-60A9A92EEBBA}</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{D537AAC6-9BED-4B60-A3D2-FA5283E49CED}</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{43668BC0-6FA1-42B1-9752-219A53558CA0}</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{1661B421-B832-4E59-B502-650FFB64DFDE}</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{742A3DCF-711C-4783-972B-908BE84DABAC}</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{28A36B86-BFE0-4E4F-81E9-6D22E7E73680}</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{C8996AC6-0782-4E44-BDC9-3B0E8C395F91}</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{8FDD4EB6-477D-4A6A-9EC7-D9FBD9F397E4}</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{295F1534-793E-4273-A5D4-D39C0704D416}</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{8513CB59-A269-4FD9-8C8F-C55D2B991616}</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{8151AEF6-6D04-4843-BA2C-281685F9ACE2}</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{0925E3E9-4579-489E-BE86-26A1812AD048}</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{33B97F71-FF84-4189-BC08-19223AD82D6F}</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{9FF81F64-92C2-464C-B420-6468EC4C76E3}</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{F5C4BFEC-D18D-4010-AD47-401001D4CAD9}</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{C7D5995B-3F32-465C-91BF-8214F71133C6}</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{525B9CC2-D611-481E-825C-81127331D1DB}</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{DA2D225C-36FD-4B63-B70F-12575BAF45C2}</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{E6FCF4B0-3A32-44FC-968D-5C5AAEF15E75}</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{E48A10FE-167D-4C14-B556-7BD5DF1D9DCE}</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{0262B812-3176-449C-97EA-4DB99ED85B95}</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{1CDF18D9-7CC7-486E-979C-2C987C9C8900}</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{D846E0FF-C7E1-4E9B-AE46-27DEDE6BBF09}</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{979A7EBA-F645-435B-B7C2-C19D4F37485B}</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{F76BC59C-3E52-4586-A6F3-16348A189FC6}</x14:id>
        </ext>
      </extLst>
    </cfRule>
  </conditionalFormatting>
  <conditionalFormatting sqref="E3:F32 E33:O36">
    <cfRule type="cellIs" dxfId="13" priority="1" operator="greaterThan">
      <formula>0</formula>
    </cfRule>
  </conditionalFormatting>
  <conditionalFormatting sqref="G9:O32">
    <cfRule type="cellIs" dxfId="12" priority="11" operator="greaterThan">
      <formula>0</formula>
    </cfRule>
  </conditionalFormatting>
  <conditionalFormatting sqref="G3:P8">
    <cfRule type="cellIs" dxfId="11" priority="2" operator="greaterThan">
      <formula>0</formula>
    </cfRule>
  </conditionalFormatting>
  <pageMargins left="0.7" right="0.7"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4D1B185F-3A8B-4AE7-A4AD-4F6493633E1F}">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9EE688F8-150B-45A7-955A-9431135AA3E5}">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4C230EF6-5A18-4FC2-91E9-E109EF35D763}">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04D6C53A-6B27-4953-9CB4-C24A15D17528}">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2FB485E8-8C87-437D-B536-D54E27E49B11}">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CDC28662-C44B-421E-9CDA-FD7F1574849D}">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B59469DE-2398-4BA2-935A-6187E47EBBA4}">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5FAF5B4D-5557-4790-8FA6-213CD847CB20}">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4E2DF6A7-D439-4B8D-813B-CCDBF1F8876C}">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33C82151-F468-4A03-818C-60A9A92EEBBA}">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537AAC6-9BED-4B60-A3D2-FA5283E49CED}">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43668BC0-6FA1-42B1-9752-219A53558CA0}">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1661B421-B832-4E59-B502-650FFB64DFDE}">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742A3DCF-711C-4783-972B-908BE84DABAC}">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28A36B86-BFE0-4E4F-81E9-6D22E7E73680}">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C8996AC6-0782-4E44-BDC9-3B0E8C395F91}">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8FDD4EB6-477D-4A6A-9EC7-D9FBD9F397E4}">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295F1534-793E-4273-A5D4-D39C0704D416}">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8513CB59-A269-4FD9-8C8F-C55D2B991616}">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8151AEF6-6D04-4843-BA2C-281685F9ACE2}">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0925E3E9-4579-489E-BE86-26A1812AD048}">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33B97F71-FF84-4189-BC08-19223AD82D6F}">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FF81F64-92C2-464C-B420-6468EC4C76E3}">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F5C4BFEC-D18D-4010-AD47-401001D4CAD9}">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C7D5995B-3F32-465C-91BF-8214F71133C6}">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525B9CC2-D611-481E-825C-81127331D1DB}">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DA2D225C-36FD-4B63-B70F-12575BAF45C2}">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E6FCF4B0-3A32-44FC-968D-5C5AAEF15E75}">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E48A10FE-167D-4C14-B556-7BD5DF1D9DCE}">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0262B812-3176-449C-97EA-4DB99ED85B95}">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1CDF18D9-7CC7-486E-979C-2C987C9C8900}">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D846E0FF-C7E1-4E9B-AE46-27DEDE6BBF09}">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979A7EBA-F645-435B-B7C2-C19D4F37485B}">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F76BC59C-3E52-4586-A6F3-16348A189FC6}">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A1:P40"/>
  <sheetViews>
    <sheetView zoomScale="80" zoomScaleNormal="80" workbookViewId="0">
      <pane ySplit="1" topLeftCell="A2" activePane="bottomLeft" state="frozen"/>
      <selection pane="bottomLeft" activeCell="M29" sqref="M29"/>
    </sheetView>
  </sheetViews>
  <sheetFormatPr baseColWidth="10" defaultColWidth="11.42578125" defaultRowHeight="15" x14ac:dyDescent="0.25"/>
  <cols>
    <col min="1" max="1" width="8.85546875" style="2" customWidth="1"/>
    <col min="2" max="2" width="86.85546875" style="2" customWidth="1"/>
    <col min="3" max="3" width="11.42578125" style="2"/>
    <col min="4" max="4" width="22.42578125" style="2" customWidth="1"/>
    <col min="5" max="8" width="17.28515625" style="2" customWidth="1"/>
    <col min="9" max="16384" width="11.42578125" style="2"/>
  </cols>
  <sheetData>
    <row r="1" spans="1:16" ht="61.5" customHeight="1" x14ac:dyDescent="0.25">
      <c r="A1" s="62" t="s">
        <v>1</v>
      </c>
      <c r="B1" s="29" t="s">
        <v>75</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x14ac:dyDescent="0.25">
      <c r="A3" s="52" t="s">
        <v>18</v>
      </c>
      <c r="B3" s="4" t="s">
        <v>17</v>
      </c>
      <c r="C3" s="34">
        <v>2</v>
      </c>
      <c r="D3" s="35">
        <f t="shared" ref="D3:D10" si="0">SUM(E3:P3)</f>
        <v>1</v>
      </c>
      <c r="E3" s="36"/>
      <c r="F3" s="36"/>
      <c r="G3" s="36">
        <v>1</v>
      </c>
      <c r="H3" s="36"/>
      <c r="I3" s="36"/>
      <c r="J3" s="36"/>
      <c r="K3" s="36"/>
      <c r="L3" s="36"/>
      <c r="M3" s="36"/>
      <c r="N3" s="36"/>
      <c r="O3" s="36"/>
      <c r="P3" s="36"/>
    </row>
    <row r="4" spans="1:16" ht="81" customHeight="1" x14ac:dyDescent="0.25">
      <c r="A4" s="53" t="s">
        <v>20</v>
      </c>
      <c r="B4" s="6" t="s">
        <v>19</v>
      </c>
      <c r="C4" s="39">
        <v>2</v>
      </c>
      <c r="D4" s="35">
        <f t="shared" si="0"/>
        <v>0</v>
      </c>
      <c r="E4" s="36">
        <v>0</v>
      </c>
      <c r="F4" s="36">
        <v>0</v>
      </c>
      <c r="G4" s="36">
        <v>0</v>
      </c>
      <c r="H4" s="36">
        <v>0</v>
      </c>
      <c r="I4" s="36"/>
      <c r="J4" s="36"/>
      <c r="K4" s="36"/>
      <c r="L4" s="36"/>
      <c r="M4" s="36"/>
      <c r="N4" s="36"/>
      <c r="O4" s="36"/>
      <c r="P4" s="36"/>
    </row>
    <row r="5" spans="1:16" ht="81" customHeight="1" x14ac:dyDescent="0.25">
      <c r="A5" s="54" t="s">
        <v>23</v>
      </c>
      <c r="B5" s="22" t="s">
        <v>42</v>
      </c>
      <c r="C5" s="41">
        <v>1</v>
      </c>
      <c r="D5" s="35">
        <f t="shared" si="0"/>
        <v>0</v>
      </c>
      <c r="E5" s="36">
        <v>0</v>
      </c>
      <c r="F5" s="36">
        <v>0</v>
      </c>
      <c r="G5" s="36">
        <v>0</v>
      </c>
      <c r="H5" s="36">
        <v>0</v>
      </c>
      <c r="I5" s="36"/>
      <c r="J5" s="36"/>
      <c r="K5" s="36"/>
      <c r="L5" s="36"/>
      <c r="M5" s="36"/>
      <c r="N5" s="36"/>
      <c r="O5" s="36"/>
      <c r="P5" s="36"/>
    </row>
    <row r="6" spans="1:16" ht="81" customHeight="1" x14ac:dyDescent="0.25">
      <c r="A6" s="52" t="s">
        <v>18</v>
      </c>
      <c r="B6" s="4" t="s">
        <v>36</v>
      </c>
      <c r="C6" s="44">
        <v>2</v>
      </c>
      <c r="D6" s="35">
        <f t="shared" si="0"/>
        <v>1</v>
      </c>
      <c r="E6" s="36"/>
      <c r="F6" s="36"/>
      <c r="G6" s="36">
        <v>1</v>
      </c>
      <c r="H6" s="36"/>
      <c r="I6" s="36"/>
      <c r="J6" s="36"/>
      <c r="K6" s="36"/>
      <c r="L6" s="36"/>
      <c r="M6" s="36"/>
      <c r="N6" s="36"/>
      <c r="O6" s="36"/>
      <c r="P6" s="36"/>
    </row>
    <row r="7" spans="1:16" ht="81" customHeight="1" x14ac:dyDescent="0.25">
      <c r="A7" s="52" t="s">
        <v>18</v>
      </c>
      <c r="B7" s="4" t="s">
        <v>37</v>
      </c>
      <c r="C7" s="44">
        <v>2</v>
      </c>
      <c r="D7" s="35">
        <f t="shared" si="0"/>
        <v>1</v>
      </c>
      <c r="E7" s="36">
        <v>1</v>
      </c>
      <c r="F7" s="36"/>
      <c r="G7" s="36"/>
      <c r="H7" s="36"/>
      <c r="I7" s="36"/>
      <c r="J7" s="36"/>
      <c r="K7" s="36"/>
      <c r="L7" s="36"/>
      <c r="M7" s="36"/>
      <c r="N7" s="36"/>
      <c r="O7" s="36"/>
      <c r="P7" s="36"/>
    </row>
    <row r="8" spans="1:16" ht="81" customHeight="1" x14ac:dyDescent="0.25">
      <c r="A8" s="52" t="s">
        <v>18</v>
      </c>
      <c r="B8" s="4" t="s">
        <v>38</v>
      </c>
      <c r="C8" s="44">
        <v>1</v>
      </c>
      <c r="D8" s="35">
        <f t="shared" si="0"/>
        <v>1</v>
      </c>
      <c r="E8" s="36"/>
      <c r="F8" s="36"/>
      <c r="G8" s="36">
        <v>1</v>
      </c>
      <c r="H8" s="36"/>
      <c r="I8" s="36"/>
      <c r="J8" s="36"/>
      <c r="K8" s="36"/>
      <c r="L8" s="36"/>
      <c r="M8" s="36"/>
      <c r="N8" s="36"/>
      <c r="O8" s="36"/>
      <c r="P8" s="36"/>
    </row>
    <row r="9" spans="1:16" ht="81" customHeight="1" x14ac:dyDescent="0.25">
      <c r="A9" s="52" t="s">
        <v>18</v>
      </c>
      <c r="B9" s="4" t="s">
        <v>45</v>
      </c>
      <c r="C9" s="44">
        <v>2</v>
      </c>
      <c r="D9" s="35">
        <f t="shared" si="0"/>
        <v>0</v>
      </c>
      <c r="E9" s="36"/>
      <c r="F9" s="36"/>
      <c r="G9" s="36"/>
      <c r="H9" s="36"/>
      <c r="I9" s="36"/>
      <c r="J9" s="36"/>
      <c r="K9" s="36"/>
      <c r="L9" s="36"/>
      <c r="M9" s="36"/>
      <c r="N9" s="36"/>
      <c r="O9" s="36"/>
      <c r="P9" s="36"/>
    </row>
    <row r="10" spans="1:16" ht="81" customHeight="1" x14ac:dyDescent="0.25">
      <c r="A10" s="52" t="s">
        <v>18</v>
      </c>
      <c r="B10" s="4" t="s">
        <v>46</v>
      </c>
      <c r="C10" s="44">
        <v>1</v>
      </c>
      <c r="D10" s="35">
        <f t="shared" si="0"/>
        <v>1</v>
      </c>
      <c r="E10" s="36"/>
      <c r="F10" s="36"/>
      <c r="G10" s="36">
        <v>1</v>
      </c>
      <c r="H10" s="36"/>
      <c r="I10" s="36"/>
      <c r="J10" s="36"/>
      <c r="K10" s="36"/>
      <c r="L10" s="36"/>
      <c r="M10" s="36"/>
      <c r="N10" s="36"/>
      <c r="O10" s="36"/>
      <c r="P10" s="36"/>
    </row>
    <row r="11" spans="1:16" ht="28.5" customHeight="1" x14ac:dyDescent="0.25">
      <c r="A11" s="64" t="s">
        <v>76</v>
      </c>
      <c r="B11" s="45" t="s">
        <v>77</v>
      </c>
      <c r="C11" s="44">
        <v>3</v>
      </c>
      <c r="D11" s="35">
        <f t="shared" ref="D11:D38" si="1">SUM(E11:O11)</f>
        <v>1</v>
      </c>
      <c r="E11" s="36"/>
      <c r="F11" s="36"/>
      <c r="G11" s="36">
        <v>1</v>
      </c>
      <c r="H11" s="36"/>
      <c r="I11" s="36"/>
      <c r="J11" s="36"/>
      <c r="K11" s="36"/>
      <c r="L11" s="36"/>
      <c r="M11" s="36"/>
      <c r="N11" s="36"/>
      <c r="O11" s="36"/>
      <c r="P11" s="46"/>
    </row>
    <row r="12" spans="1:16" ht="28.5" customHeight="1" x14ac:dyDescent="0.25">
      <c r="A12" s="65"/>
      <c r="B12" s="45" t="s">
        <v>78</v>
      </c>
      <c r="C12" s="44">
        <v>3</v>
      </c>
      <c r="D12" s="35">
        <f t="shared" si="1"/>
        <v>2</v>
      </c>
      <c r="E12" s="36"/>
      <c r="F12" s="36"/>
      <c r="G12" s="36">
        <v>1</v>
      </c>
      <c r="H12" s="36">
        <v>1</v>
      </c>
      <c r="I12" s="36"/>
      <c r="J12" s="36"/>
      <c r="K12" s="36"/>
      <c r="L12" s="36"/>
      <c r="M12" s="36"/>
      <c r="N12" s="36"/>
      <c r="O12" s="36"/>
      <c r="P12" s="46"/>
    </row>
    <row r="13" spans="1:16" ht="28.5" customHeight="1" x14ac:dyDescent="0.25">
      <c r="A13" s="65"/>
      <c r="B13" s="45" t="s">
        <v>79</v>
      </c>
      <c r="C13" s="44">
        <v>65</v>
      </c>
      <c r="D13" s="35">
        <f t="shared" si="1"/>
        <v>28</v>
      </c>
      <c r="E13" s="36"/>
      <c r="F13" s="36">
        <v>6</v>
      </c>
      <c r="G13" s="36">
        <v>15</v>
      </c>
      <c r="H13" s="36"/>
      <c r="I13" s="36">
        <v>7</v>
      </c>
      <c r="J13" s="36"/>
      <c r="K13" s="36"/>
      <c r="L13" s="36"/>
      <c r="M13" s="36"/>
      <c r="N13" s="36"/>
      <c r="O13" s="36"/>
      <c r="P13" s="46"/>
    </row>
    <row r="14" spans="1:16" ht="28.5" customHeight="1" x14ac:dyDescent="0.25">
      <c r="A14" s="65"/>
      <c r="B14" s="45" t="s">
        <v>80</v>
      </c>
      <c r="C14" s="44">
        <v>79</v>
      </c>
      <c r="D14" s="35">
        <f t="shared" si="1"/>
        <v>22</v>
      </c>
      <c r="E14" s="36"/>
      <c r="F14" s="36"/>
      <c r="G14" s="36">
        <v>9</v>
      </c>
      <c r="H14" s="36">
        <v>13</v>
      </c>
      <c r="I14" s="36"/>
      <c r="J14" s="36"/>
      <c r="K14" s="36"/>
      <c r="L14" s="36"/>
      <c r="M14" s="36"/>
      <c r="N14" s="36"/>
      <c r="O14" s="36"/>
      <c r="P14" s="46"/>
    </row>
    <row r="15" spans="1:16" ht="28.5" customHeight="1" x14ac:dyDescent="0.25">
      <c r="A15" s="65"/>
      <c r="B15" s="45" t="s">
        <v>81</v>
      </c>
      <c r="C15" s="44">
        <v>2</v>
      </c>
      <c r="D15" s="35">
        <f t="shared" si="1"/>
        <v>0</v>
      </c>
      <c r="E15" s="36"/>
      <c r="F15" s="36"/>
      <c r="G15" s="36"/>
      <c r="H15" s="36"/>
      <c r="I15" s="36"/>
      <c r="J15" s="36"/>
      <c r="K15" s="36"/>
      <c r="L15" s="36"/>
      <c r="M15" s="36"/>
      <c r="N15" s="36"/>
      <c r="O15" s="36"/>
      <c r="P15" s="46"/>
    </row>
    <row r="16" spans="1:16" ht="28.5" customHeight="1" x14ac:dyDescent="0.25">
      <c r="A16" s="65"/>
      <c r="B16" s="45" t="s">
        <v>82</v>
      </c>
      <c r="C16" s="44">
        <v>12</v>
      </c>
      <c r="D16" s="35">
        <f t="shared" si="1"/>
        <v>0</v>
      </c>
      <c r="E16" s="36"/>
      <c r="F16" s="36"/>
      <c r="G16" s="36"/>
      <c r="H16" s="36"/>
      <c r="I16" s="36"/>
      <c r="J16" s="36"/>
      <c r="K16" s="36"/>
      <c r="L16" s="36"/>
      <c r="M16" s="36"/>
      <c r="N16" s="36"/>
      <c r="O16" s="36"/>
      <c r="P16" s="46"/>
    </row>
    <row r="17" spans="1:16" ht="28.5" customHeight="1" x14ac:dyDescent="0.25">
      <c r="A17" s="65"/>
      <c r="B17" s="45" t="s">
        <v>83</v>
      </c>
      <c r="C17" s="44">
        <v>0</v>
      </c>
      <c r="D17" s="35">
        <f t="shared" si="1"/>
        <v>0</v>
      </c>
      <c r="E17" s="36"/>
      <c r="F17" s="36"/>
      <c r="G17" s="36"/>
      <c r="H17" s="36"/>
      <c r="I17" s="36"/>
      <c r="J17" s="36"/>
      <c r="K17" s="36"/>
      <c r="L17" s="36"/>
      <c r="M17" s="36"/>
      <c r="N17" s="36"/>
      <c r="O17" s="36"/>
      <c r="P17" s="46"/>
    </row>
    <row r="18" spans="1:16" ht="28.5" customHeight="1" x14ac:dyDescent="0.25">
      <c r="A18" s="65"/>
      <c r="B18" s="45" t="s">
        <v>84</v>
      </c>
      <c r="C18" s="44">
        <v>2</v>
      </c>
      <c r="D18" s="35">
        <f t="shared" si="1"/>
        <v>1</v>
      </c>
      <c r="E18" s="36"/>
      <c r="F18" s="36"/>
      <c r="G18" s="36">
        <v>1</v>
      </c>
      <c r="H18" s="36"/>
      <c r="I18" s="36"/>
      <c r="J18" s="36"/>
      <c r="K18" s="36"/>
      <c r="L18" s="36"/>
      <c r="M18" s="36"/>
      <c r="N18" s="36"/>
      <c r="O18" s="36"/>
      <c r="P18" s="46"/>
    </row>
    <row r="19" spans="1:16" ht="28.5" customHeight="1" x14ac:dyDescent="0.25">
      <c r="A19" s="65"/>
      <c r="B19" s="45" t="s">
        <v>85</v>
      </c>
      <c r="C19" s="44">
        <v>0</v>
      </c>
      <c r="D19" s="35">
        <f t="shared" si="1"/>
        <v>0</v>
      </c>
      <c r="E19" s="36"/>
      <c r="F19" s="36"/>
      <c r="G19" s="36"/>
      <c r="H19" s="36"/>
      <c r="I19" s="36"/>
      <c r="J19" s="36"/>
      <c r="K19" s="36"/>
      <c r="L19" s="36"/>
      <c r="M19" s="36"/>
      <c r="N19" s="36"/>
      <c r="O19" s="36"/>
      <c r="P19" s="46"/>
    </row>
    <row r="20" spans="1:16" ht="28.5" customHeight="1" x14ac:dyDescent="0.25">
      <c r="A20" s="65"/>
      <c r="B20" s="45" t="s">
        <v>86</v>
      </c>
      <c r="C20" s="44">
        <v>0</v>
      </c>
      <c r="D20" s="35">
        <f t="shared" si="1"/>
        <v>0</v>
      </c>
      <c r="E20" s="36"/>
      <c r="F20" s="36"/>
      <c r="G20" s="36"/>
      <c r="H20" s="36"/>
      <c r="I20" s="36"/>
      <c r="J20" s="36"/>
      <c r="K20" s="36"/>
      <c r="L20" s="36"/>
      <c r="M20" s="36"/>
      <c r="N20" s="36"/>
      <c r="O20" s="36"/>
      <c r="P20" s="46"/>
    </row>
    <row r="21" spans="1:16" ht="28.5" customHeight="1" x14ac:dyDescent="0.25">
      <c r="A21" s="65"/>
      <c r="B21" s="45" t="s">
        <v>87</v>
      </c>
      <c r="C21" s="44">
        <v>0</v>
      </c>
      <c r="D21" s="35">
        <f t="shared" si="1"/>
        <v>0</v>
      </c>
      <c r="E21" s="36"/>
      <c r="F21" s="36"/>
      <c r="G21" s="36"/>
      <c r="H21" s="36"/>
      <c r="I21" s="36"/>
      <c r="J21" s="36"/>
      <c r="K21" s="36"/>
      <c r="L21" s="36"/>
      <c r="M21" s="36"/>
      <c r="N21" s="36"/>
      <c r="O21" s="36"/>
      <c r="P21" s="46"/>
    </row>
    <row r="22" spans="1:16" ht="28.5" customHeight="1" x14ac:dyDescent="0.25">
      <c r="A22" s="65"/>
      <c r="B22" s="45" t="s">
        <v>88</v>
      </c>
      <c r="C22" s="44">
        <v>0</v>
      </c>
      <c r="D22" s="35">
        <f t="shared" si="1"/>
        <v>0</v>
      </c>
      <c r="E22" s="36"/>
      <c r="F22" s="36"/>
      <c r="G22" s="36"/>
      <c r="H22" s="36"/>
      <c r="I22" s="36"/>
      <c r="J22" s="36"/>
      <c r="K22" s="36"/>
      <c r="L22" s="36"/>
      <c r="M22" s="36"/>
      <c r="N22" s="36"/>
      <c r="O22" s="36"/>
      <c r="P22" s="46"/>
    </row>
    <row r="23" spans="1:16" ht="28.5" customHeight="1" x14ac:dyDescent="0.25">
      <c r="A23" s="65"/>
      <c r="B23" s="45" t="s">
        <v>89</v>
      </c>
      <c r="C23" s="44">
        <v>0</v>
      </c>
      <c r="D23" s="35">
        <f t="shared" si="1"/>
        <v>0</v>
      </c>
      <c r="E23" s="36"/>
      <c r="F23" s="36"/>
      <c r="G23" s="36"/>
      <c r="H23" s="36"/>
      <c r="I23" s="36"/>
      <c r="J23" s="36"/>
      <c r="K23" s="36"/>
      <c r="L23" s="36"/>
      <c r="M23" s="36"/>
      <c r="N23" s="36"/>
      <c r="O23" s="36"/>
      <c r="P23" s="46"/>
    </row>
    <row r="24" spans="1:16" ht="28.5" customHeight="1" x14ac:dyDescent="0.25">
      <c r="A24" s="65"/>
      <c r="B24" s="45" t="s">
        <v>90</v>
      </c>
      <c r="C24" s="44">
        <v>0</v>
      </c>
      <c r="D24" s="35">
        <f t="shared" si="1"/>
        <v>0</v>
      </c>
      <c r="E24" s="36"/>
      <c r="F24" s="36"/>
      <c r="G24" s="36"/>
      <c r="H24" s="36"/>
      <c r="I24" s="36"/>
      <c r="J24" s="36"/>
      <c r="K24" s="36"/>
      <c r="L24" s="36"/>
      <c r="M24" s="36"/>
      <c r="N24" s="36"/>
      <c r="O24" s="36"/>
      <c r="P24" s="46"/>
    </row>
    <row r="25" spans="1:16" ht="28.5" customHeight="1" x14ac:dyDescent="0.25">
      <c r="A25" s="65"/>
      <c r="B25" s="45" t="s">
        <v>91</v>
      </c>
      <c r="C25" s="44">
        <v>36</v>
      </c>
      <c r="D25" s="35">
        <f t="shared" si="1"/>
        <v>19</v>
      </c>
      <c r="E25" s="36">
        <v>9</v>
      </c>
      <c r="F25" s="36"/>
      <c r="G25" s="36"/>
      <c r="H25" s="36">
        <v>10</v>
      </c>
      <c r="I25" s="36"/>
      <c r="J25" s="36"/>
      <c r="K25" s="36"/>
      <c r="L25" s="36"/>
      <c r="M25" s="36"/>
      <c r="N25" s="36"/>
      <c r="O25" s="36"/>
      <c r="P25" s="46"/>
    </row>
    <row r="26" spans="1:16" ht="28.5" customHeight="1" x14ac:dyDescent="0.25">
      <c r="A26" s="65"/>
      <c r="B26" s="45" t="s">
        <v>92</v>
      </c>
      <c r="C26" s="44">
        <v>2</v>
      </c>
      <c r="D26" s="35">
        <f t="shared" si="1"/>
        <v>1</v>
      </c>
      <c r="E26" s="36"/>
      <c r="F26" s="36"/>
      <c r="G26" s="36"/>
      <c r="H26" s="36">
        <v>1</v>
      </c>
      <c r="I26" s="36"/>
      <c r="J26" s="36"/>
      <c r="K26" s="36"/>
      <c r="L26" s="36"/>
      <c r="M26" s="36"/>
      <c r="N26" s="36"/>
      <c r="O26" s="36"/>
      <c r="P26" s="46"/>
    </row>
    <row r="27" spans="1:16" ht="24" customHeight="1" x14ac:dyDescent="0.25">
      <c r="A27" s="65"/>
      <c r="B27" s="47" t="s">
        <v>93</v>
      </c>
      <c r="C27" s="44">
        <v>5</v>
      </c>
      <c r="D27" s="35">
        <f t="shared" si="1"/>
        <v>5</v>
      </c>
      <c r="E27" s="36">
        <v>2</v>
      </c>
      <c r="F27" s="36">
        <v>2</v>
      </c>
      <c r="G27" s="36">
        <v>1</v>
      </c>
      <c r="H27" s="36"/>
      <c r="I27" s="36"/>
      <c r="J27" s="36"/>
      <c r="K27" s="36"/>
      <c r="L27" s="36"/>
      <c r="M27" s="36"/>
      <c r="N27" s="36"/>
      <c r="O27" s="36"/>
      <c r="P27" s="46"/>
    </row>
    <row r="28" spans="1:16" ht="24" customHeight="1" x14ac:dyDescent="0.25">
      <c r="A28" s="65"/>
      <c r="B28" s="47" t="s">
        <v>94</v>
      </c>
      <c r="C28" s="44">
        <v>5</v>
      </c>
      <c r="D28" s="35">
        <f t="shared" si="1"/>
        <v>5</v>
      </c>
      <c r="E28" s="36"/>
      <c r="F28" s="36"/>
      <c r="G28" s="36">
        <v>2</v>
      </c>
      <c r="H28" s="36">
        <v>3</v>
      </c>
      <c r="I28" s="36"/>
      <c r="J28" s="36"/>
      <c r="K28" s="36"/>
      <c r="L28" s="36"/>
      <c r="M28" s="36"/>
      <c r="N28" s="36"/>
      <c r="O28" s="36"/>
      <c r="P28" s="46"/>
    </row>
    <row r="29" spans="1:16" ht="24" customHeight="1" x14ac:dyDescent="0.25">
      <c r="A29" s="65"/>
      <c r="B29" s="47" t="s">
        <v>95</v>
      </c>
      <c r="C29" s="44">
        <v>5</v>
      </c>
      <c r="D29" s="35">
        <f t="shared" si="1"/>
        <v>5</v>
      </c>
      <c r="E29" s="36"/>
      <c r="F29" s="36"/>
      <c r="G29" s="36"/>
      <c r="H29" s="36"/>
      <c r="I29" s="36">
        <v>5</v>
      </c>
      <c r="J29" s="36"/>
      <c r="K29" s="36"/>
      <c r="L29" s="36"/>
      <c r="M29" s="36"/>
      <c r="N29" s="36"/>
      <c r="O29" s="36"/>
      <c r="P29" s="46"/>
    </row>
    <row r="30" spans="1:16" ht="24" customHeight="1" x14ac:dyDescent="0.25">
      <c r="A30" s="65"/>
      <c r="B30" s="47" t="s">
        <v>96</v>
      </c>
      <c r="C30" s="44">
        <v>5</v>
      </c>
      <c r="D30" s="35">
        <f t="shared" si="1"/>
        <v>0</v>
      </c>
      <c r="E30" s="36"/>
      <c r="F30" s="36"/>
      <c r="G30" s="36"/>
      <c r="H30" s="36"/>
      <c r="I30" s="36"/>
      <c r="J30" s="36"/>
      <c r="K30" s="36"/>
      <c r="L30" s="36"/>
      <c r="M30" s="36"/>
      <c r="N30" s="36"/>
      <c r="O30" s="36"/>
      <c r="P30" s="46"/>
    </row>
    <row r="31" spans="1:16" ht="24" customHeight="1" x14ac:dyDescent="0.25">
      <c r="A31" s="65"/>
      <c r="B31" s="47" t="s">
        <v>97</v>
      </c>
      <c r="C31" s="44">
        <v>5</v>
      </c>
      <c r="D31" s="35">
        <f t="shared" si="1"/>
        <v>0</v>
      </c>
      <c r="E31" s="36"/>
      <c r="F31" s="36"/>
      <c r="G31" s="36"/>
      <c r="H31" s="36"/>
      <c r="I31" s="36"/>
      <c r="J31" s="36"/>
      <c r="K31" s="36"/>
      <c r="L31" s="36"/>
      <c r="M31" s="36"/>
      <c r="N31" s="36"/>
      <c r="O31" s="36"/>
      <c r="P31" s="46"/>
    </row>
    <row r="32" spans="1:16" ht="24" customHeight="1" x14ac:dyDescent="0.25">
      <c r="A32" s="65"/>
      <c r="B32" s="47" t="s">
        <v>98</v>
      </c>
      <c r="C32" s="44">
        <v>1</v>
      </c>
      <c r="D32" s="35">
        <f t="shared" si="1"/>
        <v>0</v>
      </c>
      <c r="E32" s="36"/>
      <c r="F32" s="36"/>
      <c r="G32" s="36"/>
      <c r="H32" s="36"/>
      <c r="I32" s="36"/>
      <c r="J32" s="36"/>
      <c r="K32" s="36"/>
      <c r="L32" s="36"/>
      <c r="M32" s="36"/>
      <c r="N32" s="36"/>
      <c r="O32" s="36"/>
      <c r="P32" s="46"/>
    </row>
    <row r="33" spans="1:16" ht="24" customHeight="1" x14ac:dyDescent="0.25">
      <c r="A33" s="65"/>
      <c r="B33" s="47" t="s">
        <v>99</v>
      </c>
      <c r="C33" s="44">
        <v>1</v>
      </c>
      <c r="D33" s="35">
        <f t="shared" si="1"/>
        <v>0</v>
      </c>
      <c r="E33" s="36"/>
      <c r="F33" s="36"/>
      <c r="G33" s="36"/>
      <c r="H33" s="36"/>
      <c r="I33" s="36"/>
      <c r="J33" s="36"/>
      <c r="K33" s="36"/>
      <c r="L33" s="36"/>
      <c r="M33" s="36"/>
      <c r="N33" s="36"/>
      <c r="O33" s="36"/>
      <c r="P33" s="46"/>
    </row>
    <row r="34" spans="1:16" ht="24" customHeight="1" x14ac:dyDescent="0.25">
      <c r="A34" s="65"/>
      <c r="B34" s="47" t="s">
        <v>100</v>
      </c>
      <c r="C34" s="44">
        <v>1</v>
      </c>
      <c r="D34" s="35">
        <f t="shared" si="1"/>
        <v>0</v>
      </c>
      <c r="E34" s="36"/>
      <c r="F34" s="36"/>
      <c r="G34" s="36"/>
      <c r="H34" s="36"/>
      <c r="I34" s="36"/>
      <c r="J34" s="36"/>
      <c r="K34" s="36"/>
      <c r="L34" s="36"/>
      <c r="M34" s="36"/>
      <c r="N34" s="36"/>
      <c r="O34" s="36"/>
      <c r="P34" s="46"/>
    </row>
    <row r="35" spans="1:16" ht="24" customHeight="1" x14ac:dyDescent="0.25">
      <c r="A35" s="65"/>
      <c r="B35" s="47" t="s">
        <v>101</v>
      </c>
      <c r="C35" s="44">
        <v>1</v>
      </c>
      <c r="D35" s="35">
        <f t="shared" si="1"/>
        <v>0</v>
      </c>
      <c r="E35" s="36"/>
      <c r="F35" s="36"/>
      <c r="G35" s="36"/>
      <c r="H35" s="36"/>
      <c r="I35" s="36"/>
      <c r="J35" s="36"/>
      <c r="K35" s="36"/>
      <c r="L35" s="36"/>
      <c r="M35" s="36"/>
      <c r="N35" s="36"/>
      <c r="O35" s="36"/>
      <c r="P35" s="46"/>
    </row>
    <row r="36" spans="1:16" ht="24" customHeight="1" x14ac:dyDescent="0.25">
      <c r="A36" s="65"/>
      <c r="B36" s="47" t="s">
        <v>102</v>
      </c>
      <c r="C36" s="44">
        <v>1</v>
      </c>
      <c r="D36" s="35">
        <f t="shared" si="1"/>
        <v>0</v>
      </c>
      <c r="E36" s="36"/>
      <c r="F36" s="36"/>
      <c r="G36" s="36"/>
      <c r="H36" s="36"/>
      <c r="I36" s="36"/>
      <c r="J36" s="36"/>
      <c r="K36" s="36"/>
      <c r="L36" s="36"/>
      <c r="M36" s="36"/>
      <c r="N36" s="36"/>
      <c r="O36" s="36"/>
      <c r="P36" s="46"/>
    </row>
    <row r="37" spans="1:16" ht="24" customHeight="1" x14ac:dyDescent="0.25">
      <c r="A37" s="65"/>
      <c r="B37" s="47" t="s">
        <v>103</v>
      </c>
      <c r="C37" s="44">
        <v>1</v>
      </c>
      <c r="D37" s="35">
        <f t="shared" si="1"/>
        <v>0</v>
      </c>
      <c r="E37" s="36"/>
      <c r="F37" s="36"/>
      <c r="G37" s="36"/>
      <c r="H37" s="36"/>
      <c r="I37" s="36"/>
      <c r="J37" s="36"/>
      <c r="K37" s="36"/>
      <c r="L37" s="36"/>
      <c r="M37" s="36"/>
      <c r="N37" s="36"/>
      <c r="O37" s="36"/>
      <c r="P37" s="46"/>
    </row>
    <row r="38" spans="1:16" ht="24" customHeight="1" thickBot="1" x14ac:dyDescent="0.3">
      <c r="A38" s="66"/>
      <c r="B38" s="48" t="s">
        <v>104</v>
      </c>
      <c r="C38" s="44">
        <v>1</v>
      </c>
      <c r="D38" s="35">
        <f t="shared" si="1"/>
        <v>0</v>
      </c>
      <c r="E38" s="36"/>
      <c r="F38" s="36"/>
      <c r="G38" s="36"/>
      <c r="H38" s="36"/>
      <c r="I38" s="36"/>
      <c r="J38" s="36"/>
      <c r="K38" s="36"/>
      <c r="L38" s="36"/>
      <c r="M38" s="36"/>
      <c r="N38" s="36"/>
      <c r="O38" s="36"/>
      <c r="P38" s="46"/>
    </row>
    <row r="39" spans="1:16" x14ac:dyDescent="0.25">
      <c r="C39" s="49">
        <f>SUM(C3:C38)</f>
        <v>249</v>
      </c>
      <c r="D39" s="50">
        <f>SUM(D3:D38)</f>
        <v>94</v>
      </c>
    </row>
    <row r="40" spans="1:16" x14ac:dyDescent="0.25">
      <c r="C40" s="10"/>
      <c r="D40" s="51">
        <f>D39/C39</f>
        <v>0.37751004016064255</v>
      </c>
    </row>
  </sheetData>
  <sheetProtection algorithmName="SHA-512" hashValue="xhn3MBonqEHfMuraD9ekiOYqOiqTxaJNRnCfXdoneOh7jiHSb9/0t44wLUezcaB//mGRPYXvAL71axtKDLxaVw==" saltValue="dsoleOpXqIzCUDJbm4elWg==" spinCount="100000" sheet="1" objects="1" scenarios="1" autoFilter="0"/>
  <mergeCells count="2">
    <mergeCell ref="A1:A2"/>
    <mergeCell ref="A11:A38"/>
  </mergeCells>
  <conditionalFormatting sqref="C3:D3 D4:D10">
    <cfRule type="dataBar" priority="3">
      <dataBar>
        <cfvo type="min"/>
        <cfvo type="max"/>
        <color rgb="FF008AEF"/>
      </dataBar>
      <extLst>
        <ext xmlns:x14="http://schemas.microsoft.com/office/spreadsheetml/2009/9/main" uri="{B025F937-C7B1-47D3-B67F-A62EFF666E3E}">
          <x14:id>{F4D8127A-DB2A-4DF4-9D3A-EC9AA4FE245B}</x14:id>
        </ext>
      </extLst>
    </cfRule>
  </conditionalFormatting>
  <conditionalFormatting sqref="C4:D4">
    <cfRule type="dataBar" priority="4">
      <dataBar>
        <cfvo type="min"/>
        <cfvo type="max"/>
        <color rgb="FF008AEF"/>
      </dataBar>
      <extLst>
        <ext xmlns:x14="http://schemas.microsoft.com/office/spreadsheetml/2009/9/main" uri="{B025F937-C7B1-47D3-B67F-A62EFF666E3E}">
          <x14:id>{5CAFDBB2-5EFB-40CC-9538-4B0ED8544CEE}</x14:id>
        </ext>
      </extLst>
    </cfRule>
  </conditionalFormatting>
  <conditionalFormatting sqref="C5:D5">
    <cfRule type="dataBar" priority="5">
      <dataBar>
        <cfvo type="min"/>
        <cfvo type="max"/>
        <color rgb="FF008AEF"/>
      </dataBar>
      <extLst>
        <ext xmlns:x14="http://schemas.microsoft.com/office/spreadsheetml/2009/9/main" uri="{B025F937-C7B1-47D3-B67F-A62EFF666E3E}">
          <x14:id>{604B5C5B-202D-4B49-81A0-D7E581F96FDF}</x14:id>
        </ext>
      </extLst>
    </cfRule>
  </conditionalFormatting>
  <conditionalFormatting sqref="C6:D6">
    <cfRule type="dataBar" priority="6">
      <dataBar>
        <cfvo type="min"/>
        <cfvo type="max"/>
        <color rgb="FF008AEF"/>
      </dataBar>
      <extLst>
        <ext xmlns:x14="http://schemas.microsoft.com/office/spreadsheetml/2009/9/main" uri="{B025F937-C7B1-47D3-B67F-A62EFF666E3E}">
          <x14:id>{1D8F8D94-25F6-4430-A4EA-F6E87675760D}</x14:id>
        </ext>
      </extLst>
    </cfRule>
  </conditionalFormatting>
  <conditionalFormatting sqref="C7:D7">
    <cfRule type="dataBar" priority="7">
      <dataBar>
        <cfvo type="min"/>
        <cfvo type="max"/>
        <color rgb="FF008AEF"/>
      </dataBar>
      <extLst>
        <ext xmlns:x14="http://schemas.microsoft.com/office/spreadsheetml/2009/9/main" uri="{B025F937-C7B1-47D3-B67F-A62EFF666E3E}">
          <x14:id>{1A0FF713-BA30-40D9-88AA-F6429D707572}</x14:id>
        </ext>
      </extLst>
    </cfRule>
  </conditionalFormatting>
  <conditionalFormatting sqref="C8:D8">
    <cfRule type="dataBar" priority="8">
      <dataBar>
        <cfvo type="min"/>
        <cfvo type="max"/>
        <color rgb="FF008AEF"/>
      </dataBar>
      <extLst>
        <ext xmlns:x14="http://schemas.microsoft.com/office/spreadsheetml/2009/9/main" uri="{B025F937-C7B1-47D3-B67F-A62EFF666E3E}">
          <x14:id>{D222C49C-4D0D-4368-81B2-8A4DFE3A5E3B}</x14:id>
        </ext>
      </extLst>
    </cfRule>
  </conditionalFormatting>
  <conditionalFormatting sqref="C9:D9">
    <cfRule type="dataBar" priority="9">
      <dataBar>
        <cfvo type="min"/>
        <cfvo type="max"/>
        <color rgb="FF008AEF"/>
      </dataBar>
      <extLst>
        <ext xmlns:x14="http://schemas.microsoft.com/office/spreadsheetml/2009/9/main" uri="{B025F937-C7B1-47D3-B67F-A62EFF666E3E}">
          <x14:id>{64C04BFC-6F7A-4C1D-925E-C9C047F7E31B}</x14:id>
        </ext>
      </extLst>
    </cfRule>
  </conditionalFormatting>
  <conditionalFormatting sqref="C10:D10">
    <cfRule type="dataBar" priority="10">
      <dataBar>
        <cfvo type="min"/>
        <cfvo type="max"/>
        <color rgb="FF008AEF"/>
      </dataBar>
      <extLst>
        <ext xmlns:x14="http://schemas.microsoft.com/office/spreadsheetml/2009/9/main" uri="{B025F937-C7B1-47D3-B67F-A62EFF666E3E}">
          <x14:id>{5CA5A8DA-0AA9-4973-BAB4-49DA4DC7A824}</x14:id>
        </ext>
      </extLst>
    </cfRule>
  </conditionalFormatting>
  <conditionalFormatting sqref="C11:D11">
    <cfRule type="dataBar" priority="12">
      <dataBar>
        <cfvo type="min"/>
        <cfvo type="max"/>
        <color rgb="FF008AEF"/>
      </dataBar>
      <extLst>
        <ext xmlns:x14="http://schemas.microsoft.com/office/spreadsheetml/2009/9/main" uri="{B025F937-C7B1-47D3-B67F-A62EFF666E3E}">
          <x14:id>{EAD38226-6AEF-46F7-B075-B40AFB269759}</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{45C515CB-D02E-4B2B-94FF-63663EAC6F3D}</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{4BDD640D-6CB2-403F-B705-B7C1EF3265A9}</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{75CCAA06-D082-40D4-AAF2-66D3AC0D75D9}</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{BD041E76-D21E-49B1-9B7C-3350DF57BE5C}</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{8936BD16-AB53-464F-90EF-0076752FD4DD}</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{419B081A-786D-460C-84FF-C64651C6FAC8}</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{901E6521-93AD-4F54-A964-D06D32674BC4}</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{6F9F0C3C-1DDA-4057-A154-4396AF5E50B5}</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{326A3F7A-B4ED-4603-8836-1F1515A68448}</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{6FE67E80-BBA9-4767-A842-8B145E00DD19}</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{7703ABD8-5202-4343-920E-4D922E03F65B}</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{94F5A338-CF73-4CF7-B3AB-0243562F5842}</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{5F50E9D8-E77B-4134-B7A0-196B328345AE}</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{911CDCE6-835E-4C5F-ADAD-5D0CC122CAC3}</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{61086D9F-65B0-4A9C-8697-5B7AE1C887B5}</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{F4FAAD1C-D901-407C-B904-6F0D9CE972C4}</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{2DD7E708-9006-496F-99BE-32A7A7EE7D12}</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{261A8227-0F62-47EE-918F-8AC9DC893A40}</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{E485D499-24C7-4E45-9E8C-ABE1826E97E5}</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{6B6D8881-2201-4B13-8E0F-3502BC67BF5E}</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{41FD3164-505B-45C1-9BB6-AEB6C18F845C}</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{4422D7CB-2C1B-41CF-904D-ADB9C3D6C4A8}</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{C0D9D3FE-4F3F-494E-8D21-25F70FC6F53A}</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{F7F9FA99-E4C3-4420-BF5A-18872B09158A}</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{0C4FA5C2-8989-402E-A5EE-1E43476B561A}</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{74832D1E-5C8E-4FB6-9C90-62399DD3C7C2}</x14:id>
        </ext>
      </extLst>
    </cfRule>
  </conditionalFormatting>
  <conditionalFormatting sqref="C38:D38">
    <cfRule type="dataBar" priority="13">
      <dataBar>
        <cfvo type="min"/>
        <cfvo type="max"/>
        <color rgb="FF008AEF"/>
      </dataBar>
      <extLst>
        <ext xmlns:x14="http://schemas.microsoft.com/office/spreadsheetml/2009/9/main" uri="{B025F937-C7B1-47D3-B67F-A62EFF666E3E}">
          <x14:id>{B195BC4D-6AB1-433A-B713-1B447FE8E2D7}</x14:id>
        </ext>
      </extLst>
    </cfRule>
  </conditionalFormatting>
  <conditionalFormatting sqref="E3:F34 E35:O38">
    <cfRule type="cellIs" dxfId="10" priority="1" operator="greaterThan">
      <formula>0</formula>
    </cfRule>
  </conditionalFormatting>
  <conditionalFormatting sqref="G11:O34">
    <cfRule type="cellIs" dxfId="9" priority="11" operator="greaterThan">
      <formula>0</formula>
    </cfRule>
  </conditionalFormatting>
  <conditionalFormatting sqref="G3:P10">
    <cfRule type="cellIs" dxfId="8"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F4D8127A-DB2A-4DF4-9D3A-EC9AA4FE245B}">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5CAFDBB2-5EFB-40CC-9538-4B0ED8544CEE}">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04B5C5B-202D-4B49-81A0-D7E581F96FDF}">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1D8F8D94-25F6-4430-A4EA-F6E87675760D}">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1A0FF713-BA30-40D9-88AA-F6429D707572}">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D222C49C-4D0D-4368-81B2-8A4DFE3A5E3B}">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64C04BFC-6F7A-4C1D-925E-C9C047F7E31B}">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5CA5A8DA-0AA9-4973-BAB4-49DA4DC7A82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EAD38226-6AEF-46F7-B075-B40AFB269759}">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45C515CB-D02E-4B2B-94FF-63663EAC6F3D}">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4BDD640D-6CB2-403F-B705-B7C1EF3265A9}">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75CCAA06-D082-40D4-AAF2-66D3AC0D75D9}">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BD041E76-D21E-49B1-9B7C-3350DF57BE5C}">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8936BD16-AB53-464F-90EF-0076752FD4DD}">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419B081A-786D-460C-84FF-C64651C6FAC8}">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901E6521-93AD-4F54-A964-D06D32674BC4}">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6F9F0C3C-1DDA-4057-A154-4396AF5E50B5}">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326A3F7A-B4ED-4603-8836-1F1515A68448}">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6FE67E80-BBA9-4767-A842-8B145E00DD19}">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7703ABD8-5202-4343-920E-4D922E03F65B}">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94F5A338-CF73-4CF7-B3AB-0243562F5842}">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5F50E9D8-E77B-4134-B7A0-196B328345AE}">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11CDCE6-835E-4C5F-ADAD-5D0CC122CAC3}">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61086D9F-65B0-4A9C-8697-5B7AE1C887B5}">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F4FAAD1C-D901-407C-B904-6F0D9CE972C4}">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2DD7E708-9006-496F-99BE-32A7A7EE7D12}">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261A8227-0F62-47EE-918F-8AC9DC893A40}">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E485D499-24C7-4E45-9E8C-ABE1826E97E5}">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6B6D8881-2201-4B13-8E0F-3502BC67BF5E}">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41FD3164-505B-45C1-9BB6-AEB6C18F845C}">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4422D7CB-2C1B-41CF-904D-ADB9C3D6C4A8}">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C0D9D3FE-4F3F-494E-8D21-25F70FC6F53A}">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F7F9FA99-E4C3-4420-BF5A-18872B09158A}">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0C4FA5C2-8989-402E-A5EE-1E43476B561A}">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74832D1E-5C8E-4FB6-9C90-62399DD3C7C2}">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B195BC4D-6AB1-433A-B713-1B447FE8E2D7}">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Q40"/>
  <sheetViews>
    <sheetView topLeftCell="B1" zoomScale="80" zoomScaleNormal="80" workbookViewId="0">
      <selection activeCell="K8" sqref="K8"/>
    </sheetView>
  </sheetViews>
  <sheetFormatPr baseColWidth="10" defaultColWidth="11.42578125" defaultRowHeight="15" x14ac:dyDescent="0.25"/>
  <cols>
    <col min="1" max="1" width="7.5703125" style="2" customWidth="1"/>
    <col min="2" max="2" width="86.28515625" style="2" customWidth="1"/>
    <col min="3" max="3" width="11.42578125" style="2"/>
    <col min="4" max="4" width="22.42578125" style="2" customWidth="1"/>
    <col min="5" max="9" width="17.28515625" style="2" customWidth="1"/>
    <col min="10" max="16384" width="11.42578125" style="2"/>
  </cols>
  <sheetData>
    <row r="1" spans="1:17" ht="61.5" customHeight="1" x14ac:dyDescent="0.25">
      <c r="A1" s="62" t="s">
        <v>1</v>
      </c>
      <c r="B1" s="29" t="s">
        <v>47</v>
      </c>
      <c r="C1" s="1" t="s">
        <v>2</v>
      </c>
      <c r="D1" s="1" t="s">
        <v>3</v>
      </c>
      <c r="E1" s="1" t="s">
        <v>3</v>
      </c>
      <c r="F1" s="1" t="s">
        <v>4</v>
      </c>
      <c r="G1" s="1" t="s">
        <v>5</v>
      </c>
      <c r="H1" s="1" t="s">
        <v>6</v>
      </c>
      <c r="I1" s="1" t="s">
        <v>7</v>
      </c>
      <c r="J1" s="1" t="s">
        <v>8</v>
      </c>
      <c r="K1" s="1" t="s">
        <v>9</v>
      </c>
      <c r="L1" s="1" t="s">
        <v>10</v>
      </c>
      <c r="M1" s="1" t="s">
        <v>11</v>
      </c>
      <c r="N1" s="1" t="s">
        <v>12</v>
      </c>
      <c r="O1" s="1" t="s">
        <v>13</v>
      </c>
      <c r="P1" s="1" t="s">
        <v>14</v>
      </c>
      <c r="Q1" s="1" t="s">
        <v>15</v>
      </c>
    </row>
    <row r="2" spans="1:17" s="3" customFormat="1" ht="15.75" thickBot="1" x14ac:dyDescent="0.3">
      <c r="A2" s="63"/>
      <c r="B2" s="29"/>
      <c r="C2" s="30">
        <v>2026</v>
      </c>
      <c r="D2" s="30" t="s">
        <v>16</v>
      </c>
      <c r="E2" s="30" t="s">
        <v>16</v>
      </c>
      <c r="F2" s="31"/>
      <c r="G2" s="31"/>
      <c r="H2" s="31"/>
      <c r="I2" s="31"/>
      <c r="J2" s="31"/>
      <c r="K2" s="31"/>
      <c r="L2" s="31"/>
      <c r="M2" s="31"/>
      <c r="N2" s="31"/>
      <c r="O2" s="31"/>
      <c r="P2" s="31"/>
      <c r="Q2" s="31"/>
    </row>
    <row r="3" spans="1:17" ht="81" customHeight="1" x14ac:dyDescent="0.25">
      <c r="A3" s="52" t="s">
        <v>18</v>
      </c>
      <c r="B3" s="4" t="s">
        <v>17</v>
      </c>
      <c r="C3" s="34">
        <v>2</v>
      </c>
      <c r="D3" s="35">
        <f>SUM(E3:Q3)</f>
        <v>0</v>
      </c>
      <c r="E3" s="36"/>
      <c r="F3" s="36"/>
      <c r="G3" s="36"/>
      <c r="H3" s="36"/>
      <c r="I3" s="36"/>
      <c r="J3" s="36"/>
      <c r="K3" s="36"/>
      <c r="L3" s="36"/>
      <c r="M3" s="36"/>
      <c r="N3" s="36"/>
      <c r="O3" s="36"/>
      <c r="P3" s="36"/>
      <c r="Q3" s="36"/>
    </row>
    <row r="4" spans="1:17" ht="81" customHeight="1" x14ac:dyDescent="0.25">
      <c r="A4" s="53" t="s">
        <v>20</v>
      </c>
      <c r="B4" s="23" t="s">
        <v>19</v>
      </c>
      <c r="C4" s="39">
        <v>2</v>
      </c>
      <c r="D4" s="35">
        <f t="shared" ref="D4:D10" si="0">SUM(E4:Q4)</f>
        <v>0</v>
      </c>
      <c r="E4" s="36"/>
      <c r="F4" s="36">
        <v>0</v>
      </c>
      <c r="G4" s="36">
        <v>0</v>
      </c>
      <c r="H4" s="36">
        <v>0</v>
      </c>
      <c r="I4" s="36">
        <v>0</v>
      </c>
      <c r="J4" s="36"/>
      <c r="K4" s="36"/>
      <c r="L4" s="36"/>
      <c r="M4" s="36"/>
      <c r="N4" s="36"/>
      <c r="O4" s="36"/>
      <c r="P4" s="36"/>
      <c r="Q4" s="36"/>
    </row>
    <row r="5" spans="1:17" ht="81" customHeight="1" x14ac:dyDescent="0.25">
      <c r="A5" s="52" t="s">
        <v>18</v>
      </c>
      <c r="B5" s="4" t="s">
        <v>21</v>
      </c>
      <c r="C5" s="41">
        <v>1</v>
      </c>
      <c r="D5" s="35">
        <f t="shared" si="0"/>
        <v>0</v>
      </c>
      <c r="E5" s="36"/>
      <c r="F5" s="36"/>
      <c r="G5" s="36"/>
      <c r="H5" s="36"/>
      <c r="I5" s="36"/>
      <c r="J5" s="36"/>
      <c r="K5" s="36"/>
      <c r="L5" s="36"/>
      <c r="M5" s="36"/>
      <c r="N5" s="36"/>
      <c r="O5" s="36"/>
      <c r="P5" s="36"/>
      <c r="Q5" s="36"/>
    </row>
    <row r="6" spans="1:17" ht="81" customHeight="1" x14ac:dyDescent="0.25">
      <c r="A6" s="54" t="s">
        <v>23</v>
      </c>
      <c r="B6" s="8" t="s">
        <v>48</v>
      </c>
      <c r="C6" s="44">
        <v>1</v>
      </c>
      <c r="D6" s="35">
        <f t="shared" si="0"/>
        <v>1</v>
      </c>
      <c r="E6" s="36"/>
      <c r="F6" s="36">
        <v>0</v>
      </c>
      <c r="G6" s="36">
        <v>0</v>
      </c>
      <c r="H6" s="36">
        <v>0</v>
      </c>
      <c r="I6" s="36">
        <v>0</v>
      </c>
      <c r="J6" s="36"/>
      <c r="K6" s="36">
        <v>1</v>
      </c>
      <c r="L6" s="36"/>
      <c r="M6" s="36"/>
      <c r="N6" s="36"/>
      <c r="O6" s="36"/>
      <c r="P6" s="36"/>
      <c r="Q6" s="36"/>
    </row>
    <row r="7" spans="1:17" ht="81" customHeight="1" x14ac:dyDescent="0.25">
      <c r="A7" s="52" t="s">
        <v>18</v>
      </c>
      <c r="B7" s="4" t="s">
        <v>24</v>
      </c>
      <c r="C7" s="44">
        <v>2</v>
      </c>
      <c r="D7" s="35">
        <f t="shared" si="0"/>
        <v>1</v>
      </c>
      <c r="E7" s="36"/>
      <c r="F7" s="36"/>
      <c r="G7" s="36"/>
      <c r="H7" s="36"/>
      <c r="I7" s="36"/>
      <c r="J7" s="36">
        <v>1</v>
      </c>
      <c r="K7" s="36"/>
      <c r="L7" s="36"/>
      <c r="M7" s="36"/>
      <c r="N7" s="36"/>
      <c r="O7" s="36"/>
      <c r="P7" s="36"/>
      <c r="Q7" s="36"/>
    </row>
    <row r="8" spans="1:17" ht="81" customHeight="1" x14ac:dyDescent="0.25">
      <c r="A8" s="52" t="s">
        <v>18</v>
      </c>
      <c r="B8" s="4" t="s">
        <v>25</v>
      </c>
      <c r="C8" s="44">
        <v>1</v>
      </c>
      <c r="D8" s="35">
        <f t="shared" si="0"/>
        <v>0</v>
      </c>
      <c r="E8" s="36"/>
      <c r="F8" s="36"/>
      <c r="G8" s="36"/>
      <c r="H8" s="36"/>
      <c r="I8" s="36"/>
      <c r="J8" s="36"/>
      <c r="K8" s="36"/>
      <c r="L8" s="36"/>
      <c r="M8" s="36"/>
      <c r="N8" s="36"/>
      <c r="O8" s="36"/>
      <c r="P8" s="36"/>
      <c r="Q8" s="36"/>
    </row>
    <row r="9" spans="1:17" ht="81" customHeight="1" x14ac:dyDescent="0.25">
      <c r="A9" s="52" t="s">
        <v>18</v>
      </c>
      <c r="B9" s="4" t="s">
        <v>26</v>
      </c>
      <c r="C9" s="44">
        <v>2</v>
      </c>
      <c r="D9" s="35">
        <f t="shared" si="0"/>
        <v>1</v>
      </c>
      <c r="E9" s="36"/>
      <c r="F9" s="36"/>
      <c r="G9" s="36"/>
      <c r="H9" s="36">
        <v>1</v>
      </c>
      <c r="I9" s="36"/>
      <c r="J9" s="36"/>
      <c r="K9" s="36"/>
      <c r="L9" s="36"/>
      <c r="M9" s="36"/>
      <c r="N9" s="36"/>
      <c r="O9" s="36"/>
      <c r="P9" s="36"/>
      <c r="Q9" s="36"/>
    </row>
    <row r="10" spans="1:17" ht="81" customHeight="1" x14ac:dyDescent="0.25">
      <c r="A10" s="52" t="s">
        <v>18</v>
      </c>
      <c r="B10" s="4" t="s">
        <v>27</v>
      </c>
      <c r="C10" s="44">
        <v>1</v>
      </c>
      <c r="D10" s="35">
        <f t="shared" si="0"/>
        <v>0</v>
      </c>
      <c r="E10" s="36"/>
      <c r="F10" s="36"/>
      <c r="G10" s="36"/>
      <c r="H10" s="36"/>
      <c r="I10" s="36"/>
      <c r="J10" s="36"/>
      <c r="K10" s="36"/>
      <c r="L10" s="36"/>
      <c r="M10" s="36"/>
      <c r="N10" s="36"/>
      <c r="O10" s="36"/>
      <c r="P10" s="36"/>
      <c r="Q10" s="36"/>
    </row>
    <row r="11" spans="1:17" ht="28.5" customHeight="1" x14ac:dyDescent="0.25">
      <c r="A11" s="64" t="s">
        <v>76</v>
      </c>
      <c r="B11" s="45" t="s">
        <v>77</v>
      </c>
      <c r="C11" s="44">
        <v>3</v>
      </c>
      <c r="D11" s="35">
        <f t="shared" ref="D11:D38" si="1">SUM(E11:P11)</f>
        <v>1</v>
      </c>
      <c r="E11" s="36"/>
      <c r="F11" s="36"/>
      <c r="G11" s="36"/>
      <c r="H11" s="36"/>
      <c r="I11" s="36"/>
      <c r="J11" s="36">
        <v>1</v>
      </c>
      <c r="K11" s="36"/>
      <c r="L11" s="36"/>
      <c r="M11" s="36"/>
      <c r="N11" s="36"/>
      <c r="O11" s="36"/>
      <c r="P11" s="36"/>
      <c r="Q11" s="46"/>
    </row>
    <row r="12" spans="1:17" ht="28.5" customHeight="1" x14ac:dyDescent="0.25">
      <c r="A12" s="65"/>
      <c r="B12" s="45" t="s">
        <v>78</v>
      </c>
      <c r="C12" s="44">
        <v>3</v>
      </c>
      <c r="D12" s="35">
        <f t="shared" si="1"/>
        <v>0</v>
      </c>
      <c r="E12" s="36"/>
      <c r="F12" s="36"/>
      <c r="G12" s="36"/>
      <c r="H12" s="36"/>
      <c r="I12" s="36"/>
      <c r="J12" s="36"/>
      <c r="K12" s="36"/>
      <c r="L12" s="36"/>
      <c r="M12" s="36"/>
      <c r="N12" s="36"/>
      <c r="O12" s="36"/>
      <c r="P12" s="36"/>
      <c r="Q12" s="46"/>
    </row>
    <row r="13" spans="1:17" ht="28.5" customHeight="1" x14ac:dyDescent="0.25">
      <c r="A13" s="65"/>
      <c r="B13" s="45" t="s">
        <v>79</v>
      </c>
      <c r="C13" s="44">
        <v>28</v>
      </c>
      <c r="D13" s="35">
        <f t="shared" si="1"/>
        <v>11</v>
      </c>
      <c r="E13" s="36"/>
      <c r="F13" s="36">
        <v>4</v>
      </c>
      <c r="G13" s="36">
        <v>4</v>
      </c>
      <c r="H13" s="36">
        <v>2</v>
      </c>
      <c r="I13" s="36"/>
      <c r="J13" s="36">
        <v>1</v>
      </c>
      <c r="K13" s="36"/>
      <c r="L13" s="36"/>
      <c r="M13" s="36"/>
      <c r="N13" s="36"/>
      <c r="O13" s="36"/>
      <c r="P13" s="36"/>
      <c r="Q13" s="46"/>
    </row>
    <row r="14" spans="1:17" ht="28.5" customHeight="1" x14ac:dyDescent="0.25">
      <c r="A14" s="65"/>
      <c r="B14" s="45" t="s">
        <v>80</v>
      </c>
      <c r="C14" s="44">
        <v>41</v>
      </c>
      <c r="D14" s="35">
        <f t="shared" si="1"/>
        <v>14</v>
      </c>
      <c r="E14" s="36"/>
      <c r="F14" s="36"/>
      <c r="G14" s="36">
        <v>7</v>
      </c>
      <c r="H14" s="36">
        <v>7</v>
      </c>
      <c r="I14" s="36"/>
      <c r="J14" s="36"/>
      <c r="K14" s="36"/>
      <c r="L14" s="36"/>
      <c r="M14" s="36"/>
      <c r="N14" s="36"/>
      <c r="O14" s="36"/>
      <c r="P14" s="36"/>
      <c r="Q14" s="46"/>
    </row>
    <row r="15" spans="1:17" ht="28.5" customHeight="1" x14ac:dyDescent="0.25">
      <c r="A15" s="65"/>
      <c r="B15" s="45" t="s">
        <v>81</v>
      </c>
      <c r="C15" s="44">
        <v>2</v>
      </c>
      <c r="D15" s="35">
        <f t="shared" si="1"/>
        <v>0</v>
      </c>
      <c r="E15" s="36"/>
      <c r="F15" s="36"/>
      <c r="G15" s="36"/>
      <c r="H15" s="36"/>
      <c r="I15" s="36"/>
      <c r="J15" s="36"/>
      <c r="K15" s="36"/>
      <c r="L15" s="36"/>
      <c r="M15" s="36"/>
      <c r="N15" s="36"/>
      <c r="O15" s="36"/>
      <c r="P15" s="36"/>
      <c r="Q15" s="46"/>
    </row>
    <row r="16" spans="1:17" ht="28.5" customHeight="1" x14ac:dyDescent="0.25">
      <c r="A16" s="65"/>
      <c r="B16" s="45" t="s">
        <v>82</v>
      </c>
      <c r="C16" s="44">
        <v>2</v>
      </c>
      <c r="D16" s="35">
        <f t="shared" si="1"/>
        <v>0</v>
      </c>
      <c r="E16" s="36"/>
      <c r="F16" s="36"/>
      <c r="G16" s="36"/>
      <c r="H16" s="36"/>
      <c r="I16" s="36"/>
      <c r="J16" s="36"/>
      <c r="K16" s="36"/>
      <c r="L16" s="36"/>
      <c r="M16" s="36"/>
      <c r="N16" s="36"/>
      <c r="O16" s="36"/>
      <c r="P16" s="36"/>
      <c r="Q16" s="46"/>
    </row>
    <row r="17" spans="1:17" ht="28.5" customHeight="1" x14ac:dyDescent="0.25">
      <c r="A17" s="65"/>
      <c r="B17" s="45" t="s">
        <v>83</v>
      </c>
      <c r="C17" s="44">
        <v>0</v>
      </c>
      <c r="D17" s="35">
        <f t="shared" si="1"/>
        <v>0</v>
      </c>
      <c r="E17" s="36"/>
      <c r="F17" s="36"/>
      <c r="G17" s="36"/>
      <c r="H17" s="36"/>
      <c r="I17" s="36"/>
      <c r="J17" s="36"/>
      <c r="K17" s="36"/>
      <c r="L17" s="36"/>
      <c r="M17" s="36"/>
      <c r="N17" s="36"/>
      <c r="O17" s="36"/>
      <c r="P17" s="36"/>
      <c r="Q17" s="46"/>
    </row>
    <row r="18" spans="1:17" ht="28.5" customHeight="1" x14ac:dyDescent="0.25">
      <c r="A18" s="65"/>
      <c r="B18" s="45" t="s">
        <v>84</v>
      </c>
      <c r="C18" s="44">
        <v>0</v>
      </c>
      <c r="D18" s="35">
        <f t="shared" si="1"/>
        <v>0</v>
      </c>
      <c r="E18" s="36"/>
      <c r="F18" s="36"/>
      <c r="G18" s="36"/>
      <c r="H18" s="36"/>
      <c r="I18" s="36"/>
      <c r="J18" s="36"/>
      <c r="K18" s="36"/>
      <c r="L18" s="36"/>
      <c r="M18" s="36"/>
      <c r="N18" s="36"/>
      <c r="O18" s="36"/>
      <c r="P18" s="36"/>
      <c r="Q18" s="46"/>
    </row>
    <row r="19" spans="1:17" ht="28.5" customHeight="1" x14ac:dyDescent="0.25">
      <c r="A19" s="65"/>
      <c r="B19" s="45" t="s">
        <v>85</v>
      </c>
      <c r="C19" s="44">
        <v>0</v>
      </c>
      <c r="D19" s="35">
        <f t="shared" si="1"/>
        <v>0</v>
      </c>
      <c r="E19" s="36"/>
      <c r="F19" s="36"/>
      <c r="G19" s="36"/>
      <c r="H19" s="36"/>
      <c r="I19" s="36"/>
      <c r="J19" s="36"/>
      <c r="K19" s="36"/>
      <c r="L19" s="36"/>
      <c r="M19" s="36"/>
      <c r="N19" s="36"/>
      <c r="O19" s="36"/>
      <c r="P19" s="36"/>
      <c r="Q19" s="46"/>
    </row>
    <row r="20" spans="1:17" ht="28.5" customHeight="1" x14ac:dyDescent="0.25">
      <c r="A20" s="65"/>
      <c r="B20" s="45" t="s">
        <v>86</v>
      </c>
      <c r="C20" s="44">
        <v>0</v>
      </c>
      <c r="D20" s="35">
        <f t="shared" si="1"/>
        <v>0</v>
      </c>
      <c r="E20" s="36"/>
      <c r="F20" s="36"/>
      <c r="G20" s="36"/>
      <c r="H20" s="36"/>
      <c r="I20" s="36"/>
      <c r="J20" s="36"/>
      <c r="K20" s="36"/>
      <c r="L20" s="36"/>
      <c r="M20" s="36"/>
      <c r="N20" s="36"/>
      <c r="O20" s="36"/>
      <c r="P20" s="36"/>
      <c r="Q20" s="46"/>
    </row>
    <row r="21" spans="1:17" ht="28.5" customHeight="1" x14ac:dyDescent="0.25">
      <c r="A21" s="65"/>
      <c r="B21" s="45" t="s">
        <v>87</v>
      </c>
      <c r="C21" s="44">
        <v>0</v>
      </c>
      <c r="D21" s="35">
        <f t="shared" si="1"/>
        <v>0</v>
      </c>
      <c r="E21" s="36"/>
      <c r="F21" s="36"/>
      <c r="G21" s="36"/>
      <c r="H21" s="36"/>
      <c r="I21" s="36"/>
      <c r="J21" s="36"/>
      <c r="K21" s="36"/>
      <c r="L21" s="36"/>
      <c r="M21" s="36"/>
      <c r="N21" s="36"/>
      <c r="O21" s="36"/>
      <c r="P21" s="36"/>
      <c r="Q21" s="46"/>
    </row>
    <row r="22" spans="1:17" ht="28.5" customHeight="1" x14ac:dyDescent="0.25">
      <c r="A22" s="65"/>
      <c r="B22" s="45" t="s">
        <v>88</v>
      </c>
      <c r="C22" s="44">
        <v>0</v>
      </c>
      <c r="D22" s="35">
        <f t="shared" si="1"/>
        <v>0</v>
      </c>
      <c r="E22" s="36"/>
      <c r="F22" s="36"/>
      <c r="G22" s="36"/>
      <c r="H22" s="36"/>
      <c r="I22" s="36"/>
      <c r="J22" s="36"/>
      <c r="K22" s="36"/>
      <c r="L22" s="36"/>
      <c r="M22" s="36"/>
      <c r="N22" s="36"/>
      <c r="O22" s="36"/>
      <c r="P22" s="36"/>
      <c r="Q22" s="46"/>
    </row>
    <row r="23" spans="1:17" ht="28.5" customHeight="1" x14ac:dyDescent="0.25">
      <c r="A23" s="65"/>
      <c r="B23" s="45" t="s">
        <v>89</v>
      </c>
      <c r="C23" s="44">
        <v>0</v>
      </c>
      <c r="D23" s="35">
        <f t="shared" si="1"/>
        <v>0</v>
      </c>
      <c r="E23" s="36"/>
      <c r="F23" s="36"/>
      <c r="G23" s="36"/>
      <c r="H23" s="36"/>
      <c r="I23" s="36"/>
      <c r="J23" s="36"/>
      <c r="K23" s="36"/>
      <c r="L23" s="36"/>
      <c r="M23" s="36"/>
      <c r="N23" s="36"/>
      <c r="O23" s="36"/>
      <c r="P23" s="36"/>
      <c r="Q23" s="46"/>
    </row>
    <row r="24" spans="1:17" ht="28.5" customHeight="1" x14ac:dyDescent="0.25">
      <c r="A24" s="65"/>
      <c r="B24" s="45" t="s">
        <v>90</v>
      </c>
      <c r="C24" s="44">
        <v>0</v>
      </c>
      <c r="D24" s="35">
        <f t="shared" si="1"/>
        <v>0</v>
      </c>
      <c r="E24" s="36"/>
      <c r="F24" s="36"/>
      <c r="G24" s="36"/>
      <c r="H24" s="36"/>
      <c r="I24" s="36"/>
      <c r="J24" s="36"/>
      <c r="K24" s="36"/>
      <c r="L24" s="36"/>
      <c r="M24" s="36"/>
      <c r="N24" s="36"/>
      <c r="O24" s="36"/>
      <c r="P24" s="36"/>
      <c r="Q24" s="46"/>
    </row>
    <row r="25" spans="1:17" ht="28.5" customHeight="1" x14ac:dyDescent="0.25">
      <c r="A25" s="65"/>
      <c r="B25" s="45" t="s">
        <v>91</v>
      </c>
      <c r="C25" s="44">
        <v>52</v>
      </c>
      <c r="D25" s="35">
        <f t="shared" si="1"/>
        <v>26</v>
      </c>
      <c r="E25" s="36"/>
      <c r="F25" s="36">
        <v>13</v>
      </c>
      <c r="G25" s="36"/>
      <c r="H25" s="36">
        <v>13</v>
      </c>
      <c r="I25" s="36"/>
      <c r="J25" s="36"/>
      <c r="K25" s="36"/>
      <c r="L25" s="36"/>
      <c r="M25" s="36"/>
      <c r="N25" s="36"/>
      <c r="O25" s="36"/>
      <c r="P25" s="36"/>
      <c r="Q25" s="46"/>
    </row>
    <row r="26" spans="1:17" ht="28.5" customHeight="1" x14ac:dyDescent="0.25">
      <c r="A26" s="65"/>
      <c r="B26" s="45" t="s">
        <v>92</v>
      </c>
      <c r="C26" s="44">
        <v>2</v>
      </c>
      <c r="D26" s="35">
        <f t="shared" si="1"/>
        <v>0</v>
      </c>
      <c r="E26" s="36"/>
      <c r="F26" s="36"/>
      <c r="G26" s="36"/>
      <c r="H26" s="36"/>
      <c r="I26" s="36"/>
      <c r="J26" s="36"/>
      <c r="K26" s="36"/>
      <c r="L26" s="36"/>
      <c r="M26" s="36"/>
      <c r="N26" s="36"/>
      <c r="O26" s="36"/>
      <c r="P26" s="36"/>
      <c r="Q26" s="46"/>
    </row>
    <row r="27" spans="1:17" ht="24" customHeight="1" x14ac:dyDescent="0.25">
      <c r="A27" s="65"/>
      <c r="B27" s="47" t="s">
        <v>93</v>
      </c>
      <c r="C27" s="44">
        <v>5</v>
      </c>
      <c r="D27" s="35">
        <f t="shared" si="1"/>
        <v>3</v>
      </c>
      <c r="E27" s="36"/>
      <c r="F27" s="36"/>
      <c r="G27" s="36">
        <v>3</v>
      </c>
      <c r="H27" s="36"/>
      <c r="I27" s="36"/>
      <c r="J27" s="36"/>
      <c r="K27" s="36"/>
      <c r="L27" s="36"/>
      <c r="M27" s="36"/>
      <c r="N27" s="36"/>
      <c r="O27" s="36"/>
      <c r="P27" s="36"/>
      <c r="Q27" s="46"/>
    </row>
    <row r="28" spans="1:17" ht="24" customHeight="1" x14ac:dyDescent="0.25">
      <c r="A28" s="65"/>
      <c r="B28" s="47" t="s">
        <v>94</v>
      </c>
      <c r="C28" s="44">
        <v>5</v>
      </c>
      <c r="D28" s="35">
        <f t="shared" si="1"/>
        <v>5</v>
      </c>
      <c r="E28" s="36"/>
      <c r="F28" s="36"/>
      <c r="G28" s="36"/>
      <c r="H28" s="36">
        <v>5</v>
      </c>
      <c r="I28" s="36"/>
      <c r="J28" s="36"/>
      <c r="K28" s="36"/>
      <c r="L28" s="36"/>
      <c r="M28" s="36"/>
      <c r="N28" s="36"/>
      <c r="O28" s="36"/>
      <c r="P28" s="36"/>
      <c r="Q28" s="46"/>
    </row>
    <row r="29" spans="1:17" ht="24" customHeight="1" x14ac:dyDescent="0.25">
      <c r="A29" s="65"/>
      <c r="B29" s="47" t="s">
        <v>95</v>
      </c>
      <c r="C29" s="44">
        <v>5</v>
      </c>
      <c r="D29" s="35">
        <f t="shared" si="1"/>
        <v>5</v>
      </c>
      <c r="E29" s="36"/>
      <c r="F29" s="36"/>
      <c r="G29" s="36"/>
      <c r="H29" s="36"/>
      <c r="I29" s="36"/>
      <c r="J29" s="36">
        <v>5</v>
      </c>
      <c r="K29" s="36"/>
      <c r="L29" s="36"/>
      <c r="M29" s="36"/>
      <c r="N29" s="36"/>
      <c r="O29" s="36"/>
      <c r="P29" s="36"/>
      <c r="Q29" s="46"/>
    </row>
    <row r="30" spans="1:17" ht="24" customHeight="1" x14ac:dyDescent="0.25">
      <c r="A30" s="65"/>
      <c r="B30" s="47" t="s">
        <v>96</v>
      </c>
      <c r="C30" s="44">
        <v>5</v>
      </c>
      <c r="D30" s="35">
        <f t="shared" si="1"/>
        <v>0</v>
      </c>
      <c r="E30" s="36"/>
      <c r="F30" s="36"/>
      <c r="G30" s="36"/>
      <c r="H30" s="36"/>
      <c r="I30" s="36"/>
      <c r="J30" s="36"/>
      <c r="K30" s="36"/>
      <c r="L30" s="36"/>
      <c r="M30" s="36"/>
      <c r="N30" s="36"/>
      <c r="O30" s="36"/>
      <c r="P30" s="36"/>
      <c r="Q30" s="46"/>
    </row>
    <row r="31" spans="1:17" ht="24" customHeight="1" x14ac:dyDescent="0.25">
      <c r="A31" s="65"/>
      <c r="B31" s="47" t="s">
        <v>97</v>
      </c>
      <c r="C31" s="44">
        <v>5</v>
      </c>
      <c r="D31" s="35">
        <f t="shared" si="1"/>
        <v>0</v>
      </c>
      <c r="E31" s="36"/>
      <c r="F31" s="36"/>
      <c r="G31" s="36"/>
      <c r="H31" s="36"/>
      <c r="I31" s="36"/>
      <c r="J31" s="36"/>
      <c r="K31" s="36"/>
      <c r="L31" s="36"/>
      <c r="M31" s="36"/>
      <c r="N31" s="36"/>
      <c r="O31" s="36"/>
      <c r="P31" s="36"/>
      <c r="Q31" s="46"/>
    </row>
    <row r="32" spans="1:17" ht="24" customHeight="1" x14ac:dyDescent="0.25">
      <c r="A32" s="65"/>
      <c r="B32" s="47" t="s">
        <v>98</v>
      </c>
      <c r="C32" s="44">
        <v>1</v>
      </c>
      <c r="D32" s="35">
        <f t="shared" si="1"/>
        <v>0</v>
      </c>
      <c r="E32" s="36"/>
      <c r="F32" s="36"/>
      <c r="G32" s="36"/>
      <c r="H32" s="36"/>
      <c r="I32" s="36"/>
      <c r="J32" s="36"/>
      <c r="K32" s="36"/>
      <c r="L32" s="36"/>
      <c r="M32" s="36"/>
      <c r="N32" s="36"/>
      <c r="O32" s="36"/>
      <c r="P32" s="36"/>
      <c r="Q32" s="46"/>
    </row>
    <row r="33" spans="1:17" ht="24" customHeight="1" x14ac:dyDescent="0.25">
      <c r="A33" s="65"/>
      <c r="B33" s="47" t="s">
        <v>99</v>
      </c>
      <c r="C33" s="44">
        <v>1</v>
      </c>
      <c r="D33" s="35">
        <f t="shared" si="1"/>
        <v>0</v>
      </c>
      <c r="E33" s="36"/>
      <c r="F33" s="36"/>
      <c r="G33" s="36"/>
      <c r="H33" s="36"/>
      <c r="I33" s="36"/>
      <c r="J33" s="36"/>
      <c r="K33" s="36"/>
      <c r="L33" s="36"/>
      <c r="M33" s="36"/>
      <c r="N33" s="36"/>
      <c r="O33" s="36"/>
      <c r="P33" s="36"/>
      <c r="Q33" s="46"/>
    </row>
    <row r="34" spans="1:17" ht="24" customHeight="1" x14ac:dyDescent="0.25">
      <c r="A34" s="65"/>
      <c r="B34" s="47" t="s">
        <v>100</v>
      </c>
      <c r="C34" s="44">
        <v>1</v>
      </c>
      <c r="D34" s="35">
        <f t="shared" si="1"/>
        <v>0</v>
      </c>
      <c r="E34" s="36"/>
      <c r="F34" s="36"/>
      <c r="G34" s="36"/>
      <c r="H34" s="36"/>
      <c r="I34" s="36"/>
      <c r="J34" s="36"/>
      <c r="K34" s="36"/>
      <c r="L34" s="36"/>
      <c r="M34" s="36"/>
      <c r="N34" s="36"/>
      <c r="O34" s="36"/>
      <c r="P34" s="36"/>
      <c r="Q34" s="46"/>
    </row>
    <row r="35" spans="1:17" ht="24" customHeight="1" x14ac:dyDescent="0.25">
      <c r="A35" s="65"/>
      <c r="B35" s="47" t="s">
        <v>101</v>
      </c>
      <c r="C35" s="44">
        <v>1</v>
      </c>
      <c r="D35" s="35">
        <f t="shared" si="1"/>
        <v>0</v>
      </c>
      <c r="E35" s="36"/>
      <c r="F35" s="36"/>
      <c r="G35" s="36"/>
      <c r="H35" s="36"/>
      <c r="I35" s="36"/>
      <c r="J35" s="36"/>
      <c r="K35" s="36"/>
      <c r="L35" s="36"/>
      <c r="M35" s="36"/>
      <c r="N35" s="36"/>
      <c r="O35" s="36"/>
      <c r="P35" s="36"/>
      <c r="Q35" s="46"/>
    </row>
    <row r="36" spans="1:17" ht="24" customHeight="1" x14ac:dyDescent="0.25">
      <c r="A36" s="65"/>
      <c r="B36" s="47" t="s">
        <v>102</v>
      </c>
      <c r="C36" s="44">
        <v>1</v>
      </c>
      <c r="D36" s="35">
        <f t="shared" si="1"/>
        <v>0</v>
      </c>
      <c r="E36" s="36"/>
      <c r="F36" s="36"/>
      <c r="G36" s="36"/>
      <c r="H36" s="36"/>
      <c r="I36" s="36"/>
      <c r="J36" s="36"/>
      <c r="K36" s="36"/>
      <c r="L36" s="36"/>
      <c r="M36" s="36"/>
      <c r="N36" s="36"/>
      <c r="O36" s="36"/>
      <c r="P36" s="36"/>
      <c r="Q36" s="46"/>
    </row>
    <row r="37" spans="1:17" ht="24" customHeight="1" x14ac:dyDescent="0.25">
      <c r="A37" s="65"/>
      <c r="B37" s="47" t="s">
        <v>103</v>
      </c>
      <c r="C37" s="44">
        <v>1</v>
      </c>
      <c r="D37" s="35">
        <f t="shared" si="1"/>
        <v>0</v>
      </c>
      <c r="E37" s="36"/>
      <c r="F37" s="36"/>
      <c r="G37" s="36"/>
      <c r="H37" s="36"/>
      <c r="I37" s="36"/>
      <c r="J37" s="36"/>
      <c r="K37" s="36"/>
      <c r="L37" s="36"/>
      <c r="M37" s="36"/>
      <c r="N37" s="36"/>
      <c r="O37" s="36"/>
      <c r="P37" s="36"/>
      <c r="Q37" s="46"/>
    </row>
    <row r="38" spans="1:17" ht="24" customHeight="1" thickBot="1" x14ac:dyDescent="0.3">
      <c r="A38" s="66"/>
      <c r="B38" s="48" t="s">
        <v>104</v>
      </c>
      <c r="C38" s="44">
        <v>1</v>
      </c>
      <c r="D38" s="35">
        <f t="shared" si="1"/>
        <v>0</v>
      </c>
      <c r="E38" s="36"/>
      <c r="F38" s="36"/>
      <c r="G38" s="36"/>
      <c r="H38" s="36"/>
      <c r="I38" s="36"/>
      <c r="J38" s="36"/>
      <c r="K38" s="36"/>
      <c r="L38" s="36"/>
      <c r="M38" s="36"/>
      <c r="N38" s="36"/>
      <c r="O38" s="36"/>
      <c r="P38" s="36"/>
      <c r="Q38" s="46"/>
    </row>
    <row r="39" spans="1:17" x14ac:dyDescent="0.25">
      <c r="C39" s="49">
        <f>SUM(C3:C38)</f>
        <v>177</v>
      </c>
      <c r="D39" s="50">
        <f>SUM(D3:D38)</f>
        <v>68</v>
      </c>
    </row>
    <row r="40" spans="1:17" x14ac:dyDescent="0.25">
      <c r="C40" s="10"/>
      <c r="D40" s="51">
        <f>D39/C39</f>
        <v>0.38418079096045199</v>
      </c>
    </row>
  </sheetData>
  <sheetProtection algorithmName="SHA-512" hashValue="mB1Km4unkgazFs/6OKSSMBwfctpdLNzDv+C5gsNGymFnEQj0/04keK9JkH8CiAyOrJuXFp3308bC9nteyt7t8g==" saltValue="zR8RYTu480aWHV10cruwOg==" spinCount="100000" sheet="1" objects="1" scenarios="1" autoFilter="0"/>
  <mergeCells count="2">
    <mergeCell ref="A1:A2"/>
    <mergeCell ref="A11:A38"/>
  </mergeCells>
  <conditionalFormatting sqref="C3:D3 D4:D10">
    <cfRule type="dataBar" priority="3">
      <dataBar>
        <cfvo type="min"/>
        <cfvo type="max"/>
        <color rgb="FF008AEF"/>
      </dataBar>
      <extLst>
        <ext xmlns:x14="http://schemas.microsoft.com/office/spreadsheetml/2009/9/main" uri="{B025F937-C7B1-47D3-B67F-A62EFF666E3E}">
          <x14:id>{0508170B-6D76-480C-B7AA-0D8CAC206C24}</x14:id>
        </ext>
      </extLst>
    </cfRule>
  </conditionalFormatting>
  <conditionalFormatting sqref="C4:D4">
    <cfRule type="dataBar" priority="4">
      <dataBar>
        <cfvo type="min"/>
        <cfvo type="max"/>
        <color rgb="FF008AEF"/>
      </dataBar>
      <extLst>
        <ext xmlns:x14="http://schemas.microsoft.com/office/spreadsheetml/2009/9/main" uri="{B025F937-C7B1-47D3-B67F-A62EFF666E3E}">
          <x14:id>{618D2CDF-8F9E-4989-8FD3-32619DE84C4F}</x14:id>
        </ext>
      </extLst>
    </cfRule>
  </conditionalFormatting>
  <conditionalFormatting sqref="C5:D5">
    <cfRule type="dataBar" priority="5">
      <dataBar>
        <cfvo type="min"/>
        <cfvo type="max"/>
        <color rgb="FF008AEF"/>
      </dataBar>
      <extLst>
        <ext xmlns:x14="http://schemas.microsoft.com/office/spreadsheetml/2009/9/main" uri="{B025F937-C7B1-47D3-B67F-A62EFF666E3E}">
          <x14:id>{473CC695-F801-452C-BEC5-C795879BB49A}</x14:id>
        </ext>
      </extLst>
    </cfRule>
  </conditionalFormatting>
  <conditionalFormatting sqref="C6:D6">
    <cfRule type="dataBar" priority="6">
      <dataBar>
        <cfvo type="min"/>
        <cfvo type="max"/>
        <color rgb="FF008AEF"/>
      </dataBar>
      <extLst>
        <ext xmlns:x14="http://schemas.microsoft.com/office/spreadsheetml/2009/9/main" uri="{B025F937-C7B1-47D3-B67F-A62EFF666E3E}">
          <x14:id>{67B42C65-91DC-46D2-B98E-A8D6329C9414}</x14:id>
        </ext>
      </extLst>
    </cfRule>
  </conditionalFormatting>
  <conditionalFormatting sqref="C7:D7">
    <cfRule type="dataBar" priority="7">
      <dataBar>
        <cfvo type="min"/>
        <cfvo type="max"/>
        <color rgb="FF008AEF"/>
      </dataBar>
      <extLst>
        <ext xmlns:x14="http://schemas.microsoft.com/office/spreadsheetml/2009/9/main" uri="{B025F937-C7B1-47D3-B67F-A62EFF666E3E}">
          <x14:id>{3607AF07-B59A-402B-A3FB-40D5C6438999}</x14:id>
        </ext>
      </extLst>
    </cfRule>
  </conditionalFormatting>
  <conditionalFormatting sqref="C8:D8">
    <cfRule type="dataBar" priority="8">
      <dataBar>
        <cfvo type="min"/>
        <cfvo type="max"/>
        <color rgb="FF008AEF"/>
      </dataBar>
      <extLst>
        <ext xmlns:x14="http://schemas.microsoft.com/office/spreadsheetml/2009/9/main" uri="{B025F937-C7B1-47D3-B67F-A62EFF666E3E}">
          <x14:id>{884AD807-F56D-445B-B1FA-F1F92B919C66}</x14:id>
        </ext>
      </extLst>
    </cfRule>
  </conditionalFormatting>
  <conditionalFormatting sqref="C9:D9">
    <cfRule type="dataBar" priority="9">
      <dataBar>
        <cfvo type="min"/>
        <cfvo type="max"/>
        <color rgb="FF008AEF"/>
      </dataBar>
      <extLst>
        <ext xmlns:x14="http://schemas.microsoft.com/office/spreadsheetml/2009/9/main" uri="{B025F937-C7B1-47D3-B67F-A62EFF666E3E}">
          <x14:id>{F2D86BFD-3DD4-4128-A781-88BE6465F0B1}</x14:id>
        </ext>
      </extLst>
    </cfRule>
  </conditionalFormatting>
  <conditionalFormatting sqref="C10:D10">
    <cfRule type="dataBar" priority="10">
      <dataBar>
        <cfvo type="min"/>
        <cfvo type="max"/>
        <color rgb="FF008AEF"/>
      </dataBar>
      <extLst>
        <ext xmlns:x14="http://schemas.microsoft.com/office/spreadsheetml/2009/9/main" uri="{B025F937-C7B1-47D3-B67F-A62EFF666E3E}">
          <x14:id>{426DD27A-44AF-4C78-B47F-5D08B5EA2255}</x14:id>
        </ext>
      </extLst>
    </cfRule>
  </conditionalFormatting>
  <conditionalFormatting sqref="C11:D11">
    <cfRule type="dataBar" priority="12">
      <dataBar>
        <cfvo type="min"/>
        <cfvo type="max"/>
        <color rgb="FF008AEF"/>
      </dataBar>
      <extLst>
        <ext xmlns:x14="http://schemas.microsoft.com/office/spreadsheetml/2009/9/main" uri="{B025F937-C7B1-47D3-B67F-A62EFF666E3E}">
          <x14:id>{2401E026-C6DF-4E80-A9D1-1EB5BFFEF737}</x14:id>
        </ext>
      </extLst>
    </cfRule>
  </conditionalFormatting>
  <conditionalFormatting sqref="C12:D12">
    <cfRule type="dataBar" priority="39">
      <dataBar>
        <cfvo type="min"/>
        <cfvo type="max"/>
        <color rgb="FF008AEF"/>
      </dataBar>
      <extLst>
        <ext xmlns:x14="http://schemas.microsoft.com/office/spreadsheetml/2009/9/main" uri="{B025F937-C7B1-47D3-B67F-A62EFF666E3E}">
          <x14:id>{DF8465CC-8509-42A4-801E-88742DACDA9F}</x14:id>
        </ext>
      </extLst>
    </cfRule>
  </conditionalFormatting>
  <conditionalFormatting sqref="C13:D13">
    <cfRule type="dataBar" priority="38">
      <dataBar>
        <cfvo type="min"/>
        <cfvo type="max"/>
        <color rgb="FF008AEF"/>
      </dataBar>
      <extLst>
        <ext xmlns:x14="http://schemas.microsoft.com/office/spreadsheetml/2009/9/main" uri="{B025F937-C7B1-47D3-B67F-A62EFF666E3E}">
          <x14:id>{6CBBE9B7-BE9A-4971-8909-7FE61941A294}</x14:id>
        </ext>
      </extLst>
    </cfRule>
  </conditionalFormatting>
  <conditionalFormatting sqref="C14:D14">
    <cfRule type="dataBar" priority="37">
      <dataBar>
        <cfvo type="min"/>
        <cfvo type="max"/>
        <color rgb="FF008AEF"/>
      </dataBar>
      <extLst>
        <ext xmlns:x14="http://schemas.microsoft.com/office/spreadsheetml/2009/9/main" uri="{B025F937-C7B1-47D3-B67F-A62EFF666E3E}">
          <x14:id>{A089085E-94A2-4D6A-A7FE-ABF666D4C75D}</x14:id>
        </ext>
      </extLst>
    </cfRule>
  </conditionalFormatting>
  <conditionalFormatting sqref="C15:D15">
    <cfRule type="dataBar" priority="36">
      <dataBar>
        <cfvo type="min"/>
        <cfvo type="max"/>
        <color rgb="FF008AEF"/>
      </dataBar>
      <extLst>
        <ext xmlns:x14="http://schemas.microsoft.com/office/spreadsheetml/2009/9/main" uri="{B025F937-C7B1-47D3-B67F-A62EFF666E3E}">
          <x14:id>{E976C04C-2BC0-475A-96A3-F5B5BAD46698}</x14:id>
        </ext>
      </extLst>
    </cfRule>
  </conditionalFormatting>
  <conditionalFormatting sqref="C16:D16">
    <cfRule type="dataBar" priority="35">
      <dataBar>
        <cfvo type="min"/>
        <cfvo type="max"/>
        <color rgb="FF008AEF"/>
      </dataBar>
      <extLst>
        <ext xmlns:x14="http://schemas.microsoft.com/office/spreadsheetml/2009/9/main" uri="{B025F937-C7B1-47D3-B67F-A62EFF666E3E}">
          <x14:id>{07CFF0C7-58C1-4324-B9FD-07DA9B9FDC04}</x14:id>
        </ext>
      </extLst>
    </cfRule>
  </conditionalFormatting>
  <conditionalFormatting sqref="C17:D17">
    <cfRule type="dataBar" priority="34">
      <dataBar>
        <cfvo type="min"/>
        <cfvo type="max"/>
        <color rgb="FF008AEF"/>
      </dataBar>
      <extLst>
        <ext xmlns:x14="http://schemas.microsoft.com/office/spreadsheetml/2009/9/main" uri="{B025F937-C7B1-47D3-B67F-A62EFF666E3E}">
          <x14:id>{E37A5880-2472-4A41-B21C-44E13F2C6107}</x14:id>
        </ext>
      </extLst>
    </cfRule>
  </conditionalFormatting>
  <conditionalFormatting sqref="C18:D18">
    <cfRule type="dataBar" priority="33">
      <dataBar>
        <cfvo type="min"/>
        <cfvo type="max"/>
        <color rgb="FF008AEF"/>
      </dataBar>
      <extLst>
        <ext xmlns:x14="http://schemas.microsoft.com/office/spreadsheetml/2009/9/main" uri="{B025F937-C7B1-47D3-B67F-A62EFF666E3E}">
          <x14:id>{C1A948AC-F10F-463A-8E72-076BCF102C5C}</x14:id>
        </ext>
      </extLst>
    </cfRule>
  </conditionalFormatting>
  <conditionalFormatting sqref="C19:D19">
    <cfRule type="dataBar" priority="32">
      <dataBar>
        <cfvo type="min"/>
        <cfvo type="max"/>
        <color rgb="FF008AEF"/>
      </dataBar>
      <extLst>
        <ext xmlns:x14="http://schemas.microsoft.com/office/spreadsheetml/2009/9/main" uri="{B025F937-C7B1-47D3-B67F-A62EFF666E3E}">
          <x14:id>{4A6337B7-E49C-4902-AC4D-6258E848DDD6}</x14:id>
        </ext>
      </extLst>
    </cfRule>
  </conditionalFormatting>
  <conditionalFormatting sqref="C20:D20">
    <cfRule type="dataBar" priority="31">
      <dataBar>
        <cfvo type="min"/>
        <cfvo type="max"/>
        <color rgb="FF008AEF"/>
      </dataBar>
      <extLst>
        <ext xmlns:x14="http://schemas.microsoft.com/office/spreadsheetml/2009/9/main" uri="{B025F937-C7B1-47D3-B67F-A62EFF666E3E}">
          <x14:id>{482CB9AE-7D4A-4920-B569-8A01E1FC659D}</x14:id>
        </ext>
      </extLst>
    </cfRule>
  </conditionalFormatting>
  <conditionalFormatting sqref="C21:D21">
    <cfRule type="dataBar" priority="30">
      <dataBar>
        <cfvo type="min"/>
        <cfvo type="max"/>
        <color rgb="FF008AEF"/>
      </dataBar>
      <extLst>
        <ext xmlns:x14="http://schemas.microsoft.com/office/spreadsheetml/2009/9/main" uri="{B025F937-C7B1-47D3-B67F-A62EFF666E3E}">
          <x14:id>{2561FBE1-8917-4966-B3DE-8C5EC6F5AC40}</x14:id>
        </ext>
      </extLst>
    </cfRule>
  </conditionalFormatting>
  <conditionalFormatting sqref="C22:D22">
    <cfRule type="dataBar" priority="29">
      <dataBar>
        <cfvo type="min"/>
        <cfvo type="max"/>
        <color rgb="FF008AEF"/>
      </dataBar>
      <extLst>
        <ext xmlns:x14="http://schemas.microsoft.com/office/spreadsheetml/2009/9/main" uri="{B025F937-C7B1-47D3-B67F-A62EFF666E3E}">
          <x14:id>{55582DC4-3A08-488D-AF3A-EEE6D7737122}</x14:id>
        </ext>
      </extLst>
    </cfRule>
  </conditionalFormatting>
  <conditionalFormatting sqref="C23:D23">
    <cfRule type="dataBar" priority="28">
      <dataBar>
        <cfvo type="min"/>
        <cfvo type="max"/>
        <color rgb="FF008AEF"/>
      </dataBar>
      <extLst>
        <ext xmlns:x14="http://schemas.microsoft.com/office/spreadsheetml/2009/9/main" uri="{B025F937-C7B1-47D3-B67F-A62EFF666E3E}">
          <x14:id>{A7714268-D6B6-4D67-8D62-5B041BA76F74}</x14:id>
        </ext>
      </extLst>
    </cfRule>
  </conditionalFormatting>
  <conditionalFormatting sqref="C24:D24">
    <cfRule type="dataBar" priority="27">
      <dataBar>
        <cfvo type="min"/>
        <cfvo type="max"/>
        <color rgb="FF008AEF"/>
      </dataBar>
      <extLst>
        <ext xmlns:x14="http://schemas.microsoft.com/office/spreadsheetml/2009/9/main" uri="{B025F937-C7B1-47D3-B67F-A62EFF666E3E}">
          <x14:id>{0D64069D-399A-450B-BA24-15E20D0ACFDE}</x14:id>
        </ext>
      </extLst>
    </cfRule>
  </conditionalFormatting>
  <conditionalFormatting sqref="C25:D25">
    <cfRule type="dataBar" priority="26">
      <dataBar>
        <cfvo type="min"/>
        <cfvo type="max"/>
        <color rgb="FF008AEF"/>
      </dataBar>
      <extLst>
        <ext xmlns:x14="http://schemas.microsoft.com/office/spreadsheetml/2009/9/main" uri="{B025F937-C7B1-47D3-B67F-A62EFF666E3E}">
          <x14:id>{110FFE85-F873-4F4A-A06D-4CAF7C1E8A9C}</x14:id>
        </ext>
      </extLst>
    </cfRule>
  </conditionalFormatting>
  <conditionalFormatting sqref="C26:D26">
    <cfRule type="dataBar" priority="25">
      <dataBar>
        <cfvo type="min"/>
        <cfvo type="max"/>
        <color rgb="FF008AEF"/>
      </dataBar>
      <extLst>
        <ext xmlns:x14="http://schemas.microsoft.com/office/spreadsheetml/2009/9/main" uri="{B025F937-C7B1-47D3-B67F-A62EFF666E3E}">
          <x14:id>{B1121106-1B31-4CCA-BB32-1B071EFBCF57}</x14:id>
        </ext>
      </extLst>
    </cfRule>
  </conditionalFormatting>
  <conditionalFormatting sqref="C27:D27">
    <cfRule type="dataBar" priority="24">
      <dataBar>
        <cfvo type="min"/>
        <cfvo type="max"/>
        <color rgb="FF008AEF"/>
      </dataBar>
      <extLst>
        <ext xmlns:x14="http://schemas.microsoft.com/office/spreadsheetml/2009/9/main" uri="{B025F937-C7B1-47D3-B67F-A62EFF666E3E}">
          <x14:id>{B1104740-5AE6-4144-95BA-5498505F6290}</x14:id>
        </ext>
      </extLst>
    </cfRule>
  </conditionalFormatting>
  <conditionalFormatting sqref="C28:D28">
    <cfRule type="dataBar" priority="23">
      <dataBar>
        <cfvo type="min"/>
        <cfvo type="max"/>
        <color rgb="FF008AEF"/>
      </dataBar>
      <extLst>
        <ext xmlns:x14="http://schemas.microsoft.com/office/spreadsheetml/2009/9/main" uri="{B025F937-C7B1-47D3-B67F-A62EFF666E3E}">
          <x14:id>{9D4952DD-2481-4B3D-90F5-5994887E97BB}</x14:id>
        </ext>
      </extLst>
    </cfRule>
  </conditionalFormatting>
  <conditionalFormatting sqref="C29:D29">
    <cfRule type="dataBar" priority="22">
      <dataBar>
        <cfvo type="min"/>
        <cfvo type="max"/>
        <color rgb="FF008AEF"/>
      </dataBar>
      <extLst>
        <ext xmlns:x14="http://schemas.microsoft.com/office/spreadsheetml/2009/9/main" uri="{B025F937-C7B1-47D3-B67F-A62EFF666E3E}">
          <x14:id>{4555A3E6-81F6-4611-A070-197DA64E336F}</x14:id>
        </ext>
      </extLst>
    </cfRule>
  </conditionalFormatting>
  <conditionalFormatting sqref="C30:D30">
    <cfRule type="dataBar" priority="21">
      <dataBar>
        <cfvo type="min"/>
        <cfvo type="max"/>
        <color rgb="FF008AEF"/>
      </dataBar>
      <extLst>
        <ext xmlns:x14="http://schemas.microsoft.com/office/spreadsheetml/2009/9/main" uri="{B025F937-C7B1-47D3-B67F-A62EFF666E3E}">
          <x14:id>{BCE50A0A-40A1-4CC6-A4D5-B5596A54014E}</x14:id>
        </ext>
      </extLst>
    </cfRule>
  </conditionalFormatting>
  <conditionalFormatting sqref="C31:D31">
    <cfRule type="dataBar" priority="20">
      <dataBar>
        <cfvo type="min"/>
        <cfvo type="max"/>
        <color rgb="FF008AEF"/>
      </dataBar>
      <extLst>
        <ext xmlns:x14="http://schemas.microsoft.com/office/spreadsheetml/2009/9/main" uri="{B025F937-C7B1-47D3-B67F-A62EFF666E3E}">
          <x14:id>{59B6E6D5-4039-40BC-8897-E0BEA32E938D}</x14:id>
        </ext>
      </extLst>
    </cfRule>
  </conditionalFormatting>
  <conditionalFormatting sqref="C32:D32">
    <cfRule type="dataBar" priority="19">
      <dataBar>
        <cfvo type="min"/>
        <cfvo type="max"/>
        <color rgb="FF008AEF"/>
      </dataBar>
      <extLst>
        <ext xmlns:x14="http://schemas.microsoft.com/office/spreadsheetml/2009/9/main" uri="{B025F937-C7B1-47D3-B67F-A62EFF666E3E}">
          <x14:id>{3A17C6B7-FD75-4FC8-9D8C-BA00D10D4356}</x14:id>
        </ext>
      </extLst>
    </cfRule>
  </conditionalFormatting>
  <conditionalFormatting sqref="C33:D33">
    <cfRule type="dataBar" priority="18">
      <dataBar>
        <cfvo type="min"/>
        <cfvo type="max"/>
        <color rgb="FF008AEF"/>
      </dataBar>
      <extLst>
        <ext xmlns:x14="http://schemas.microsoft.com/office/spreadsheetml/2009/9/main" uri="{B025F937-C7B1-47D3-B67F-A62EFF666E3E}">
          <x14:id>{C339E80C-9E2D-43C0-8E53-10D88BB93080}</x14:id>
        </ext>
      </extLst>
    </cfRule>
  </conditionalFormatting>
  <conditionalFormatting sqref="C34:D34">
    <cfRule type="dataBar" priority="17">
      <dataBar>
        <cfvo type="min"/>
        <cfvo type="max"/>
        <color rgb="FF008AEF"/>
      </dataBar>
      <extLst>
        <ext xmlns:x14="http://schemas.microsoft.com/office/spreadsheetml/2009/9/main" uri="{B025F937-C7B1-47D3-B67F-A62EFF666E3E}">
          <x14:id>{0DAF9042-AF35-4D35-80C1-553B87C06EAE}</x14:id>
        </ext>
      </extLst>
    </cfRule>
  </conditionalFormatting>
  <conditionalFormatting sqref="C35:D35">
    <cfRule type="dataBar" priority="16">
      <dataBar>
        <cfvo type="min"/>
        <cfvo type="max"/>
        <color rgb="FF008AEF"/>
      </dataBar>
      <extLst>
        <ext xmlns:x14="http://schemas.microsoft.com/office/spreadsheetml/2009/9/main" uri="{B025F937-C7B1-47D3-B67F-A62EFF666E3E}">
          <x14:id>{49D63B16-AFC3-40BA-9CAF-0236FDB11DE7}</x14:id>
        </ext>
      </extLst>
    </cfRule>
  </conditionalFormatting>
  <conditionalFormatting sqref="C36:D36">
    <cfRule type="dataBar" priority="15">
      <dataBar>
        <cfvo type="min"/>
        <cfvo type="max"/>
        <color rgb="FF008AEF"/>
      </dataBar>
      <extLst>
        <ext xmlns:x14="http://schemas.microsoft.com/office/spreadsheetml/2009/9/main" uri="{B025F937-C7B1-47D3-B67F-A62EFF666E3E}">
          <x14:id>{8F132DE6-160C-4ECD-A976-481BA5616229}</x14:id>
        </ext>
      </extLst>
    </cfRule>
  </conditionalFormatting>
  <conditionalFormatting sqref="C37:D37">
    <cfRule type="dataBar" priority="14">
      <dataBar>
        <cfvo type="min"/>
        <cfvo type="max"/>
        <color rgb="FF008AEF"/>
      </dataBar>
      <extLst>
        <ext xmlns:x14="http://schemas.microsoft.com/office/spreadsheetml/2009/9/main" uri="{B025F937-C7B1-47D3-B67F-A62EFF666E3E}">
          <x14:id>{DEA66675-B0AD-46F8-B573-B94052B9D624}</x14:id>
        </ext>
      </extLst>
    </cfRule>
  </conditionalFormatting>
  <conditionalFormatting sqref="C38:D38">
    <cfRule type="dataBar" priority="13">
      <dataBar>
        <cfvo type="min"/>
        <cfvo type="max"/>
        <color rgb="FF008AEF"/>
      </dataBar>
      <extLst>
        <ext xmlns:x14="http://schemas.microsoft.com/office/spreadsheetml/2009/9/main" uri="{B025F937-C7B1-47D3-B67F-A62EFF666E3E}">
          <x14:id>{84265859-58A6-4594-913C-36AFD42E92CF}</x14:id>
        </ext>
      </extLst>
    </cfRule>
  </conditionalFormatting>
  <conditionalFormatting sqref="E3:G34">
    <cfRule type="cellIs" dxfId="7" priority="1" operator="greaterThan">
      <formula>0</formula>
    </cfRule>
  </conditionalFormatting>
  <conditionalFormatting sqref="H11:P34 E35:P38">
    <cfRule type="cellIs" dxfId="6" priority="11" operator="greaterThan">
      <formula>0</formula>
    </cfRule>
  </conditionalFormatting>
  <conditionalFormatting sqref="H3:Q10">
    <cfRule type="cellIs" dxfId="5" priority="2" operator="greaterThan">
      <formula>0</formula>
    </cfRule>
  </conditionalFormatting>
  <pageMargins left="0.7" right="0.7" top="0.75" bottom="0.75" header="0.3" footer="0.3"/>
  <pageSetup paperSize="9"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dataBar" id="{0508170B-6D76-480C-B7AA-0D8CAC206C24}">
            <x14:dataBar minLength="0" maxLength="100" gradient="0">
              <x14:cfvo type="autoMin"/>
              <x14:cfvo type="autoMax"/>
              <x14:negativeFillColor rgb="FFFF0000"/>
              <x14:axisColor rgb="FF000000"/>
            </x14:dataBar>
          </x14:cfRule>
          <xm:sqref>C3:D3 D4:D10</xm:sqref>
        </x14:conditionalFormatting>
        <x14:conditionalFormatting xmlns:xm="http://schemas.microsoft.com/office/excel/2006/main">
          <x14:cfRule type="dataBar" id="{618D2CDF-8F9E-4989-8FD3-32619DE84C4F}">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473CC695-F801-452C-BEC5-C795879BB49A}">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7B42C65-91DC-46D2-B98E-A8D6329C9414}">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3607AF07-B59A-402B-A3FB-40D5C6438999}">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884AD807-F56D-445B-B1FA-F1F92B919C66}">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F2D86BFD-3DD4-4128-A781-88BE6465F0B1}">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426DD27A-44AF-4C78-B47F-5D08B5EA2255}">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2401E026-C6DF-4E80-A9D1-1EB5BFFEF737}">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DF8465CC-8509-42A4-801E-88742DACDA9F}">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6CBBE9B7-BE9A-4971-8909-7FE61941A294}">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A089085E-94A2-4D6A-A7FE-ABF666D4C75D}">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E976C04C-2BC0-475A-96A3-F5B5BAD46698}">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07CFF0C7-58C1-4324-B9FD-07DA9B9FDC04}">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E37A5880-2472-4A41-B21C-44E13F2C6107}">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C1A948AC-F10F-463A-8E72-076BCF102C5C}">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4A6337B7-E49C-4902-AC4D-6258E848DDD6}">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482CB9AE-7D4A-4920-B569-8A01E1FC659D}">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2561FBE1-8917-4966-B3DE-8C5EC6F5AC40}">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55582DC4-3A08-488D-AF3A-EEE6D7737122}">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A7714268-D6B6-4D67-8D62-5B041BA76F74}">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0D64069D-399A-450B-BA24-15E20D0ACFDE}">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110FFE85-F873-4F4A-A06D-4CAF7C1E8A9C}">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B1121106-1B31-4CCA-BB32-1B071EFBCF57}">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B1104740-5AE6-4144-95BA-5498505F629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9D4952DD-2481-4B3D-90F5-5994887E97BB}">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4555A3E6-81F6-4611-A070-197DA64E336F}">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BCE50A0A-40A1-4CC6-A4D5-B5596A54014E}">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59B6E6D5-4039-40BC-8897-E0BEA32E938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3A17C6B7-FD75-4FC8-9D8C-BA00D10D4356}">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C339E80C-9E2D-43C0-8E53-10D88BB93080}">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0DAF9042-AF35-4D35-80C1-553B87C06EAE}">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49D63B16-AFC3-40BA-9CAF-0236FDB11DE7}">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8F132DE6-160C-4ECD-A976-481BA5616229}">
            <x14:dataBar minLength="0" maxLength="100" gradient="0">
              <x14:cfvo type="autoMin"/>
              <x14:cfvo type="autoMax"/>
              <x14:negativeFillColor rgb="FFFF0000"/>
              <x14:axisColor rgb="FF000000"/>
            </x14:dataBar>
          </x14:cfRule>
          <xm:sqref>C36:D36</xm:sqref>
        </x14:conditionalFormatting>
        <x14:conditionalFormatting xmlns:xm="http://schemas.microsoft.com/office/excel/2006/main">
          <x14:cfRule type="dataBar" id="{DEA66675-B0AD-46F8-B573-B94052B9D624}">
            <x14:dataBar minLength="0" maxLength="100" gradient="0">
              <x14:cfvo type="autoMin"/>
              <x14:cfvo type="autoMax"/>
              <x14:negativeFillColor rgb="FFFF0000"/>
              <x14:axisColor rgb="FF000000"/>
            </x14:dataBar>
          </x14:cfRule>
          <xm:sqref>C37:D37</xm:sqref>
        </x14:conditionalFormatting>
        <x14:conditionalFormatting xmlns:xm="http://schemas.microsoft.com/office/excel/2006/main">
          <x14:cfRule type="dataBar" id="{84265859-58A6-4594-913C-36AFD42E92CF}">
            <x14:dataBar minLength="0" maxLength="100" gradient="0">
              <x14:cfvo type="autoMin"/>
              <x14:cfvo type="autoMax"/>
              <x14:negativeFillColor rgb="FFFF0000"/>
              <x14:axisColor rgb="FF000000"/>
            </x14:dataBar>
          </x14:cfRule>
          <xm:sqref>C38:D38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A1:P38"/>
  <sheetViews>
    <sheetView zoomScale="60" zoomScaleNormal="60" workbookViewId="0">
      <selection activeCell="O24" sqref="O24"/>
    </sheetView>
  </sheetViews>
  <sheetFormatPr baseColWidth="10" defaultColWidth="11.42578125" defaultRowHeight="15" x14ac:dyDescent="0.25"/>
  <cols>
    <col min="1" max="1" width="10.7109375" style="2" customWidth="1"/>
    <col min="2" max="2" width="102.42578125" style="2" customWidth="1"/>
    <col min="3" max="3" width="11.42578125" style="2"/>
    <col min="4" max="4" width="22.42578125" style="2" customWidth="1"/>
    <col min="5" max="8" width="17.28515625" style="2" customWidth="1"/>
    <col min="9" max="16384" width="11.42578125" style="2"/>
  </cols>
  <sheetData>
    <row r="1" spans="1:16" ht="61.5" customHeight="1" x14ac:dyDescent="0.25">
      <c r="A1" s="62" t="s">
        <v>1</v>
      </c>
      <c r="B1" s="29" t="s">
        <v>49</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s="3" customFormat="1" ht="15.75" thickBot="1" x14ac:dyDescent="0.3">
      <c r="A2" s="63"/>
      <c r="B2" s="29"/>
      <c r="C2" s="30">
        <v>2026</v>
      </c>
      <c r="D2" s="30" t="s">
        <v>16</v>
      </c>
      <c r="E2" s="31"/>
      <c r="F2" s="31"/>
      <c r="G2" s="31"/>
      <c r="H2" s="31"/>
      <c r="I2" s="31"/>
      <c r="J2" s="31"/>
      <c r="K2" s="31"/>
      <c r="L2" s="31"/>
      <c r="M2" s="31"/>
      <c r="N2" s="31"/>
      <c r="O2" s="31"/>
      <c r="P2" s="31"/>
    </row>
    <row r="3" spans="1:16" ht="81" customHeight="1" x14ac:dyDescent="0.25">
      <c r="A3" s="5" t="s">
        <v>18</v>
      </c>
      <c r="B3" s="4" t="s">
        <v>17</v>
      </c>
      <c r="C3" s="34">
        <v>2</v>
      </c>
      <c r="D3" s="35">
        <f t="shared" ref="D3:D8" si="0">SUM(E3:P3)</f>
        <v>0</v>
      </c>
      <c r="E3" s="36"/>
      <c r="F3" s="36"/>
      <c r="G3" s="36"/>
      <c r="H3" s="36"/>
      <c r="I3" s="36"/>
      <c r="J3" s="36"/>
      <c r="K3" s="36"/>
      <c r="L3" s="36"/>
      <c r="M3" s="36"/>
      <c r="N3" s="36"/>
      <c r="O3" s="36"/>
      <c r="P3" s="36"/>
    </row>
    <row r="4" spans="1:16" ht="81" customHeight="1" x14ac:dyDescent="0.25">
      <c r="A4" s="7" t="s">
        <v>20</v>
      </c>
      <c r="B4" s="11" t="s">
        <v>19</v>
      </c>
      <c r="C4" s="39">
        <v>2</v>
      </c>
      <c r="D4" s="35">
        <f t="shared" si="0"/>
        <v>0</v>
      </c>
      <c r="E4" s="36">
        <v>0</v>
      </c>
      <c r="F4" s="36">
        <v>0</v>
      </c>
      <c r="G4" s="36">
        <v>0</v>
      </c>
      <c r="H4" s="36">
        <v>0</v>
      </c>
      <c r="I4" s="36"/>
      <c r="J4" s="36"/>
      <c r="K4" s="36"/>
      <c r="L4" s="36"/>
      <c r="M4" s="36"/>
      <c r="N4" s="36"/>
      <c r="O4" s="36"/>
      <c r="P4" s="36"/>
    </row>
    <row r="5" spans="1:16" ht="81" customHeight="1" x14ac:dyDescent="0.25">
      <c r="A5" s="9" t="s">
        <v>23</v>
      </c>
      <c r="B5" s="13" t="s">
        <v>42</v>
      </c>
      <c r="C5" s="41">
        <v>1</v>
      </c>
      <c r="D5" s="35">
        <f t="shared" si="0"/>
        <v>0</v>
      </c>
      <c r="E5" s="36">
        <v>0</v>
      </c>
      <c r="F5" s="36">
        <v>0</v>
      </c>
      <c r="G5" s="36">
        <v>0</v>
      </c>
      <c r="H5" s="36">
        <v>0</v>
      </c>
      <c r="I5" s="36"/>
      <c r="J5" s="36"/>
      <c r="K5" s="36"/>
      <c r="L5" s="36"/>
      <c r="M5" s="36"/>
      <c r="N5" s="36"/>
      <c r="O5" s="36"/>
      <c r="P5" s="36"/>
    </row>
    <row r="6" spans="1:16" ht="81" customHeight="1" x14ac:dyDescent="0.25">
      <c r="A6" s="5" t="s">
        <v>18</v>
      </c>
      <c r="B6" s="4" t="s">
        <v>43</v>
      </c>
      <c r="C6" s="44">
        <v>2</v>
      </c>
      <c r="D6" s="35">
        <f t="shared" si="0"/>
        <v>0</v>
      </c>
      <c r="E6" s="36"/>
      <c r="F6" s="36"/>
      <c r="G6" s="36"/>
      <c r="H6" s="36"/>
      <c r="I6" s="36"/>
      <c r="J6" s="36"/>
      <c r="K6" s="36"/>
      <c r="L6" s="36"/>
      <c r="M6" s="36"/>
      <c r="N6" s="36"/>
      <c r="O6" s="36"/>
      <c r="P6" s="36"/>
    </row>
    <row r="7" spans="1:16" ht="81" customHeight="1" x14ac:dyDescent="0.25">
      <c r="A7" s="5" t="s">
        <v>18</v>
      </c>
      <c r="B7" s="4" t="s">
        <v>37</v>
      </c>
      <c r="C7" s="44">
        <v>2</v>
      </c>
      <c r="D7" s="35">
        <f t="shared" si="0"/>
        <v>0</v>
      </c>
      <c r="E7" s="36"/>
      <c r="F7" s="36"/>
      <c r="G7" s="36"/>
      <c r="H7" s="36"/>
      <c r="I7" s="36"/>
      <c r="J7" s="36"/>
      <c r="K7" s="36"/>
      <c r="L7" s="36"/>
      <c r="M7" s="36"/>
      <c r="N7" s="36"/>
      <c r="O7" s="36"/>
      <c r="P7" s="36"/>
    </row>
    <row r="8" spans="1:16" ht="81" customHeight="1" x14ac:dyDescent="0.25">
      <c r="A8" s="5" t="s">
        <v>18</v>
      </c>
      <c r="B8" s="4" t="s">
        <v>38</v>
      </c>
      <c r="C8" s="44">
        <v>1</v>
      </c>
      <c r="D8" s="35">
        <f t="shared" si="0"/>
        <v>0</v>
      </c>
      <c r="E8" s="36"/>
      <c r="F8" s="36"/>
      <c r="G8" s="36"/>
      <c r="H8" s="36"/>
      <c r="I8" s="36"/>
      <c r="J8" s="36"/>
      <c r="K8" s="36"/>
      <c r="L8" s="36"/>
      <c r="M8" s="36"/>
      <c r="N8" s="36"/>
      <c r="O8" s="36"/>
      <c r="P8" s="36"/>
    </row>
    <row r="9" spans="1:16" ht="28.5" customHeight="1" x14ac:dyDescent="0.25">
      <c r="A9" s="64" t="s">
        <v>76</v>
      </c>
      <c r="B9" s="45" t="s">
        <v>77</v>
      </c>
      <c r="C9" s="44">
        <v>3</v>
      </c>
      <c r="D9" s="35">
        <f t="shared" ref="D9:D36" si="1">SUM(E9:O9)</f>
        <v>1</v>
      </c>
      <c r="E9" s="36"/>
      <c r="F9" s="36"/>
      <c r="G9" s="36"/>
      <c r="H9" s="36"/>
      <c r="I9" s="36">
        <v>1</v>
      </c>
      <c r="J9" s="36"/>
      <c r="K9" s="36"/>
      <c r="L9" s="36"/>
      <c r="M9" s="36"/>
      <c r="N9" s="36"/>
      <c r="O9" s="36"/>
      <c r="P9" s="46"/>
    </row>
    <row r="10" spans="1:16" ht="28.5" customHeight="1" x14ac:dyDescent="0.25">
      <c r="A10" s="65"/>
      <c r="B10" s="45" t="s">
        <v>78</v>
      </c>
      <c r="C10" s="44">
        <v>3</v>
      </c>
      <c r="D10" s="35">
        <f t="shared" si="1"/>
        <v>0</v>
      </c>
      <c r="E10" s="36"/>
      <c r="F10" s="36"/>
      <c r="G10" s="36"/>
      <c r="H10" s="36"/>
      <c r="I10" s="36"/>
      <c r="J10" s="36"/>
      <c r="K10" s="36"/>
      <c r="L10" s="36"/>
      <c r="M10" s="36"/>
      <c r="N10" s="36"/>
      <c r="O10" s="36"/>
      <c r="P10" s="46"/>
    </row>
    <row r="11" spans="1:16" ht="28.5" customHeight="1" x14ac:dyDescent="0.25">
      <c r="A11" s="65"/>
      <c r="B11" s="45" t="s">
        <v>79</v>
      </c>
      <c r="C11" s="44">
        <v>36</v>
      </c>
      <c r="D11" s="35">
        <f t="shared" si="1"/>
        <v>12</v>
      </c>
      <c r="E11" s="36"/>
      <c r="F11" s="36">
        <v>3</v>
      </c>
      <c r="G11" s="36"/>
      <c r="H11" s="36"/>
      <c r="I11" s="36">
        <v>9</v>
      </c>
      <c r="J11" s="36"/>
      <c r="K11" s="36"/>
      <c r="L11" s="36"/>
      <c r="M11" s="36"/>
      <c r="N11" s="36"/>
      <c r="O11" s="36"/>
      <c r="P11" s="46"/>
    </row>
    <row r="12" spans="1:16" ht="28.5" customHeight="1" x14ac:dyDescent="0.25">
      <c r="A12" s="65"/>
      <c r="B12" s="45" t="s">
        <v>80</v>
      </c>
      <c r="C12" s="44">
        <v>16</v>
      </c>
      <c r="D12" s="35">
        <f t="shared" si="1"/>
        <v>9</v>
      </c>
      <c r="E12" s="36"/>
      <c r="F12" s="36"/>
      <c r="G12" s="36">
        <v>2</v>
      </c>
      <c r="H12" s="36">
        <v>7</v>
      </c>
      <c r="I12" s="36"/>
      <c r="J12" s="36"/>
      <c r="K12" s="36"/>
      <c r="L12" s="36"/>
      <c r="M12" s="36"/>
      <c r="N12" s="36"/>
      <c r="O12" s="36"/>
      <c r="P12" s="46"/>
    </row>
    <row r="13" spans="1:16" ht="28.5" customHeight="1" x14ac:dyDescent="0.25">
      <c r="A13" s="65"/>
      <c r="B13" s="45" t="s">
        <v>81</v>
      </c>
      <c r="C13" s="44">
        <v>1</v>
      </c>
      <c r="D13" s="35">
        <f t="shared" si="1"/>
        <v>0</v>
      </c>
      <c r="E13" s="36"/>
      <c r="F13" s="36"/>
      <c r="G13" s="36"/>
      <c r="H13" s="36"/>
      <c r="I13" s="36"/>
      <c r="J13" s="36"/>
      <c r="K13" s="36"/>
      <c r="L13" s="36"/>
      <c r="M13" s="36"/>
      <c r="N13" s="36"/>
      <c r="O13" s="36"/>
      <c r="P13" s="46"/>
    </row>
    <row r="14" spans="1:16" ht="28.5" customHeight="1" x14ac:dyDescent="0.25">
      <c r="A14" s="65"/>
      <c r="B14" s="45" t="s">
        <v>82</v>
      </c>
      <c r="C14" s="44">
        <v>3</v>
      </c>
      <c r="D14" s="35">
        <f t="shared" si="1"/>
        <v>0</v>
      </c>
      <c r="E14" s="36"/>
      <c r="F14" s="36"/>
      <c r="G14" s="36"/>
      <c r="H14" s="36"/>
      <c r="I14" s="36"/>
      <c r="J14" s="36"/>
      <c r="K14" s="36"/>
      <c r="L14" s="36"/>
      <c r="M14" s="36"/>
      <c r="N14" s="36"/>
      <c r="O14" s="36"/>
      <c r="P14" s="46"/>
    </row>
    <row r="15" spans="1:16" ht="28.5" customHeight="1" x14ac:dyDescent="0.25">
      <c r="A15" s="65"/>
      <c r="B15" s="45" t="s">
        <v>83</v>
      </c>
      <c r="C15" s="44">
        <v>0</v>
      </c>
      <c r="D15" s="35">
        <f t="shared" si="1"/>
        <v>0</v>
      </c>
      <c r="E15" s="36"/>
      <c r="F15" s="36"/>
      <c r="G15" s="36"/>
      <c r="H15" s="36"/>
      <c r="I15" s="36"/>
      <c r="J15" s="36"/>
      <c r="K15" s="36"/>
      <c r="L15" s="36"/>
      <c r="M15" s="36"/>
      <c r="N15" s="36"/>
      <c r="O15" s="36"/>
      <c r="P15" s="46"/>
    </row>
    <row r="16" spans="1:16" ht="28.5" customHeight="1" x14ac:dyDescent="0.25">
      <c r="A16" s="65"/>
      <c r="B16" s="45" t="s">
        <v>84</v>
      </c>
      <c r="C16" s="44">
        <v>0</v>
      </c>
      <c r="D16" s="35">
        <f t="shared" si="1"/>
        <v>0</v>
      </c>
      <c r="E16" s="36"/>
      <c r="F16" s="36"/>
      <c r="G16" s="36"/>
      <c r="H16" s="36"/>
      <c r="I16" s="36"/>
      <c r="J16" s="36"/>
      <c r="K16" s="36"/>
      <c r="L16" s="36"/>
      <c r="M16" s="36"/>
      <c r="N16" s="36"/>
      <c r="O16" s="36"/>
      <c r="P16" s="46"/>
    </row>
    <row r="17" spans="1:16" ht="28.5" customHeight="1" x14ac:dyDescent="0.25">
      <c r="A17" s="65"/>
      <c r="B17" s="45" t="s">
        <v>85</v>
      </c>
      <c r="C17" s="44">
        <v>4</v>
      </c>
      <c r="D17" s="35">
        <f t="shared" si="1"/>
        <v>4</v>
      </c>
      <c r="E17" s="36"/>
      <c r="F17" s="36">
        <v>4</v>
      </c>
      <c r="G17" s="36"/>
      <c r="H17" s="36"/>
      <c r="I17" s="36"/>
      <c r="J17" s="36"/>
      <c r="K17" s="36"/>
      <c r="L17" s="36"/>
      <c r="M17" s="36"/>
      <c r="N17" s="36"/>
      <c r="O17" s="36"/>
      <c r="P17" s="46"/>
    </row>
    <row r="18" spans="1:16" ht="28.5" customHeight="1" x14ac:dyDescent="0.25">
      <c r="A18" s="65"/>
      <c r="B18" s="45" t="s">
        <v>86</v>
      </c>
      <c r="C18" s="44">
        <v>0</v>
      </c>
      <c r="D18" s="35">
        <f t="shared" si="1"/>
        <v>0</v>
      </c>
      <c r="E18" s="36"/>
      <c r="F18" s="36"/>
      <c r="G18" s="36"/>
      <c r="H18" s="36"/>
      <c r="I18" s="36"/>
      <c r="J18" s="36"/>
      <c r="K18" s="36"/>
      <c r="L18" s="36"/>
      <c r="M18" s="36"/>
      <c r="N18" s="36"/>
      <c r="O18" s="36"/>
      <c r="P18" s="46"/>
    </row>
    <row r="19" spans="1:16" ht="28.5" customHeight="1" x14ac:dyDescent="0.25">
      <c r="A19" s="65"/>
      <c r="B19" s="45" t="s">
        <v>87</v>
      </c>
      <c r="C19" s="44">
        <v>0</v>
      </c>
      <c r="D19" s="35">
        <f t="shared" si="1"/>
        <v>0</v>
      </c>
      <c r="E19" s="36"/>
      <c r="F19" s="36"/>
      <c r="G19" s="36"/>
      <c r="H19" s="36"/>
      <c r="I19" s="36"/>
      <c r="J19" s="36"/>
      <c r="K19" s="36"/>
      <c r="L19" s="36"/>
      <c r="M19" s="36"/>
      <c r="N19" s="36"/>
      <c r="O19" s="36"/>
      <c r="P19" s="46"/>
    </row>
    <row r="20" spans="1:16" ht="28.5" customHeight="1" x14ac:dyDescent="0.25">
      <c r="A20" s="65"/>
      <c r="B20" s="45" t="s">
        <v>88</v>
      </c>
      <c r="C20" s="44">
        <v>0</v>
      </c>
      <c r="D20" s="35">
        <f t="shared" si="1"/>
        <v>0</v>
      </c>
      <c r="E20" s="36"/>
      <c r="F20" s="36"/>
      <c r="G20" s="36"/>
      <c r="H20" s="36"/>
      <c r="I20" s="36"/>
      <c r="J20" s="36"/>
      <c r="K20" s="36"/>
      <c r="L20" s="36"/>
      <c r="M20" s="36"/>
      <c r="N20" s="36"/>
      <c r="O20" s="36"/>
      <c r="P20" s="46"/>
    </row>
    <row r="21" spans="1:16" ht="28.5" customHeight="1" x14ac:dyDescent="0.25">
      <c r="A21" s="65"/>
      <c r="B21" s="45" t="s">
        <v>89</v>
      </c>
      <c r="C21" s="44">
        <v>0</v>
      </c>
      <c r="D21" s="35">
        <f t="shared" si="1"/>
        <v>0</v>
      </c>
      <c r="E21" s="36"/>
      <c r="F21" s="36"/>
      <c r="G21" s="36"/>
      <c r="H21" s="36"/>
      <c r="I21" s="36"/>
      <c r="J21" s="36"/>
      <c r="K21" s="36"/>
      <c r="L21" s="36"/>
      <c r="M21" s="36"/>
      <c r="N21" s="36"/>
      <c r="O21" s="36"/>
      <c r="P21" s="46"/>
    </row>
    <row r="22" spans="1:16" ht="28.5" customHeight="1" x14ac:dyDescent="0.25">
      <c r="A22" s="65"/>
      <c r="B22" s="45" t="s">
        <v>90</v>
      </c>
      <c r="C22" s="44">
        <v>0</v>
      </c>
      <c r="D22" s="35">
        <f t="shared" si="1"/>
        <v>0</v>
      </c>
      <c r="E22" s="36"/>
      <c r="F22" s="36"/>
      <c r="G22" s="36"/>
      <c r="H22" s="36"/>
      <c r="I22" s="36"/>
      <c r="J22" s="36"/>
      <c r="K22" s="36"/>
      <c r="L22" s="36"/>
      <c r="M22" s="36"/>
      <c r="N22" s="36"/>
      <c r="O22" s="36"/>
      <c r="P22" s="46"/>
    </row>
    <row r="23" spans="1:16" ht="28.5" customHeight="1" x14ac:dyDescent="0.25">
      <c r="A23" s="65"/>
      <c r="B23" s="45" t="s">
        <v>91</v>
      </c>
      <c r="C23" s="44">
        <v>48</v>
      </c>
      <c r="D23" s="35">
        <f t="shared" si="1"/>
        <v>32</v>
      </c>
      <c r="E23" s="36">
        <v>6</v>
      </c>
      <c r="F23" s="36"/>
      <c r="G23" s="36">
        <v>11</v>
      </c>
      <c r="H23" s="36"/>
      <c r="I23" s="36">
        <v>15</v>
      </c>
      <c r="J23" s="36"/>
      <c r="K23" s="36"/>
      <c r="L23" s="36"/>
      <c r="M23" s="36"/>
      <c r="N23" s="36"/>
      <c r="O23" s="36"/>
      <c r="P23" s="46"/>
    </row>
    <row r="24" spans="1:16" ht="28.5" customHeight="1" x14ac:dyDescent="0.25">
      <c r="A24" s="65"/>
      <c r="B24" s="45" t="s">
        <v>92</v>
      </c>
      <c r="C24" s="44">
        <v>2</v>
      </c>
      <c r="D24" s="35">
        <f t="shared" si="1"/>
        <v>0</v>
      </c>
      <c r="E24" s="36"/>
      <c r="F24" s="36"/>
      <c r="G24" s="36"/>
      <c r="H24" s="36"/>
      <c r="I24" s="36"/>
      <c r="J24" s="36"/>
      <c r="K24" s="36"/>
      <c r="L24" s="36"/>
      <c r="M24" s="36"/>
      <c r="N24" s="36"/>
      <c r="O24" s="36"/>
      <c r="P24" s="46"/>
    </row>
    <row r="25" spans="1:16" ht="24" customHeight="1" x14ac:dyDescent="0.25">
      <c r="A25" s="65"/>
      <c r="B25" s="47" t="s">
        <v>93</v>
      </c>
      <c r="C25" s="44">
        <v>5</v>
      </c>
      <c r="D25" s="35">
        <f t="shared" si="1"/>
        <v>5</v>
      </c>
      <c r="E25" s="36"/>
      <c r="F25" s="36"/>
      <c r="G25" s="36">
        <v>5</v>
      </c>
      <c r="H25" s="36"/>
      <c r="I25" s="36"/>
      <c r="J25" s="36"/>
      <c r="K25" s="36"/>
      <c r="L25" s="36"/>
      <c r="M25" s="36"/>
      <c r="N25" s="36"/>
      <c r="O25" s="36"/>
      <c r="P25" s="46"/>
    </row>
    <row r="26" spans="1:16" ht="24" customHeight="1" x14ac:dyDescent="0.25">
      <c r="A26" s="65"/>
      <c r="B26" s="47" t="s">
        <v>94</v>
      </c>
      <c r="C26" s="44">
        <v>5</v>
      </c>
      <c r="D26" s="35">
        <f t="shared" si="1"/>
        <v>5</v>
      </c>
      <c r="E26" s="36"/>
      <c r="F26" s="36"/>
      <c r="G26" s="36"/>
      <c r="H26" s="36">
        <v>5</v>
      </c>
      <c r="I26" s="36"/>
      <c r="J26" s="36"/>
      <c r="K26" s="36"/>
      <c r="L26" s="36"/>
      <c r="M26" s="36"/>
      <c r="N26" s="36"/>
      <c r="O26" s="36"/>
      <c r="P26" s="46"/>
    </row>
    <row r="27" spans="1:16" ht="24" customHeight="1" x14ac:dyDescent="0.25">
      <c r="A27" s="65"/>
      <c r="B27" s="47" t="s">
        <v>95</v>
      </c>
      <c r="C27" s="44">
        <v>5</v>
      </c>
      <c r="D27" s="35">
        <f t="shared" si="1"/>
        <v>5</v>
      </c>
      <c r="E27" s="36"/>
      <c r="F27" s="36"/>
      <c r="G27" s="36"/>
      <c r="H27" s="36"/>
      <c r="I27" s="36">
        <v>5</v>
      </c>
      <c r="J27" s="36"/>
      <c r="K27" s="36"/>
      <c r="L27" s="36"/>
      <c r="M27" s="36"/>
      <c r="N27" s="36"/>
      <c r="O27" s="36"/>
      <c r="P27" s="46"/>
    </row>
    <row r="28" spans="1:16" ht="24" customHeight="1" x14ac:dyDescent="0.25">
      <c r="A28" s="65"/>
      <c r="B28" s="47" t="s">
        <v>96</v>
      </c>
      <c r="C28" s="44">
        <v>5</v>
      </c>
      <c r="D28" s="35">
        <f t="shared" si="1"/>
        <v>0</v>
      </c>
      <c r="E28" s="36"/>
      <c r="F28" s="36"/>
      <c r="G28" s="36"/>
      <c r="H28" s="36"/>
      <c r="I28" s="36"/>
      <c r="J28" s="36"/>
      <c r="K28" s="36"/>
      <c r="L28" s="36"/>
      <c r="M28" s="36"/>
      <c r="N28" s="36"/>
      <c r="O28" s="36"/>
      <c r="P28" s="46"/>
    </row>
    <row r="29" spans="1:16" ht="24" customHeight="1" x14ac:dyDescent="0.25">
      <c r="A29" s="65"/>
      <c r="B29" s="47" t="s">
        <v>97</v>
      </c>
      <c r="C29" s="44">
        <v>5</v>
      </c>
      <c r="D29" s="35">
        <f t="shared" si="1"/>
        <v>0</v>
      </c>
      <c r="E29" s="36"/>
      <c r="F29" s="36"/>
      <c r="G29" s="36"/>
      <c r="H29" s="36"/>
      <c r="I29" s="36"/>
      <c r="J29" s="36"/>
      <c r="K29" s="36"/>
      <c r="L29" s="36"/>
      <c r="M29" s="36"/>
      <c r="N29" s="36"/>
      <c r="O29" s="36"/>
      <c r="P29" s="46"/>
    </row>
    <row r="30" spans="1:16" ht="24" customHeight="1" x14ac:dyDescent="0.25">
      <c r="A30" s="65"/>
      <c r="B30" s="47" t="s">
        <v>98</v>
      </c>
      <c r="C30" s="44">
        <v>1</v>
      </c>
      <c r="D30" s="35">
        <f t="shared" si="1"/>
        <v>0</v>
      </c>
      <c r="E30" s="36"/>
      <c r="F30" s="36"/>
      <c r="G30" s="36"/>
      <c r="H30" s="36"/>
      <c r="I30" s="36"/>
      <c r="J30" s="36"/>
      <c r="K30" s="36"/>
      <c r="L30" s="36"/>
      <c r="M30" s="36"/>
      <c r="N30" s="36"/>
      <c r="O30" s="36"/>
      <c r="P30" s="46"/>
    </row>
    <row r="31" spans="1:16" ht="24" customHeight="1" x14ac:dyDescent="0.25">
      <c r="A31" s="65"/>
      <c r="B31" s="47" t="s">
        <v>99</v>
      </c>
      <c r="C31" s="44">
        <v>1</v>
      </c>
      <c r="D31" s="35">
        <f t="shared" si="1"/>
        <v>0</v>
      </c>
      <c r="E31" s="36"/>
      <c r="F31" s="36"/>
      <c r="G31" s="36"/>
      <c r="H31" s="36"/>
      <c r="I31" s="36"/>
      <c r="J31" s="36"/>
      <c r="K31" s="36"/>
      <c r="L31" s="36"/>
      <c r="M31" s="36"/>
      <c r="N31" s="36"/>
      <c r="O31" s="36"/>
      <c r="P31" s="46"/>
    </row>
    <row r="32" spans="1:16" ht="24" customHeight="1" x14ac:dyDescent="0.25">
      <c r="A32" s="65"/>
      <c r="B32" s="47" t="s">
        <v>100</v>
      </c>
      <c r="C32" s="44">
        <v>1</v>
      </c>
      <c r="D32" s="35">
        <f t="shared" si="1"/>
        <v>0</v>
      </c>
      <c r="E32" s="36"/>
      <c r="F32" s="36"/>
      <c r="G32" s="36"/>
      <c r="H32" s="36"/>
      <c r="I32" s="36"/>
      <c r="J32" s="36"/>
      <c r="K32" s="36"/>
      <c r="L32" s="36"/>
      <c r="M32" s="36"/>
      <c r="N32" s="36"/>
      <c r="O32" s="36"/>
      <c r="P32" s="46"/>
    </row>
    <row r="33" spans="1:16" ht="24" customHeight="1" x14ac:dyDescent="0.25">
      <c r="A33" s="65"/>
      <c r="B33" s="47" t="s">
        <v>101</v>
      </c>
      <c r="C33" s="44">
        <v>1</v>
      </c>
      <c r="D33" s="35">
        <f t="shared" si="1"/>
        <v>0</v>
      </c>
      <c r="E33" s="36"/>
      <c r="F33" s="36"/>
      <c r="G33" s="36"/>
      <c r="H33" s="36"/>
      <c r="I33" s="36"/>
      <c r="J33" s="36"/>
      <c r="K33" s="36"/>
      <c r="L33" s="36"/>
      <c r="M33" s="36"/>
      <c r="N33" s="36"/>
      <c r="O33" s="36"/>
      <c r="P33" s="46"/>
    </row>
    <row r="34" spans="1:16" ht="24" customHeight="1" x14ac:dyDescent="0.25">
      <c r="A34" s="65"/>
      <c r="B34" s="47" t="s">
        <v>102</v>
      </c>
      <c r="C34" s="44">
        <v>1</v>
      </c>
      <c r="D34" s="35">
        <f t="shared" si="1"/>
        <v>0</v>
      </c>
      <c r="E34" s="36"/>
      <c r="F34" s="36"/>
      <c r="G34" s="36"/>
      <c r="H34" s="36"/>
      <c r="I34" s="36"/>
      <c r="J34" s="36"/>
      <c r="K34" s="36"/>
      <c r="L34" s="36"/>
      <c r="M34" s="36"/>
      <c r="N34" s="36"/>
      <c r="O34" s="36"/>
      <c r="P34" s="46"/>
    </row>
    <row r="35" spans="1:16" ht="24" customHeight="1" x14ac:dyDescent="0.25">
      <c r="A35" s="65"/>
      <c r="B35" s="47" t="s">
        <v>103</v>
      </c>
      <c r="C35" s="44">
        <v>1</v>
      </c>
      <c r="D35" s="35">
        <f t="shared" si="1"/>
        <v>0</v>
      </c>
      <c r="E35" s="36"/>
      <c r="F35" s="36"/>
      <c r="G35" s="36"/>
      <c r="H35" s="36"/>
      <c r="I35" s="36"/>
      <c r="J35" s="36"/>
      <c r="K35" s="36"/>
      <c r="L35" s="36"/>
      <c r="M35" s="36"/>
      <c r="N35" s="36"/>
      <c r="O35" s="36"/>
      <c r="P35" s="46"/>
    </row>
    <row r="36" spans="1:16" ht="24" customHeight="1" thickBot="1" x14ac:dyDescent="0.3">
      <c r="A36" s="66"/>
      <c r="B36" s="48" t="s">
        <v>104</v>
      </c>
      <c r="C36" s="44">
        <v>1</v>
      </c>
      <c r="D36" s="35">
        <f t="shared" si="1"/>
        <v>0</v>
      </c>
      <c r="E36" s="36"/>
      <c r="F36" s="36"/>
      <c r="G36" s="36"/>
      <c r="H36" s="36"/>
      <c r="I36" s="36"/>
      <c r="J36" s="36"/>
      <c r="K36" s="36"/>
      <c r="L36" s="36"/>
      <c r="M36" s="36"/>
      <c r="N36" s="36"/>
      <c r="O36" s="36"/>
      <c r="P36" s="46"/>
    </row>
    <row r="37" spans="1:16" x14ac:dyDescent="0.25">
      <c r="C37" s="49">
        <f>SUM(C3:C36)</f>
        <v>158</v>
      </c>
      <c r="D37" s="50">
        <f>SUM(D3:D36)</f>
        <v>73</v>
      </c>
    </row>
    <row r="38" spans="1:16" x14ac:dyDescent="0.25">
      <c r="C38" s="10"/>
      <c r="D38" s="51">
        <f>D37/C37</f>
        <v>0.46202531645569622</v>
      </c>
    </row>
  </sheetData>
  <sheetProtection algorithmName="SHA-512" hashValue="SYtSTiq5gKooLgr87vCnMDs2ORfMkF+LaAc1WpXBimm75bG9AcHt/vbcUsLt6itg/IqxhVP+OGTUhosDXmsmzA==" saltValue="tSFVgOJoW/cFmHHJmlBMyQ==" spinCount="100000" sheet="1" objects="1" scenarios="1" autoFilter="0"/>
  <mergeCells count="2">
    <mergeCell ref="A1:A2"/>
    <mergeCell ref="A9:A36"/>
  </mergeCells>
  <conditionalFormatting sqref="C3:D3 D4:D8">
    <cfRule type="dataBar" priority="50">
      <dataBar>
        <cfvo type="min"/>
        <cfvo type="max"/>
        <color rgb="FF008AEF"/>
      </dataBar>
      <extLst>
        <ext xmlns:x14="http://schemas.microsoft.com/office/spreadsheetml/2009/9/main" uri="{B025F937-C7B1-47D3-B67F-A62EFF666E3E}">
          <x14:id>{CDB36FDB-1843-4980-A228-E1F99AF9FFF4}</x14:id>
        </ext>
      </extLst>
    </cfRule>
  </conditionalFormatting>
  <conditionalFormatting sqref="C4:D4">
    <cfRule type="dataBar" priority="4">
      <dataBar>
        <cfvo type="min"/>
        <cfvo type="max"/>
        <color rgb="FF008AEF"/>
      </dataBar>
      <extLst>
        <ext xmlns:x14="http://schemas.microsoft.com/office/spreadsheetml/2009/9/main" uri="{B025F937-C7B1-47D3-B67F-A62EFF666E3E}">
          <x14:id>{BEF8A044-632B-4AEB-87EE-A8554956A267}</x14:id>
        </ext>
      </extLst>
    </cfRule>
  </conditionalFormatting>
  <conditionalFormatting sqref="C5:D5">
    <cfRule type="dataBar" priority="5">
      <dataBar>
        <cfvo type="min"/>
        <cfvo type="max"/>
        <color rgb="FF008AEF"/>
      </dataBar>
      <extLst>
        <ext xmlns:x14="http://schemas.microsoft.com/office/spreadsheetml/2009/9/main" uri="{B025F937-C7B1-47D3-B67F-A62EFF666E3E}">
          <x14:id>{60D2C488-35BC-4E05-9358-5298EA28F5E6}</x14:id>
        </ext>
      </extLst>
    </cfRule>
  </conditionalFormatting>
  <conditionalFormatting sqref="C6:D6">
    <cfRule type="dataBar" priority="6">
      <dataBar>
        <cfvo type="min"/>
        <cfvo type="max"/>
        <color rgb="FF008AEF"/>
      </dataBar>
      <extLst>
        <ext xmlns:x14="http://schemas.microsoft.com/office/spreadsheetml/2009/9/main" uri="{B025F937-C7B1-47D3-B67F-A62EFF666E3E}">
          <x14:id>{66D2C244-A505-4965-8B36-739BBD66FCBA}</x14:id>
        </ext>
      </extLst>
    </cfRule>
  </conditionalFormatting>
  <conditionalFormatting sqref="C7:D7">
    <cfRule type="dataBar" priority="7">
      <dataBar>
        <cfvo type="min"/>
        <cfvo type="max"/>
        <color rgb="FF008AEF"/>
      </dataBar>
      <extLst>
        <ext xmlns:x14="http://schemas.microsoft.com/office/spreadsheetml/2009/9/main" uri="{B025F937-C7B1-47D3-B67F-A62EFF666E3E}">
          <x14:id>{D3D64D37-DAF1-468D-99FF-7D4384B4976B}</x14:id>
        </ext>
      </extLst>
    </cfRule>
  </conditionalFormatting>
  <conditionalFormatting sqref="C8:D8">
    <cfRule type="dataBar" priority="8">
      <dataBar>
        <cfvo type="min"/>
        <cfvo type="max"/>
        <color rgb="FF008AEF"/>
      </dataBar>
      <extLst>
        <ext xmlns:x14="http://schemas.microsoft.com/office/spreadsheetml/2009/9/main" uri="{B025F937-C7B1-47D3-B67F-A62EFF666E3E}">
          <x14:id>{7324E761-74C4-49F8-A3A8-D32B134750E8}</x14:id>
        </ext>
      </extLst>
    </cfRule>
  </conditionalFormatting>
  <conditionalFormatting sqref="C9:D9">
    <cfRule type="dataBar" priority="12">
      <dataBar>
        <cfvo type="min"/>
        <cfvo type="max"/>
        <color rgb="FF008AEF"/>
      </dataBar>
      <extLst>
        <ext xmlns:x14="http://schemas.microsoft.com/office/spreadsheetml/2009/9/main" uri="{B025F937-C7B1-47D3-B67F-A62EFF666E3E}">
          <x14:id>{E655B454-3F6B-441D-945D-B3653259978B}</x14:id>
        </ext>
      </extLst>
    </cfRule>
  </conditionalFormatting>
  <conditionalFormatting sqref="C10:D10">
    <cfRule type="dataBar" priority="39">
      <dataBar>
        <cfvo type="min"/>
        <cfvo type="max"/>
        <color rgb="FF008AEF"/>
      </dataBar>
      <extLst>
        <ext xmlns:x14="http://schemas.microsoft.com/office/spreadsheetml/2009/9/main" uri="{B025F937-C7B1-47D3-B67F-A62EFF666E3E}">
          <x14:id>{1B079520-DB50-4F1D-B903-EBEDE9022BD4}</x14:id>
        </ext>
      </extLst>
    </cfRule>
  </conditionalFormatting>
  <conditionalFormatting sqref="C11:D11">
    <cfRule type="dataBar" priority="38">
      <dataBar>
        <cfvo type="min"/>
        <cfvo type="max"/>
        <color rgb="FF008AEF"/>
      </dataBar>
      <extLst>
        <ext xmlns:x14="http://schemas.microsoft.com/office/spreadsheetml/2009/9/main" uri="{B025F937-C7B1-47D3-B67F-A62EFF666E3E}">
          <x14:id>{35541819-2584-43A5-8F2C-64E91188AE54}</x14:id>
        </ext>
      </extLst>
    </cfRule>
  </conditionalFormatting>
  <conditionalFormatting sqref="C12:D12">
    <cfRule type="dataBar" priority="37">
      <dataBar>
        <cfvo type="min"/>
        <cfvo type="max"/>
        <color rgb="FF008AEF"/>
      </dataBar>
      <extLst>
        <ext xmlns:x14="http://schemas.microsoft.com/office/spreadsheetml/2009/9/main" uri="{B025F937-C7B1-47D3-B67F-A62EFF666E3E}">
          <x14:id>{2B894E75-B9BF-46F2-8E8D-27D96440F821}</x14:id>
        </ext>
      </extLst>
    </cfRule>
  </conditionalFormatting>
  <conditionalFormatting sqref="C13:D13">
    <cfRule type="dataBar" priority="36">
      <dataBar>
        <cfvo type="min"/>
        <cfvo type="max"/>
        <color rgb="FF008AEF"/>
      </dataBar>
      <extLst>
        <ext xmlns:x14="http://schemas.microsoft.com/office/spreadsheetml/2009/9/main" uri="{B025F937-C7B1-47D3-B67F-A62EFF666E3E}">
          <x14:id>{D2AF0012-A945-4123-A069-7A7D6F3E6E5C}</x14:id>
        </ext>
      </extLst>
    </cfRule>
  </conditionalFormatting>
  <conditionalFormatting sqref="C14:D14">
    <cfRule type="dataBar" priority="35">
      <dataBar>
        <cfvo type="min"/>
        <cfvo type="max"/>
        <color rgb="FF008AEF"/>
      </dataBar>
      <extLst>
        <ext xmlns:x14="http://schemas.microsoft.com/office/spreadsheetml/2009/9/main" uri="{B025F937-C7B1-47D3-B67F-A62EFF666E3E}">
          <x14:id>{96C522CF-1FE3-4FE4-91D7-87CA0E4A82D1}</x14:id>
        </ext>
      </extLst>
    </cfRule>
  </conditionalFormatting>
  <conditionalFormatting sqref="C15:D15">
    <cfRule type="dataBar" priority="34">
      <dataBar>
        <cfvo type="min"/>
        <cfvo type="max"/>
        <color rgb="FF008AEF"/>
      </dataBar>
      <extLst>
        <ext xmlns:x14="http://schemas.microsoft.com/office/spreadsheetml/2009/9/main" uri="{B025F937-C7B1-47D3-B67F-A62EFF666E3E}">
          <x14:id>{8A3DB20A-2A2F-435D-AE69-0AAB5E5C32B0}</x14:id>
        </ext>
      </extLst>
    </cfRule>
  </conditionalFormatting>
  <conditionalFormatting sqref="C16:D16">
    <cfRule type="dataBar" priority="33">
      <dataBar>
        <cfvo type="min"/>
        <cfvo type="max"/>
        <color rgb="FF008AEF"/>
      </dataBar>
      <extLst>
        <ext xmlns:x14="http://schemas.microsoft.com/office/spreadsheetml/2009/9/main" uri="{B025F937-C7B1-47D3-B67F-A62EFF666E3E}">
          <x14:id>{B59A3E0A-E589-4522-BD93-419A8C799993}</x14:id>
        </ext>
      </extLst>
    </cfRule>
  </conditionalFormatting>
  <conditionalFormatting sqref="C17:D17">
    <cfRule type="dataBar" priority="32">
      <dataBar>
        <cfvo type="min"/>
        <cfvo type="max"/>
        <color rgb="FF008AEF"/>
      </dataBar>
      <extLst>
        <ext xmlns:x14="http://schemas.microsoft.com/office/spreadsheetml/2009/9/main" uri="{B025F937-C7B1-47D3-B67F-A62EFF666E3E}">
          <x14:id>{09D6D1DA-475C-4A93-9F2C-B7BCD1C4B3EA}</x14:id>
        </ext>
      </extLst>
    </cfRule>
  </conditionalFormatting>
  <conditionalFormatting sqref="C18:D18">
    <cfRule type="dataBar" priority="31">
      <dataBar>
        <cfvo type="min"/>
        <cfvo type="max"/>
        <color rgb="FF008AEF"/>
      </dataBar>
      <extLst>
        <ext xmlns:x14="http://schemas.microsoft.com/office/spreadsheetml/2009/9/main" uri="{B025F937-C7B1-47D3-B67F-A62EFF666E3E}">
          <x14:id>{16FC0CD1-B7A9-42FF-BA53-482CE0C63C52}</x14:id>
        </ext>
      </extLst>
    </cfRule>
  </conditionalFormatting>
  <conditionalFormatting sqref="C19:D19">
    <cfRule type="dataBar" priority="30">
      <dataBar>
        <cfvo type="min"/>
        <cfvo type="max"/>
        <color rgb="FF008AEF"/>
      </dataBar>
      <extLst>
        <ext xmlns:x14="http://schemas.microsoft.com/office/spreadsheetml/2009/9/main" uri="{B025F937-C7B1-47D3-B67F-A62EFF666E3E}">
          <x14:id>{657BB8BA-86DD-4215-B679-A8C1DFA0B2AE}</x14:id>
        </ext>
      </extLst>
    </cfRule>
  </conditionalFormatting>
  <conditionalFormatting sqref="C20:D20">
    <cfRule type="dataBar" priority="29">
      <dataBar>
        <cfvo type="min"/>
        <cfvo type="max"/>
        <color rgb="FF008AEF"/>
      </dataBar>
      <extLst>
        <ext xmlns:x14="http://schemas.microsoft.com/office/spreadsheetml/2009/9/main" uri="{B025F937-C7B1-47D3-B67F-A62EFF666E3E}">
          <x14:id>{2E88817C-46DB-4B15-AB64-5E2612A3802F}</x14:id>
        </ext>
      </extLst>
    </cfRule>
  </conditionalFormatting>
  <conditionalFormatting sqref="C21:D21">
    <cfRule type="dataBar" priority="28">
      <dataBar>
        <cfvo type="min"/>
        <cfvo type="max"/>
        <color rgb="FF008AEF"/>
      </dataBar>
      <extLst>
        <ext xmlns:x14="http://schemas.microsoft.com/office/spreadsheetml/2009/9/main" uri="{B025F937-C7B1-47D3-B67F-A62EFF666E3E}">
          <x14:id>{3AE6E72E-2771-4B41-BF6E-24B48E3D5A1A}</x14:id>
        </ext>
      </extLst>
    </cfRule>
  </conditionalFormatting>
  <conditionalFormatting sqref="C22:D22">
    <cfRule type="dataBar" priority="27">
      <dataBar>
        <cfvo type="min"/>
        <cfvo type="max"/>
        <color rgb="FF008AEF"/>
      </dataBar>
      <extLst>
        <ext xmlns:x14="http://schemas.microsoft.com/office/spreadsheetml/2009/9/main" uri="{B025F937-C7B1-47D3-B67F-A62EFF666E3E}">
          <x14:id>{5B758125-7367-4ADB-A4BB-EE4C2375C644}</x14:id>
        </ext>
      </extLst>
    </cfRule>
  </conditionalFormatting>
  <conditionalFormatting sqref="C23:D23">
    <cfRule type="dataBar" priority="26">
      <dataBar>
        <cfvo type="min"/>
        <cfvo type="max"/>
        <color rgb="FF008AEF"/>
      </dataBar>
      <extLst>
        <ext xmlns:x14="http://schemas.microsoft.com/office/spreadsheetml/2009/9/main" uri="{B025F937-C7B1-47D3-B67F-A62EFF666E3E}">
          <x14:id>{27C55859-2A7D-4B3D-B7D2-3ED01643DAAD}</x14:id>
        </ext>
      </extLst>
    </cfRule>
  </conditionalFormatting>
  <conditionalFormatting sqref="C24:D24">
    <cfRule type="dataBar" priority="25">
      <dataBar>
        <cfvo type="min"/>
        <cfvo type="max"/>
        <color rgb="FF008AEF"/>
      </dataBar>
      <extLst>
        <ext xmlns:x14="http://schemas.microsoft.com/office/spreadsheetml/2009/9/main" uri="{B025F937-C7B1-47D3-B67F-A62EFF666E3E}">
          <x14:id>{224041F7-B21C-45C3-B6F0-767B14F3209C}</x14:id>
        </ext>
      </extLst>
    </cfRule>
  </conditionalFormatting>
  <conditionalFormatting sqref="C25:D25">
    <cfRule type="dataBar" priority="24">
      <dataBar>
        <cfvo type="min"/>
        <cfvo type="max"/>
        <color rgb="FF008AEF"/>
      </dataBar>
      <extLst>
        <ext xmlns:x14="http://schemas.microsoft.com/office/spreadsheetml/2009/9/main" uri="{B025F937-C7B1-47D3-B67F-A62EFF666E3E}">
          <x14:id>{92579831-7486-4DD6-B0E5-08B4379DBEB5}</x14:id>
        </ext>
      </extLst>
    </cfRule>
  </conditionalFormatting>
  <conditionalFormatting sqref="C26:D26">
    <cfRule type="dataBar" priority="23">
      <dataBar>
        <cfvo type="min"/>
        <cfvo type="max"/>
        <color rgb="FF008AEF"/>
      </dataBar>
      <extLst>
        <ext xmlns:x14="http://schemas.microsoft.com/office/spreadsheetml/2009/9/main" uri="{B025F937-C7B1-47D3-B67F-A62EFF666E3E}">
          <x14:id>{8ABCE9E3-9C1B-41C2-B0C0-912AC4608CF5}</x14:id>
        </ext>
      </extLst>
    </cfRule>
  </conditionalFormatting>
  <conditionalFormatting sqref="C27:D27">
    <cfRule type="dataBar" priority="22">
      <dataBar>
        <cfvo type="min"/>
        <cfvo type="max"/>
        <color rgb="FF008AEF"/>
      </dataBar>
      <extLst>
        <ext xmlns:x14="http://schemas.microsoft.com/office/spreadsheetml/2009/9/main" uri="{B025F937-C7B1-47D3-B67F-A62EFF666E3E}">
          <x14:id>{8CDA191E-AC51-443B-B439-5E0999F687F0}</x14:id>
        </ext>
      </extLst>
    </cfRule>
  </conditionalFormatting>
  <conditionalFormatting sqref="C28:D28">
    <cfRule type="dataBar" priority="21">
      <dataBar>
        <cfvo type="min"/>
        <cfvo type="max"/>
        <color rgb="FF008AEF"/>
      </dataBar>
      <extLst>
        <ext xmlns:x14="http://schemas.microsoft.com/office/spreadsheetml/2009/9/main" uri="{B025F937-C7B1-47D3-B67F-A62EFF666E3E}">
          <x14:id>{3D4EBA27-1429-4463-ADCB-64B7EEB2615A}</x14:id>
        </ext>
      </extLst>
    </cfRule>
  </conditionalFormatting>
  <conditionalFormatting sqref="C29:D29">
    <cfRule type="dataBar" priority="20">
      <dataBar>
        <cfvo type="min"/>
        <cfvo type="max"/>
        <color rgb="FF008AEF"/>
      </dataBar>
      <extLst>
        <ext xmlns:x14="http://schemas.microsoft.com/office/spreadsheetml/2009/9/main" uri="{B025F937-C7B1-47D3-B67F-A62EFF666E3E}">
          <x14:id>{E6C03AFD-8931-420E-BA93-0764577CC184}</x14:id>
        </ext>
      </extLst>
    </cfRule>
  </conditionalFormatting>
  <conditionalFormatting sqref="C30:D30">
    <cfRule type="dataBar" priority="19">
      <dataBar>
        <cfvo type="min"/>
        <cfvo type="max"/>
        <color rgb="FF008AEF"/>
      </dataBar>
      <extLst>
        <ext xmlns:x14="http://schemas.microsoft.com/office/spreadsheetml/2009/9/main" uri="{B025F937-C7B1-47D3-B67F-A62EFF666E3E}">
          <x14:id>{D318E996-7789-4DC8-AD89-54845899E63B}</x14:id>
        </ext>
      </extLst>
    </cfRule>
  </conditionalFormatting>
  <conditionalFormatting sqref="C31:D31">
    <cfRule type="dataBar" priority="18">
      <dataBar>
        <cfvo type="min"/>
        <cfvo type="max"/>
        <color rgb="FF008AEF"/>
      </dataBar>
      <extLst>
        <ext xmlns:x14="http://schemas.microsoft.com/office/spreadsheetml/2009/9/main" uri="{B025F937-C7B1-47D3-B67F-A62EFF666E3E}">
          <x14:id>{227CA071-4AED-4CCF-8A6B-D05395A75F3D}</x14:id>
        </ext>
      </extLst>
    </cfRule>
  </conditionalFormatting>
  <conditionalFormatting sqref="C32:D32">
    <cfRule type="dataBar" priority="17">
      <dataBar>
        <cfvo type="min"/>
        <cfvo type="max"/>
        <color rgb="FF008AEF"/>
      </dataBar>
      <extLst>
        <ext xmlns:x14="http://schemas.microsoft.com/office/spreadsheetml/2009/9/main" uri="{B025F937-C7B1-47D3-B67F-A62EFF666E3E}">
          <x14:id>{518B9A63-A097-49D6-85CC-7523877F8AF1}</x14:id>
        </ext>
      </extLst>
    </cfRule>
  </conditionalFormatting>
  <conditionalFormatting sqref="C33:D33">
    <cfRule type="dataBar" priority="16">
      <dataBar>
        <cfvo type="min"/>
        <cfvo type="max"/>
        <color rgb="FF008AEF"/>
      </dataBar>
      <extLst>
        <ext xmlns:x14="http://schemas.microsoft.com/office/spreadsheetml/2009/9/main" uri="{B025F937-C7B1-47D3-B67F-A62EFF666E3E}">
          <x14:id>{0A58EF85-C97E-4A35-9A98-8F54C70BFA34}</x14:id>
        </ext>
      </extLst>
    </cfRule>
  </conditionalFormatting>
  <conditionalFormatting sqref="C34:D34">
    <cfRule type="dataBar" priority="15">
      <dataBar>
        <cfvo type="min"/>
        <cfvo type="max"/>
        <color rgb="FF008AEF"/>
      </dataBar>
      <extLst>
        <ext xmlns:x14="http://schemas.microsoft.com/office/spreadsheetml/2009/9/main" uri="{B025F937-C7B1-47D3-B67F-A62EFF666E3E}">
          <x14:id>{33D3528B-752E-40B4-8C43-376FE754BC85}</x14:id>
        </ext>
      </extLst>
    </cfRule>
  </conditionalFormatting>
  <conditionalFormatting sqref="C35:D35">
    <cfRule type="dataBar" priority="14">
      <dataBar>
        <cfvo type="min"/>
        <cfvo type="max"/>
        <color rgb="FF008AEF"/>
      </dataBar>
      <extLst>
        <ext xmlns:x14="http://schemas.microsoft.com/office/spreadsheetml/2009/9/main" uri="{B025F937-C7B1-47D3-B67F-A62EFF666E3E}">
          <x14:id>{65360194-8279-4E31-9552-253D8937EE5D}</x14:id>
        </ext>
      </extLst>
    </cfRule>
  </conditionalFormatting>
  <conditionalFormatting sqref="C36:D36">
    <cfRule type="dataBar" priority="13">
      <dataBar>
        <cfvo type="min"/>
        <cfvo type="max"/>
        <color rgb="FF008AEF"/>
      </dataBar>
      <extLst>
        <ext xmlns:x14="http://schemas.microsoft.com/office/spreadsheetml/2009/9/main" uri="{B025F937-C7B1-47D3-B67F-A62EFF666E3E}">
          <x14:id>{B8E0995F-E341-4CE1-A32D-CB7CB7EE917D}</x14:id>
        </ext>
      </extLst>
    </cfRule>
  </conditionalFormatting>
  <conditionalFormatting sqref="E3:F32 E33:O36">
    <cfRule type="cellIs" dxfId="4" priority="1" operator="greaterThan">
      <formula>0</formula>
    </cfRule>
  </conditionalFormatting>
  <conditionalFormatting sqref="G9:O32">
    <cfRule type="cellIs" dxfId="3" priority="11" operator="greaterThan">
      <formula>0</formula>
    </cfRule>
  </conditionalFormatting>
  <conditionalFormatting sqref="G3:P8">
    <cfRule type="cellIs" dxfId="2" priority="2" operator="greaterThan">
      <formula>0</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DB36FDB-1843-4980-A228-E1F99AF9FFF4}">
            <x14:dataBar minLength="0" maxLength="100" gradient="0">
              <x14:cfvo type="autoMin"/>
              <x14:cfvo type="autoMax"/>
              <x14:negativeFillColor rgb="FFFF0000"/>
              <x14:axisColor rgb="FF000000"/>
            </x14:dataBar>
          </x14:cfRule>
          <xm:sqref>C3:D3 D4:D8</xm:sqref>
        </x14:conditionalFormatting>
        <x14:conditionalFormatting xmlns:xm="http://schemas.microsoft.com/office/excel/2006/main">
          <x14:cfRule type="dataBar" id="{BEF8A044-632B-4AEB-87EE-A8554956A267}">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60D2C488-35BC-4E05-9358-5298EA28F5E6}">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66D2C244-A505-4965-8B36-739BBD66FCBA}">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D3D64D37-DAF1-468D-99FF-7D4384B4976B}">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7324E761-74C4-49F8-A3A8-D32B134750E8}">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E655B454-3F6B-441D-945D-B3653259978B}">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1B079520-DB50-4F1D-B903-EBEDE9022BD4}">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35541819-2584-43A5-8F2C-64E91188AE54}">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2B894E75-B9BF-46F2-8E8D-27D96440F821}">
            <x14:dataBar minLength="0" maxLength="100" gradient="0">
              <x14:cfvo type="autoMin"/>
              <x14:cfvo type="autoMax"/>
              <x14:negativeFillColor rgb="FFFF0000"/>
              <x14:axisColor rgb="FF000000"/>
            </x14:dataBar>
          </x14:cfRule>
          <xm:sqref>C12:D12</xm:sqref>
        </x14:conditionalFormatting>
        <x14:conditionalFormatting xmlns:xm="http://schemas.microsoft.com/office/excel/2006/main">
          <x14:cfRule type="dataBar" id="{D2AF0012-A945-4123-A069-7A7D6F3E6E5C}">
            <x14:dataBar minLength="0" maxLength="100" gradient="0">
              <x14:cfvo type="autoMin"/>
              <x14:cfvo type="autoMax"/>
              <x14:negativeFillColor rgb="FFFF0000"/>
              <x14:axisColor rgb="FF000000"/>
            </x14:dataBar>
          </x14:cfRule>
          <xm:sqref>C13:D13</xm:sqref>
        </x14:conditionalFormatting>
        <x14:conditionalFormatting xmlns:xm="http://schemas.microsoft.com/office/excel/2006/main">
          <x14:cfRule type="dataBar" id="{96C522CF-1FE3-4FE4-91D7-87CA0E4A82D1}">
            <x14:dataBar minLength="0" maxLength="100" gradient="0">
              <x14:cfvo type="autoMin"/>
              <x14:cfvo type="autoMax"/>
              <x14:negativeFillColor rgb="FFFF0000"/>
              <x14:axisColor rgb="FF000000"/>
            </x14:dataBar>
          </x14:cfRule>
          <xm:sqref>C14:D14</xm:sqref>
        </x14:conditionalFormatting>
        <x14:conditionalFormatting xmlns:xm="http://schemas.microsoft.com/office/excel/2006/main">
          <x14:cfRule type="dataBar" id="{8A3DB20A-2A2F-435D-AE69-0AAB5E5C32B0}">
            <x14:dataBar minLength="0" maxLength="100" gradient="0">
              <x14:cfvo type="autoMin"/>
              <x14:cfvo type="autoMax"/>
              <x14:negativeFillColor rgb="FFFF0000"/>
              <x14:axisColor rgb="FF000000"/>
            </x14:dataBar>
          </x14:cfRule>
          <xm:sqref>C15:D15</xm:sqref>
        </x14:conditionalFormatting>
        <x14:conditionalFormatting xmlns:xm="http://schemas.microsoft.com/office/excel/2006/main">
          <x14:cfRule type="dataBar" id="{B59A3E0A-E589-4522-BD93-419A8C799993}">
            <x14:dataBar minLength="0" maxLength="100" gradient="0">
              <x14:cfvo type="autoMin"/>
              <x14:cfvo type="autoMax"/>
              <x14:negativeFillColor rgb="FFFF0000"/>
              <x14:axisColor rgb="FF000000"/>
            </x14:dataBar>
          </x14:cfRule>
          <xm:sqref>C16:D16</xm:sqref>
        </x14:conditionalFormatting>
        <x14:conditionalFormatting xmlns:xm="http://schemas.microsoft.com/office/excel/2006/main">
          <x14:cfRule type="dataBar" id="{09D6D1DA-475C-4A93-9F2C-B7BCD1C4B3EA}">
            <x14:dataBar minLength="0" maxLength="100" gradient="0">
              <x14:cfvo type="autoMin"/>
              <x14:cfvo type="autoMax"/>
              <x14:negativeFillColor rgb="FFFF0000"/>
              <x14:axisColor rgb="FF000000"/>
            </x14:dataBar>
          </x14:cfRule>
          <xm:sqref>C17:D17</xm:sqref>
        </x14:conditionalFormatting>
        <x14:conditionalFormatting xmlns:xm="http://schemas.microsoft.com/office/excel/2006/main">
          <x14:cfRule type="dataBar" id="{16FC0CD1-B7A9-42FF-BA53-482CE0C63C52}">
            <x14:dataBar minLength="0" maxLength="100" gradient="0">
              <x14:cfvo type="autoMin"/>
              <x14:cfvo type="autoMax"/>
              <x14:negativeFillColor rgb="FFFF0000"/>
              <x14:axisColor rgb="FF000000"/>
            </x14:dataBar>
          </x14:cfRule>
          <xm:sqref>C18:D18</xm:sqref>
        </x14:conditionalFormatting>
        <x14:conditionalFormatting xmlns:xm="http://schemas.microsoft.com/office/excel/2006/main">
          <x14:cfRule type="dataBar" id="{657BB8BA-86DD-4215-B679-A8C1DFA0B2AE}">
            <x14:dataBar minLength="0" maxLength="100" gradient="0">
              <x14:cfvo type="autoMin"/>
              <x14:cfvo type="autoMax"/>
              <x14:negativeFillColor rgb="FFFF0000"/>
              <x14:axisColor rgb="FF000000"/>
            </x14:dataBar>
          </x14:cfRule>
          <xm:sqref>C19:D19</xm:sqref>
        </x14:conditionalFormatting>
        <x14:conditionalFormatting xmlns:xm="http://schemas.microsoft.com/office/excel/2006/main">
          <x14:cfRule type="dataBar" id="{2E88817C-46DB-4B15-AB64-5E2612A3802F}">
            <x14:dataBar minLength="0" maxLength="100" gradient="0">
              <x14:cfvo type="autoMin"/>
              <x14:cfvo type="autoMax"/>
              <x14:negativeFillColor rgb="FFFF0000"/>
              <x14:axisColor rgb="FF000000"/>
            </x14:dataBar>
          </x14:cfRule>
          <xm:sqref>C20:D20</xm:sqref>
        </x14:conditionalFormatting>
        <x14:conditionalFormatting xmlns:xm="http://schemas.microsoft.com/office/excel/2006/main">
          <x14:cfRule type="dataBar" id="{3AE6E72E-2771-4B41-BF6E-24B48E3D5A1A}">
            <x14:dataBar minLength="0" maxLength="100" gradient="0">
              <x14:cfvo type="autoMin"/>
              <x14:cfvo type="autoMax"/>
              <x14:negativeFillColor rgb="FFFF0000"/>
              <x14:axisColor rgb="FF000000"/>
            </x14:dataBar>
          </x14:cfRule>
          <xm:sqref>C21:D21</xm:sqref>
        </x14:conditionalFormatting>
        <x14:conditionalFormatting xmlns:xm="http://schemas.microsoft.com/office/excel/2006/main">
          <x14:cfRule type="dataBar" id="{5B758125-7367-4ADB-A4BB-EE4C2375C644}">
            <x14:dataBar minLength="0" maxLength="100" gradient="0">
              <x14:cfvo type="autoMin"/>
              <x14:cfvo type="autoMax"/>
              <x14:negativeFillColor rgb="FFFF0000"/>
              <x14:axisColor rgb="FF000000"/>
            </x14:dataBar>
          </x14:cfRule>
          <xm:sqref>C22:D22</xm:sqref>
        </x14:conditionalFormatting>
        <x14:conditionalFormatting xmlns:xm="http://schemas.microsoft.com/office/excel/2006/main">
          <x14:cfRule type="dataBar" id="{27C55859-2A7D-4B3D-B7D2-3ED01643DAAD}">
            <x14:dataBar minLength="0" maxLength="100" gradient="0">
              <x14:cfvo type="autoMin"/>
              <x14:cfvo type="autoMax"/>
              <x14:negativeFillColor rgb="FFFF0000"/>
              <x14:axisColor rgb="FF000000"/>
            </x14:dataBar>
          </x14:cfRule>
          <xm:sqref>C23:D23</xm:sqref>
        </x14:conditionalFormatting>
        <x14:conditionalFormatting xmlns:xm="http://schemas.microsoft.com/office/excel/2006/main">
          <x14:cfRule type="dataBar" id="{224041F7-B21C-45C3-B6F0-767B14F3209C}">
            <x14:dataBar minLength="0" maxLength="100" gradient="0">
              <x14:cfvo type="autoMin"/>
              <x14:cfvo type="autoMax"/>
              <x14:negativeFillColor rgb="FFFF0000"/>
              <x14:axisColor rgb="FF000000"/>
            </x14:dataBar>
          </x14:cfRule>
          <xm:sqref>C24:D24</xm:sqref>
        </x14:conditionalFormatting>
        <x14:conditionalFormatting xmlns:xm="http://schemas.microsoft.com/office/excel/2006/main">
          <x14:cfRule type="dataBar" id="{92579831-7486-4DD6-B0E5-08B4379DBEB5}">
            <x14:dataBar minLength="0" maxLength="100" gradient="0">
              <x14:cfvo type="autoMin"/>
              <x14:cfvo type="autoMax"/>
              <x14:negativeFillColor rgb="FFFF0000"/>
              <x14:axisColor rgb="FF000000"/>
            </x14:dataBar>
          </x14:cfRule>
          <xm:sqref>C25:D25</xm:sqref>
        </x14:conditionalFormatting>
        <x14:conditionalFormatting xmlns:xm="http://schemas.microsoft.com/office/excel/2006/main">
          <x14:cfRule type="dataBar" id="{8ABCE9E3-9C1B-41C2-B0C0-912AC4608CF5}">
            <x14:dataBar minLength="0" maxLength="100" gradient="0">
              <x14:cfvo type="autoMin"/>
              <x14:cfvo type="autoMax"/>
              <x14:negativeFillColor rgb="FFFF0000"/>
              <x14:axisColor rgb="FF000000"/>
            </x14:dataBar>
          </x14:cfRule>
          <xm:sqref>C26:D26</xm:sqref>
        </x14:conditionalFormatting>
        <x14:conditionalFormatting xmlns:xm="http://schemas.microsoft.com/office/excel/2006/main">
          <x14:cfRule type="dataBar" id="{8CDA191E-AC51-443B-B439-5E0999F687F0}">
            <x14:dataBar minLength="0" maxLength="100" gradient="0">
              <x14:cfvo type="autoMin"/>
              <x14:cfvo type="autoMax"/>
              <x14:negativeFillColor rgb="FFFF0000"/>
              <x14:axisColor rgb="FF000000"/>
            </x14:dataBar>
          </x14:cfRule>
          <xm:sqref>C27:D27</xm:sqref>
        </x14:conditionalFormatting>
        <x14:conditionalFormatting xmlns:xm="http://schemas.microsoft.com/office/excel/2006/main">
          <x14:cfRule type="dataBar" id="{3D4EBA27-1429-4463-ADCB-64B7EEB2615A}">
            <x14:dataBar minLength="0" maxLength="100" gradient="0">
              <x14:cfvo type="autoMin"/>
              <x14:cfvo type="autoMax"/>
              <x14:negativeFillColor rgb="FFFF0000"/>
              <x14:axisColor rgb="FF000000"/>
            </x14:dataBar>
          </x14:cfRule>
          <xm:sqref>C28:D28</xm:sqref>
        </x14:conditionalFormatting>
        <x14:conditionalFormatting xmlns:xm="http://schemas.microsoft.com/office/excel/2006/main">
          <x14:cfRule type="dataBar" id="{E6C03AFD-8931-420E-BA93-0764577CC184}">
            <x14:dataBar minLength="0" maxLength="100" gradient="0">
              <x14:cfvo type="autoMin"/>
              <x14:cfvo type="autoMax"/>
              <x14:negativeFillColor rgb="FFFF0000"/>
              <x14:axisColor rgb="FF000000"/>
            </x14:dataBar>
          </x14:cfRule>
          <xm:sqref>C29:D29</xm:sqref>
        </x14:conditionalFormatting>
        <x14:conditionalFormatting xmlns:xm="http://schemas.microsoft.com/office/excel/2006/main">
          <x14:cfRule type="dataBar" id="{D318E996-7789-4DC8-AD89-54845899E63B}">
            <x14:dataBar minLength="0" maxLength="100" gradient="0">
              <x14:cfvo type="autoMin"/>
              <x14:cfvo type="autoMax"/>
              <x14:negativeFillColor rgb="FFFF0000"/>
              <x14:axisColor rgb="FF000000"/>
            </x14:dataBar>
          </x14:cfRule>
          <xm:sqref>C30:D30</xm:sqref>
        </x14:conditionalFormatting>
        <x14:conditionalFormatting xmlns:xm="http://schemas.microsoft.com/office/excel/2006/main">
          <x14:cfRule type="dataBar" id="{227CA071-4AED-4CCF-8A6B-D05395A75F3D}">
            <x14:dataBar minLength="0" maxLength="100" gradient="0">
              <x14:cfvo type="autoMin"/>
              <x14:cfvo type="autoMax"/>
              <x14:negativeFillColor rgb="FFFF0000"/>
              <x14:axisColor rgb="FF000000"/>
            </x14:dataBar>
          </x14:cfRule>
          <xm:sqref>C31:D31</xm:sqref>
        </x14:conditionalFormatting>
        <x14:conditionalFormatting xmlns:xm="http://schemas.microsoft.com/office/excel/2006/main">
          <x14:cfRule type="dataBar" id="{518B9A63-A097-49D6-85CC-7523877F8AF1}">
            <x14:dataBar minLength="0" maxLength="100" gradient="0">
              <x14:cfvo type="autoMin"/>
              <x14:cfvo type="autoMax"/>
              <x14:negativeFillColor rgb="FFFF0000"/>
              <x14:axisColor rgb="FF000000"/>
            </x14:dataBar>
          </x14:cfRule>
          <xm:sqref>C32:D32</xm:sqref>
        </x14:conditionalFormatting>
        <x14:conditionalFormatting xmlns:xm="http://schemas.microsoft.com/office/excel/2006/main">
          <x14:cfRule type="dataBar" id="{0A58EF85-C97E-4A35-9A98-8F54C70BFA34}">
            <x14:dataBar minLength="0" maxLength="100" gradient="0">
              <x14:cfvo type="autoMin"/>
              <x14:cfvo type="autoMax"/>
              <x14:negativeFillColor rgb="FFFF0000"/>
              <x14:axisColor rgb="FF000000"/>
            </x14:dataBar>
          </x14:cfRule>
          <xm:sqref>C33:D33</xm:sqref>
        </x14:conditionalFormatting>
        <x14:conditionalFormatting xmlns:xm="http://schemas.microsoft.com/office/excel/2006/main">
          <x14:cfRule type="dataBar" id="{33D3528B-752E-40B4-8C43-376FE754BC85}">
            <x14:dataBar minLength="0" maxLength="100" gradient="0">
              <x14:cfvo type="autoMin"/>
              <x14:cfvo type="autoMax"/>
              <x14:negativeFillColor rgb="FFFF0000"/>
              <x14:axisColor rgb="FF000000"/>
            </x14:dataBar>
          </x14:cfRule>
          <xm:sqref>C34:D34</xm:sqref>
        </x14:conditionalFormatting>
        <x14:conditionalFormatting xmlns:xm="http://schemas.microsoft.com/office/excel/2006/main">
          <x14:cfRule type="dataBar" id="{65360194-8279-4E31-9552-253D8937EE5D}">
            <x14:dataBar minLength="0" maxLength="100" gradient="0">
              <x14:cfvo type="autoMin"/>
              <x14:cfvo type="autoMax"/>
              <x14:negativeFillColor rgb="FFFF0000"/>
              <x14:axisColor rgb="FF000000"/>
            </x14:dataBar>
          </x14:cfRule>
          <xm:sqref>C35:D35</xm:sqref>
        </x14:conditionalFormatting>
        <x14:conditionalFormatting xmlns:xm="http://schemas.microsoft.com/office/excel/2006/main">
          <x14:cfRule type="dataBar" id="{B8E0995F-E341-4CE1-A32D-CB7CB7EE917D}">
            <x14:dataBar minLength="0" maxLength="100" gradient="0">
              <x14:cfvo type="autoMin"/>
              <x14:cfvo type="autoMax"/>
              <x14:negativeFillColor rgb="FFFF0000"/>
              <x14:axisColor rgb="FF000000"/>
            </x14:dataBar>
          </x14:cfRule>
          <xm:sqref>C36:D36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E13"/>
  <sheetViews>
    <sheetView workbookViewId="0">
      <selection activeCell="G14" sqref="G14"/>
    </sheetView>
  </sheetViews>
  <sheetFormatPr baseColWidth="10" defaultRowHeight="15" x14ac:dyDescent="0.25"/>
  <cols>
    <col min="1" max="1" width="11.28515625" customWidth="1"/>
    <col min="2" max="2" width="24" customWidth="1"/>
    <col min="3" max="3" width="11.85546875" bestFit="1" customWidth="1"/>
  </cols>
  <sheetData>
    <row r="1" spans="1:5" x14ac:dyDescent="0.25">
      <c r="A1" s="67" t="s">
        <v>51</v>
      </c>
      <c r="B1" s="67"/>
      <c r="C1" s="26" t="s">
        <v>2</v>
      </c>
      <c r="D1" s="26" t="s">
        <v>74</v>
      </c>
      <c r="E1" s="26" t="s">
        <v>105</v>
      </c>
    </row>
    <row r="2" spans="1:5" x14ac:dyDescent="0.25">
      <c r="A2" s="25" t="s">
        <v>52</v>
      </c>
      <c r="B2" s="61" t="s">
        <v>63</v>
      </c>
      <c r="C2" s="27">
        <f>'D26 Alajuela Sur'!C39</f>
        <v>281</v>
      </c>
      <c r="D2" s="28">
        <f>'D26 Alajuela Sur'!D39</f>
        <v>68</v>
      </c>
      <c r="E2" s="59">
        <f>D2/C2</f>
        <v>0.24199288256227758</v>
      </c>
    </row>
    <row r="3" spans="1:5" x14ac:dyDescent="0.25">
      <c r="A3" s="25" t="s">
        <v>53</v>
      </c>
      <c r="B3" s="61" t="s">
        <v>64</v>
      </c>
      <c r="C3" s="28">
        <f>'D27 Alajuela Norte'!C35</f>
        <v>581</v>
      </c>
      <c r="D3" s="28">
        <f>'D27 Alajuela Norte'!D35</f>
        <v>217</v>
      </c>
      <c r="E3" s="59">
        <f t="shared" ref="E3:E12" si="0">D3/C3</f>
        <v>0.37349397590361444</v>
      </c>
    </row>
    <row r="4" spans="1:5" x14ac:dyDescent="0.25">
      <c r="A4" s="25" t="s">
        <v>54</v>
      </c>
      <c r="B4" s="61" t="s">
        <v>65</v>
      </c>
      <c r="C4" s="27">
        <f>'D28 San Ramón'!C37</f>
        <v>303</v>
      </c>
      <c r="D4" s="27">
        <f>'D28 San Ramón'!D37</f>
        <v>152</v>
      </c>
      <c r="E4" s="59">
        <f t="shared" si="0"/>
        <v>0.50165016501650161</v>
      </c>
    </row>
    <row r="5" spans="1:5" x14ac:dyDescent="0.25">
      <c r="A5" s="25" t="s">
        <v>55</v>
      </c>
      <c r="B5" s="61" t="s">
        <v>66</v>
      </c>
      <c r="C5" s="28">
        <f>'D29 Grecia'!C37</f>
        <v>369</v>
      </c>
      <c r="D5" s="28">
        <f>'D29 Grecia'!D37</f>
        <v>136</v>
      </c>
      <c r="E5" s="59">
        <f t="shared" si="0"/>
        <v>0.36856368563685638</v>
      </c>
    </row>
    <row r="6" spans="1:5" x14ac:dyDescent="0.25">
      <c r="A6" s="25" t="s">
        <v>56</v>
      </c>
      <c r="B6" s="61" t="s">
        <v>67</v>
      </c>
      <c r="C6" s="28">
        <f>'D30 San Mateo'!C37</f>
        <v>245</v>
      </c>
      <c r="D6" s="28">
        <f>'D30 San Mateo'!D37</f>
        <v>42</v>
      </c>
      <c r="E6" s="59">
        <f t="shared" si="0"/>
        <v>0.17142857142857143</v>
      </c>
    </row>
    <row r="7" spans="1:5" x14ac:dyDescent="0.25">
      <c r="A7" s="25" t="s">
        <v>57</v>
      </c>
      <c r="B7" s="61" t="s">
        <v>68</v>
      </c>
      <c r="C7" s="28">
        <f>'D31 Atenas'!C37</f>
        <v>273</v>
      </c>
      <c r="D7" s="28">
        <f>'D31 Atenas'!D37</f>
        <v>111</v>
      </c>
      <c r="E7" s="59">
        <f t="shared" si="0"/>
        <v>0.40659340659340659</v>
      </c>
    </row>
    <row r="8" spans="1:5" x14ac:dyDescent="0.25">
      <c r="A8" s="25" t="s">
        <v>58</v>
      </c>
      <c r="B8" s="61" t="s">
        <v>69</v>
      </c>
      <c r="C8" s="28">
        <f>'D32 Naranjo'!C37</f>
        <v>296</v>
      </c>
      <c r="D8" s="28">
        <f>'D32 Naranjo'!D37</f>
        <v>143</v>
      </c>
      <c r="E8" s="59">
        <f t="shared" si="0"/>
        <v>0.48310810810810811</v>
      </c>
    </row>
    <row r="9" spans="1:5" x14ac:dyDescent="0.25">
      <c r="A9" s="25" t="s">
        <v>59</v>
      </c>
      <c r="B9" s="61" t="s">
        <v>70</v>
      </c>
      <c r="C9" s="28">
        <f>'D33 Palmares'!C37</f>
        <v>326</v>
      </c>
      <c r="D9" s="28">
        <f>'D33 Palmares'!D37</f>
        <v>143</v>
      </c>
      <c r="E9" s="59">
        <f t="shared" si="0"/>
        <v>0.43865030674846628</v>
      </c>
    </row>
    <row r="10" spans="1:5" x14ac:dyDescent="0.25">
      <c r="A10" s="25" t="s">
        <v>60</v>
      </c>
      <c r="B10" s="61" t="s">
        <v>71</v>
      </c>
      <c r="C10" s="28">
        <f>'D34 Poás'!C39</f>
        <v>249</v>
      </c>
      <c r="D10" s="28">
        <f>'D34 Poás'!D39</f>
        <v>94</v>
      </c>
      <c r="E10" s="59">
        <f t="shared" si="0"/>
        <v>0.37751004016064255</v>
      </c>
    </row>
    <row r="11" spans="1:5" x14ac:dyDescent="0.25">
      <c r="A11" s="25" t="s">
        <v>61</v>
      </c>
      <c r="B11" s="61" t="s">
        <v>72</v>
      </c>
      <c r="C11" s="28">
        <f>'D35 Orotina'!C39</f>
        <v>177</v>
      </c>
      <c r="D11" s="28">
        <f>'D35 Orotina'!D39</f>
        <v>68</v>
      </c>
      <c r="E11" s="59">
        <f t="shared" si="0"/>
        <v>0.38418079096045199</v>
      </c>
    </row>
    <row r="12" spans="1:5" x14ac:dyDescent="0.25">
      <c r="A12" s="25" t="s">
        <v>62</v>
      </c>
      <c r="B12" s="61" t="s">
        <v>73</v>
      </c>
      <c r="C12" s="28">
        <f>'D36 Sarchí'!C37</f>
        <v>158</v>
      </c>
      <c r="D12" s="28">
        <f>'D36 Sarchí'!D37</f>
        <v>73</v>
      </c>
      <c r="E12" s="59">
        <f t="shared" si="0"/>
        <v>0.46202531645569622</v>
      </c>
    </row>
    <row r="13" spans="1:5" x14ac:dyDescent="0.25">
      <c r="B13" s="24" t="s">
        <v>50</v>
      </c>
      <c r="C13" s="60">
        <f>SUM(C2:C12)</f>
        <v>3258</v>
      </c>
      <c r="D13" s="60">
        <f>SUM(D2:D12)</f>
        <v>1247</v>
      </c>
      <c r="E13" s="59">
        <f>D13/C13</f>
        <v>0.38275015346838553</v>
      </c>
    </row>
  </sheetData>
  <sheetProtection algorithmName="SHA-512" hashValue="OISCmBHWijzfRmetPD+o2+A6cRV9JaFtf2DPS3QzR5d3zvGSKusIdps4Ko6/UC4Aq174UDV78/EawkFO4raAfg==" saltValue="xHBrzqYvacN8EB7+lMRU2w==" spinCount="100000" sheet="1" objects="1" scenarios="1" autoFilter="0"/>
  <mergeCells count="1">
    <mergeCell ref="A1:B1"/>
  </mergeCells>
  <phoneticPr fontId="11" type="noConversion"/>
  <conditionalFormatting sqref="C2:D2">
    <cfRule type="dataBar" priority="17">
      <dataBar>
        <cfvo type="min"/>
        <cfvo type="max"/>
        <color rgb="FF008AEF"/>
      </dataBar>
      <extLst>
        <ext xmlns:x14="http://schemas.microsoft.com/office/spreadsheetml/2009/9/main" uri="{B025F937-C7B1-47D3-B67F-A62EFF666E3E}">
          <x14:id>{D3AD119A-6A26-4163-8632-7F2F41457CA2}</x14:id>
        </ext>
      </extLst>
    </cfRule>
  </conditionalFormatting>
  <conditionalFormatting sqref="C3:D3">
    <cfRule type="dataBar" priority="16">
      <dataBar>
        <cfvo type="min"/>
        <cfvo type="max"/>
        <color rgb="FF008AEF"/>
      </dataBar>
      <extLst>
        <ext xmlns:x14="http://schemas.microsoft.com/office/spreadsheetml/2009/9/main" uri="{B025F937-C7B1-47D3-B67F-A62EFF666E3E}">
          <x14:id>{FC7CAE0E-FCA0-42E4-AEC5-3B0F68250601}</x14:id>
        </ext>
      </extLst>
    </cfRule>
  </conditionalFormatting>
  <conditionalFormatting sqref="C4:D4">
    <cfRule type="dataBar" priority="15">
      <dataBar>
        <cfvo type="min"/>
        <cfvo type="max"/>
        <color rgb="FF008AEF"/>
      </dataBar>
      <extLst>
        <ext xmlns:x14="http://schemas.microsoft.com/office/spreadsheetml/2009/9/main" uri="{B025F937-C7B1-47D3-B67F-A62EFF666E3E}">
          <x14:id>{EF416960-A834-4EFD-8A17-8C2F4FF35406}</x14:id>
        </ext>
      </extLst>
    </cfRule>
  </conditionalFormatting>
  <conditionalFormatting sqref="C5:D5">
    <cfRule type="dataBar" priority="14">
      <dataBar>
        <cfvo type="min"/>
        <cfvo type="max"/>
        <color rgb="FF008AEF"/>
      </dataBar>
      <extLst>
        <ext xmlns:x14="http://schemas.microsoft.com/office/spreadsheetml/2009/9/main" uri="{B025F937-C7B1-47D3-B67F-A62EFF666E3E}">
          <x14:id>{F1FD5EB5-5151-4AF4-B269-90A6940C7549}</x14:id>
        </ext>
      </extLst>
    </cfRule>
  </conditionalFormatting>
  <conditionalFormatting sqref="C6:D6">
    <cfRule type="dataBar" priority="13">
      <dataBar>
        <cfvo type="min"/>
        <cfvo type="max"/>
        <color rgb="FF008AEF"/>
      </dataBar>
      <extLst>
        <ext xmlns:x14="http://schemas.microsoft.com/office/spreadsheetml/2009/9/main" uri="{B025F937-C7B1-47D3-B67F-A62EFF666E3E}">
          <x14:id>{DBD53DB9-0E1F-4995-B009-F90AB5E8CA51}</x14:id>
        </ext>
      </extLst>
    </cfRule>
  </conditionalFormatting>
  <conditionalFormatting sqref="C7:D7">
    <cfRule type="dataBar" priority="12">
      <dataBar>
        <cfvo type="min"/>
        <cfvo type="max"/>
        <color rgb="FF008AEF"/>
      </dataBar>
      <extLst>
        <ext xmlns:x14="http://schemas.microsoft.com/office/spreadsheetml/2009/9/main" uri="{B025F937-C7B1-47D3-B67F-A62EFF666E3E}">
          <x14:id>{F3F9E833-F539-4EAB-A6E3-E3007F9D2F4D}</x14:id>
        </ext>
      </extLst>
    </cfRule>
  </conditionalFormatting>
  <conditionalFormatting sqref="C8:D8">
    <cfRule type="dataBar" priority="11">
      <dataBar>
        <cfvo type="min"/>
        <cfvo type="max"/>
        <color rgb="FF008AEF"/>
      </dataBar>
      <extLst>
        <ext xmlns:x14="http://schemas.microsoft.com/office/spreadsheetml/2009/9/main" uri="{B025F937-C7B1-47D3-B67F-A62EFF666E3E}">
          <x14:id>{A25997BF-1D6A-4486-88E9-1FBC7F5FA912}</x14:id>
        </ext>
      </extLst>
    </cfRule>
  </conditionalFormatting>
  <conditionalFormatting sqref="C9:D9">
    <cfRule type="dataBar" priority="8">
      <dataBar>
        <cfvo type="min"/>
        <cfvo type="max"/>
        <color rgb="FF008AEF"/>
      </dataBar>
      <extLst>
        <ext xmlns:x14="http://schemas.microsoft.com/office/spreadsheetml/2009/9/main" uri="{B025F937-C7B1-47D3-B67F-A62EFF666E3E}">
          <x14:id>{5F3337A6-69B0-4158-B9A9-79B6E97C2D76}</x14:id>
        </ext>
      </extLst>
    </cfRule>
  </conditionalFormatting>
  <conditionalFormatting sqref="C10:D10">
    <cfRule type="dataBar" priority="7">
      <dataBar>
        <cfvo type="min"/>
        <cfvo type="max"/>
        <color rgb="FF008AEF"/>
      </dataBar>
      <extLst>
        <ext xmlns:x14="http://schemas.microsoft.com/office/spreadsheetml/2009/9/main" uri="{B025F937-C7B1-47D3-B67F-A62EFF666E3E}">
          <x14:id>{70547529-4D63-469A-9640-1D67CDD6C9AB}</x14:id>
        </ext>
      </extLst>
    </cfRule>
  </conditionalFormatting>
  <conditionalFormatting sqref="C11:D11">
    <cfRule type="dataBar" priority="6">
      <dataBar>
        <cfvo type="min"/>
        <cfvo type="max"/>
        <color rgb="FF008AEF"/>
      </dataBar>
      <extLst>
        <ext xmlns:x14="http://schemas.microsoft.com/office/spreadsheetml/2009/9/main" uri="{B025F937-C7B1-47D3-B67F-A62EFF666E3E}">
          <x14:id>{A7233DEE-1D7C-452D-90F7-33326FD608B4}</x14:id>
        </ext>
      </extLst>
    </cfRule>
  </conditionalFormatting>
  <conditionalFormatting sqref="C12:D12">
    <cfRule type="dataBar" priority="5">
      <dataBar>
        <cfvo type="min"/>
        <cfvo type="max"/>
        <color rgb="FF008AEF"/>
      </dataBar>
      <extLst>
        <ext xmlns:x14="http://schemas.microsoft.com/office/spreadsheetml/2009/9/main" uri="{B025F937-C7B1-47D3-B67F-A62EFF666E3E}">
          <x14:id>{51A25C15-7A76-44B0-8742-5C4C5CBF3442}</x14:id>
        </ext>
      </extLst>
    </cfRule>
  </conditionalFormatting>
  <conditionalFormatting sqref="E2:E13">
    <cfRule type="cellIs" dxfId="1" priority="1" operator="greaterThan">
      <formula>0.2499</formula>
    </cfRule>
    <cfRule type="cellIs" dxfId="0" priority="2" operator="lessThan">
      <formula>0.24999999</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3AD119A-6A26-4163-8632-7F2F41457CA2}">
            <x14:dataBar minLength="0" maxLength="100" gradient="0">
              <x14:cfvo type="autoMin"/>
              <x14:cfvo type="autoMax"/>
              <x14:negativeFillColor rgb="FFFF0000"/>
              <x14:axisColor rgb="FF000000"/>
            </x14:dataBar>
          </x14:cfRule>
          <xm:sqref>C2:D2</xm:sqref>
        </x14:conditionalFormatting>
        <x14:conditionalFormatting xmlns:xm="http://schemas.microsoft.com/office/excel/2006/main">
          <x14:cfRule type="dataBar" id="{FC7CAE0E-FCA0-42E4-AEC5-3B0F68250601}">
            <x14:dataBar minLength="0" maxLength="100" gradient="0">
              <x14:cfvo type="autoMin"/>
              <x14:cfvo type="autoMax"/>
              <x14:negativeFillColor rgb="FFFF0000"/>
              <x14:axisColor rgb="FF000000"/>
            </x14:dataBar>
          </x14:cfRule>
          <xm:sqref>C3:D3</xm:sqref>
        </x14:conditionalFormatting>
        <x14:conditionalFormatting xmlns:xm="http://schemas.microsoft.com/office/excel/2006/main">
          <x14:cfRule type="dataBar" id="{EF416960-A834-4EFD-8A17-8C2F4FF35406}">
            <x14:dataBar minLength="0" maxLength="100" gradient="0">
              <x14:cfvo type="autoMin"/>
              <x14:cfvo type="autoMax"/>
              <x14:negativeFillColor rgb="FFFF0000"/>
              <x14:axisColor rgb="FF000000"/>
            </x14:dataBar>
          </x14:cfRule>
          <xm:sqref>C4:D4</xm:sqref>
        </x14:conditionalFormatting>
        <x14:conditionalFormatting xmlns:xm="http://schemas.microsoft.com/office/excel/2006/main">
          <x14:cfRule type="dataBar" id="{F1FD5EB5-5151-4AF4-B269-90A6940C7549}">
            <x14:dataBar minLength="0" maxLength="100" gradient="0">
              <x14:cfvo type="autoMin"/>
              <x14:cfvo type="autoMax"/>
              <x14:negativeFillColor rgb="FFFF0000"/>
              <x14:axisColor rgb="FF000000"/>
            </x14:dataBar>
          </x14:cfRule>
          <xm:sqref>C5:D5</xm:sqref>
        </x14:conditionalFormatting>
        <x14:conditionalFormatting xmlns:xm="http://schemas.microsoft.com/office/excel/2006/main">
          <x14:cfRule type="dataBar" id="{DBD53DB9-0E1F-4995-B009-F90AB5E8CA51}">
            <x14:dataBar minLength="0" maxLength="100" gradient="0">
              <x14:cfvo type="autoMin"/>
              <x14:cfvo type="autoMax"/>
              <x14:negativeFillColor rgb="FFFF0000"/>
              <x14:axisColor rgb="FF000000"/>
            </x14:dataBar>
          </x14:cfRule>
          <xm:sqref>C6:D6</xm:sqref>
        </x14:conditionalFormatting>
        <x14:conditionalFormatting xmlns:xm="http://schemas.microsoft.com/office/excel/2006/main">
          <x14:cfRule type="dataBar" id="{F3F9E833-F539-4EAB-A6E3-E3007F9D2F4D}">
            <x14:dataBar minLength="0" maxLength="100" gradient="0">
              <x14:cfvo type="autoMin"/>
              <x14:cfvo type="autoMax"/>
              <x14:negativeFillColor rgb="FFFF0000"/>
              <x14:axisColor rgb="FF000000"/>
            </x14:dataBar>
          </x14:cfRule>
          <xm:sqref>C7:D7</xm:sqref>
        </x14:conditionalFormatting>
        <x14:conditionalFormatting xmlns:xm="http://schemas.microsoft.com/office/excel/2006/main">
          <x14:cfRule type="dataBar" id="{A25997BF-1D6A-4486-88E9-1FBC7F5FA912}">
            <x14:dataBar minLength="0" maxLength="100" gradient="0">
              <x14:cfvo type="autoMin"/>
              <x14:cfvo type="autoMax"/>
              <x14:negativeFillColor rgb="FFFF0000"/>
              <x14:axisColor rgb="FF000000"/>
            </x14:dataBar>
          </x14:cfRule>
          <xm:sqref>C8:D8</xm:sqref>
        </x14:conditionalFormatting>
        <x14:conditionalFormatting xmlns:xm="http://schemas.microsoft.com/office/excel/2006/main">
          <x14:cfRule type="dataBar" id="{5F3337A6-69B0-4158-B9A9-79B6E97C2D76}">
            <x14:dataBar minLength="0" maxLength="100" gradient="0">
              <x14:cfvo type="autoMin"/>
              <x14:cfvo type="autoMax"/>
              <x14:negativeFillColor rgb="FFFF0000"/>
              <x14:axisColor rgb="FF000000"/>
            </x14:dataBar>
          </x14:cfRule>
          <xm:sqref>C9:D9</xm:sqref>
        </x14:conditionalFormatting>
        <x14:conditionalFormatting xmlns:xm="http://schemas.microsoft.com/office/excel/2006/main">
          <x14:cfRule type="dataBar" id="{70547529-4D63-469A-9640-1D67CDD6C9AB}">
            <x14:dataBar minLength="0" maxLength="100" gradient="0">
              <x14:cfvo type="autoMin"/>
              <x14:cfvo type="autoMax"/>
              <x14:negativeFillColor rgb="FFFF0000"/>
              <x14:axisColor rgb="FF000000"/>
            </x14:dataBar>
          </x14:cfRule>
          <xm:sqref>C10:D10</xm:sqref>
        </x14:conditionalFormatting>
        <x14:conditionalFormatting xmlns:xm="http://schemas.microsoft.com/office/excel/2006/main">
          <x14:cfRule type="dataBar" id="{A7233DEE-1D7C-452D-90F7-33326FD608B4}">
            <x14:dataBar minLength="0" maxLength="100" gradient="0">
              <x14:cfvo type="autoMin"/>
              <x14:cfvo type="autoMax"/>
              <x14:negativeFillColor rgb="FFFF0000"/>
              <x14:axisColor rgb="FF000000"/>
            </x14:dataBar>
          </x14:cfRule>
          <xm:sqref>C11:D11</xm:sqref>
        </x14:conditionalFormatting>
        <x14:conditionalFormatting xmlns:xm="http://schemas.microsoft.com/office/excel/2006/main">
          <x14:cfRule type="dataBar" id="{51A25C15-7A76-44B0-8742-5C4C5CBF3442}">
            <x14:dataBar minLength="0" maxLength="100" gradient="0">
              <x14:cfvo type="autoMin"/>
              <x14:cfvo type="autoMax"/>
              <x14:negativeFillColor rgb="FFFF0000"/>
              <x14:axisColor rgb="FF000000"/>
            </x14:dataBar>
          </x14:cfRule>
          <xm:sqref>C12:D12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D26 Alajuela Sur</vt:lpstr>
      <vt:lpstr>D27 Alajuela Norte</vt:lpstr>
      <vt:lpstr>D28 San Ramón</vt:lpstr>
      <vt:lpstr>D29 Grecia</vt:lpstr>
      <vt:lpstr>D30 San Mateo</vt:lpstr>
      <vt:lpstr>D31 Atenas</vt:lpstr>
      <vt:lpstr>D32 Naranjo</vt:lpstr>
      <vt:lpstr>D33 Palmares</vt:lpstr>
      <vt:lpstr>D34 Poás</vt:lpstr>
      <vt:lpstr>D35 Orotina</vt:lpstr>
      <vt:lpstr>D36 Sarchí</vt:lpstr>
      <vt:lpstr>Total Región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Alb Cartin</dc:creator>
  <cp:lastModifiedBy>Manuel Alberto Cartin Sequeira</cp:lastModifiedBy>
  <dcterms:created xsi:type="dcterms:W3CDTF">2025-07-06T00:47:51Z</dcterms:created>
  <dcterms:modified xsi:type="dcterms:W3CDTF">2026-06-19T23:49:08Z</dcterms:modified>
</cp:coreProperties>
</file>