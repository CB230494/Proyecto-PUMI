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62CE06C1-5CFE-4163-A8E1-94FFE0ACA290}" xr6:coauthVersionLast="47" xr6:coauthVersionMax="47" xr10:uidLastSave="{00000000-0000-0000-0000-000000000000}"/>
  <bookViews>
    <workbookView xWindow="-120" yWindow="-120" windowWidth="29040" windowHeight="15720" activeTab="6" xr2:uid="{00000000-000D-0000-FFFF-FFFF00000000}"/>
  </bookViews>
  <sheets>
    <sheet name="D10 Curridabat" sheetId="1" r:id="rId1"/>
    <sheet name="D11 Montes de Oca" sheetId="2" r:id="rId2"/>
    <sheet name="D12 Goicoechea" sheetId="3" r:id="rId3"/>
    <sheet name="D13 Moravia" sheetId="4" r:id="rId4"/>
    <sheet name="D14 Tibás" sheetId="5" r:id="rId5"/>
    <sheet name="D15 Coronado" sheetId="6" r:id="rId6"/>
    <sheet name="Total Region" sheetId="8" r:id="rId7"/>
  </sheets>
  <externalReferences>
    <externalReference r:id="rId8"/>
    <externalReference r:id="rId9"/>
    <externalReference r:id="rId10"/>
    <externalReference r:id="rId11"/>
    <externalReference r:id="rId12"/>
    <externalReference r:id="rId13"/>
    <externalReference r:id="rId14"/>
  </externalReferences>
  <definedNames>
    <definedName name="ABANG" localSheetId="1">[1]DAT2!#REF!</definedName>
    <definedName name="ABANG" localSheetId="2">[2]DAT2!#REF!</definedName>
    <definedName name="ABANG" localSheetId="3">[3]DAT2!#REF!</definedName>
    <definedName name="ABANG" localSheetId="4">[4]DAT2!#REF!</definedName>
    <definedName name="ABANG" localSheetId="5">[5]DAT2!#REF!</definedName>
    <definedName name="ABANG" localSheetId="6">[6]DAT2!#REF!</definedName>
    <definedName name="ABANG">[7]DAT2!#REF!</definedName>
    <definedName name="ACOS" localSheetId="1">[1]DAT2!#REF!</definedName>
    <definedName name="ACOS" localSheetId="2">[2]DAT2!#REF!</definedName>
    <definedName name="ACOS" localSheetId="3">[3]DAT2!#REF!</definedName>
    <definedName name="ACOS" localSheetId="4">[4]DAT2!#REF!</definedName>
    <definedName name="ACOS" localSheetId="5">[5]DAT2!#REF!</definedName>
    <definedName name="ACOS" localSheetId="6">[6]DAT2!#REF!</definedName>
    <definedName name="ACOS">[7]DAT2!#REF!</definedName>
    <definedName name="ALAJU" localSheetId="1">[1]DAT2!#REF!</definedName>
    <definedName name="ALAJU" localSheetId="2">[2]DAT2!#REF!</definedName>
    <definedName name="ALAJU" localSheetId="3">[3]DAT2!#REF!</definedName>
    <definedName name="ALAJU" localSheetId="4">[4]DAT2!#REF!</definedName>
    <definedName name="ALAJU" localSheetId="5">[5]DAT2!#REF!</definedName>
    <definedName name="ALAJU" localSheetId="6">[6]DAT2!#REF!</definedName>
    <definedName name="ALAJU">[7]DAT2!#REF!</definedName>
    <definedName name="ALAJUE" localSheetId="1">[1]DAT2!#REF!</definedName>
    <definedName name="ALAJUE" localSheetId="2">[2]DAT2!#REF!</definedName>
    <definedName name="ALAJUE" localSheetId="3">[3]DAT2!#REF!</definedName>
    <definedName name="ALAJUE" localSheetId="4">[4]DAT2!#REF!</definedName>
    <definedName name="ALAJUE" localSheetId="5">[5]DAT2!#REF!</definedName>
    <definedName name="ALAJUE" localSheetId="6">[6]DAT2!#REF!</definedName>
    <definedName name="ALAJUE">[7]DAT2!#REF!</definedName>
    <definedName name="ALVA" localSheetId="1">[1]DAT2!#REF!</definedName>
    <definedName name="ALVA" localSheetId="2">[2]DAT2!#REF!</definedName>
    <definedName name="ALVA" localSheetId="3">[3]DAT2!#REF!</definedName>
    <definedName name="ALVA" localSheetId="4">[4]DAT2!#REF!</definedName>
    <definedName name="ALVA" localSheetId="5">[5]DAT2!#REF!</definedName>
    <definedName name="ALVA" localSheetId="6">[6]DAT2!#REF!</definedName>
    <definedName name="ALVA">[7]DAT2!#REF!</definedName>
    <definedName name="ASERR" localSheetId="1">[1]DAT2!#REF!</definedName>
    <definedName name="ASERR" localSheetId="2">[2]DAT2!#REF!</definedName>
    <definedName name="ASERR" localSheetId="3">[3]DAT2!#REF!</definedName>
    <definedName name="ASERR" localSheetId="4">[4]DAT2!#REF!</definedName>
    <definedName name="ASERR" localSheetId="5">[5]DAT2!#REF!</definedName>
    <definedName name="ASERR" localSheetId="6">[6]DAT2!#REF!</definedName>
    <definedName name="ASERR">[7]DAT2!#REF!</definedName>
    <definedName name="ATE" localSheetId="1">[1]DAT2!#REF!</definedName>
    <definedName name="ATE" localSheetId="2">[2]DAT2!#REF!</definedName>
    <definedName name="ATE" localSheetId="3">[3]DAT2!#REF!</definedName>
    <definedName name="ATE" localSheetId="4">[4]DAT2!#REF!</definedName>
    <definedName name="ATE" localSheetId="5">[5]DAT2!#REF!</definedName>
    <definedName name="ATE" localSheetId="6">[6]DAT2!#REF!</definedName>
    <definedName name="ATE">[7]DAT2!#REF!</definedName>
    <definedName name="BAGAC" localSheetId="1">[1]DAT2!#REF!</definedName>
    <definedName name="BAGAC" localSheetId="2">[2]DAT2!#REF!</definedName>
    <definedName name="BAGAC" localSheetId="3">[3]DAT2!#REF!</definedName>
    <definedName name="BAGAC" localSheetId="4">[4]DAT2!#REF!</definedName>
    <definedName name="BAGAC" localSheetId="5">[5]DAT2!#REF!</definedName>
    <definedName name="BAGAC" localSheetId="6">[6]DAT2!#REF!</definedName>
    <definedName name="BAGAC">[7]DAT2!#REF!</definedName>
    <definedName name="BARV" localSheetId="1">[1]DAT2!#REF!</definedName>
    <definedName name="BARV" localSheetId="2">[2]DAT2!#REF!</definedName>
    <definedName name="BARV" localSheetId="3">[3]DAT2!#REF!</definedName>
    <definedName name="BARV" localSheetId="4">[4]DAT2!#REF!</definedName>
    <definedName name="BARV" localSheetId="5">[5]DAT2!#REF!</definedName>
    <definedName name="BARV" localSheetId="6">[6]DAT2!#REF!</definedName>
    <definedName name="BARV">[7]DAT2!#REF!</definedName>
    <definedName name="BEL" localSheetId="1">[1]DAT2!#REF!</definedName>
    <definedName name="BEL" localSheetId="2">[2]DAT2!#REF!</definedName>
    <definedName name="BEL" localSheetId="3">[3]DAT2!#REF!</definedName>
    <definedName name="BEL" localSheetId="4">[4]DAT2!#REF!</definedName>
    <definedName name="BEL" localSheetId="5">[5]DAT2!#REF!</definedName>
    <definedName name="BEL" localSheetId="6">[6]DAT2!#REF!</definedName>
    <definedName name="BEL">[7]DAT2!#REF!</definedName>
    <definedName name="BUEN" localSheetId="1">[1]DAT2!#REF!</definedName>
    <definedName name="BUEN" localSheetId="2">[2]DAT2!#REF!</definedName>
    <definedName name="BUEN" localSheetId="3">[3]DAT2!#REF!</definedName>
    <definedName name="BUEN" localSheetId="4">[4]DAT2!#REF!</definedName>
    <definedName name="BUEN" localSheetId="5">[5]DAT2!#REF!</definedName>
    <definedName name="BUEN" localSheetId="6">[6]DAT2!#REF!</definedName>
    <definedName name="BUEN">[7]DAT2!#REF!</definedName>
    <definedName name="CANTÓNN">[7]!Tabla103[#All]</definedName>
    <definedName name="CAÑ" localSheetId="1">[1]DAT2!#REF!</definedName>
    <definedName name="CAÑ" localSheetId="2">[2]DAT2!#REF!</definedName>
    <definedName name="CAÑ" localSheetId="3">[3]DAT2!#REF!</definedName>
    <definedName name="CAÑ" localSheetId="4">[4]DAT2!#REF!</definedName>
    <definedName name="CAÑ" localSheetId="5">[5]DAT2!#REF!</definedName>
    <definedName name="CAÑ" localSheetId="6">[6]DAT2!#REF!</definedName>
    <definedName name="CAÑ">[7]DAT2!#REF!</definedName>
    <definedName name="CARR" localSheetId="1">[1]DAT2!#REF!</definedName>
    <definedName name="CARR" localSheetId="2">[2]DAT2!#REF!</definedName>
    <definedName name="CARR" localSheetId="3">[3]DAT2!#REF!</definedName>
    <definedName name="CARR" localSheetId="4">[4]DAT2!#REF!</definedName>
    <definedName name="CARR" localSheetId="5">[5]DAT2!#REF!</definedName>
    <definedName name="CARR" localSheetId="6">[6]DAT2!#REF!</definedName>
    <definedName name="CARR">[7]DAT2!#REF!</definedName>
    <definedName name="CARTAG" localSheetId="1">[1]DAT2!#REF!</definedName>
    <definedName name="CARTAG" localSheetId="2">[2]DAT2!#REF!</definedName>
    <definedName name="CARTAG" localSheetId="3">[3]DAT2!#REF!</definedName>
    <definedName name="CARTAG" localSheetId="4">[4]DAT2!#REF!</definedName>
    <definedName name="CARTAG" localSheetId="5">[5]DAT2!#REF!</definedName>
    <definedName name="CARTAG" localSheetId="6">[6]DAT2!#REF!</definedName>
    <definedName name="CARTAG">[7]DAT2!#REF!</definedName>
    <definedName name="CORR" localSheetId="1">[1]DAT2!#REF!</definedName>
    <definedName name="CORR" localSheetId="2">[2]DAT2!#REF!</definedName>
    <definedName name="CORR" localSheetId="3">[3]DAT2!#REF!</definedName>
    <definedName name="CORR" localSheetId="4">[4]DAT2!#REF!</definedName>
    <definedName name="CORR" localSheetId="5">[5]DAT2!#REF!</definedName>
    <definedName name="CORR" localSheetId="6">[6]DAT2!#REF!</definedName>
    <definedName name="CORR">[7]DAT2!#REF!</definedName>
    <definedName name="COTB" localSheetId="1">[1]DAT2!#REF!</definedName>
    <definedName name="COTB" localSheetId="2">[2]DAT2!#REF!</definedName>
    <definedName name="COTB" localSheetId="3">[3]DAT2!#REF!</definedName>
    <definedName name="COTB" localSheetId="4">[4]DAT2!#REF!</definedName>
    <definedName name="COTB" localSheetId="5">[5]DAT2!#REF!</definedName>
    <definedName name="COTB" localSheetId="6">[6]DAT2!#REF!</definedName>
    <definedName name="COTB">[7]DAT2!#REF!</definedName>
    <definedName name="CURRI" localSheetId="1">[1]DAT2!#REF!</definedName>
    <definedName name="CURRI" localSheetId="2">[2]DAT2!#REF!</definedName>
    <definedName name="CURRI" localSheetId="3">[3]DAT2!#REF!</definedName>
    <definedName name="CURRI" localSheetId="4">[4]DAT2!#REF!</definedName>
    <definedName name="CURRI" localSheetId="5">[5]DAT2!#REF!</definedName>
    <definedName name="CURRI" localSheetId="6">[6]DAT2!#REF!</definedName>
    <definedName name="CURRI">[7]DAT2!#REF!</definedName>
    <definedName name="DESAMP" localSheetId="1">[1]DAT2!#REF!</definedName>
    <definedName name="DESAMP" localSheetId="2">[2]DAT2!#REF!</definedName>
    <definedName name="DESAMP" localSheetId="3">[3]DAT2!#REF!</definedName>
    <definedName name="DESAMP" localSheetId="4">[4]DAT2!#REF!</definedName>
    <definedName name="DESAMP" localSheetId="5">[5]DAT2!#REF!</definedName>
    <definedName name="DESAMP" localSheetId="6">[6]DAT2!#REF!</definedName>
    <definedName name="DESAMP">[7]DAT2!#REF!</definedName>
    <definedName name="DISTRI" localSheetId="1">#REF!</definedName>
    <definedName name="DISTRI" localSheetId="2">#REF!</definedName>
    <definedName name="DISTRI" localSheetId="3">#REF!</definedName>
    <definedName name="DISTRI" localSheetId="4">#REF!</definedName>
    <definedName name="DISTRI" localSheetId="5">#REF!</definedName>
    <definedName name="DISTRI" localSheetId="6">#REF!</definedName>
    <definedName name="DISTRI">#REF!</definedName>
    <definedName name="DOTA" localSheetId="1">[1]DAT2!#REF!</definedName>
    <definedName name="DOTA" localSheetId="2">[2]DAT2!#REF!</definedName>
    <definedName name="DOTA" localSheetId="3">[3]DAT2!#REF!</definedName>
    <definedName name="DOTA" localSheetId="4">[4]DAT2!#REF!</definedName>
    <definedName name="DOTA" localSheetId="5">[5]DAT2!#REF!</definedName>
    <definedName name="DOTA" localSheetId="6">[6]DAT2!#REF!</definedName>
    <definedName name="DOTA">[7]DAT2!#REF!</definedName>
    <definedName name="ELGUA" localSheetId="1">[1]DAT2!#REF!</definedName>
    <definedName name="ELGUA" localSheetId="2">[2]DAT2!#REF!</definedName>
    <definedName name="ELGUA" localSheetId="3">[3]DAT2!#REF!</definedName>
    <definedName name="ELGUA" localSheetId="4">[4]DAT2!#REF!</definedName>
    <definedName name="ELGUA" localSheetId="5">[5]DAT2!#REF!</definedName>
    <definedName name="ELGUA" localSheetId="6">[6]DAT2!#REF!</definedName>
    <definedName name="ELGUA">[7]DAT2!#REF!</definedName>
    <definedName name="ESCAZ" localSheetId="1">[1]DAT2!#REF!</definedName>
    <definedName name="ESCAZ" localSheetId="2">[2]DAT2!#REF!</definedName>
    <definedName name="ESCAZ" localSheetId="3">[3]DAT2!#REF!</definedName>
    <definedName name="ESCAZ" localSheetId="4">[4]DAT2!#REF!</definedName>
    <definedName name="ESCAZ" localSheetId="5">[5]DAT2!#REF!</definedName>
    <definedName name="ESCAZ" localSheetId="6">[6]DAT2!#REF!</definedName>
    <definedName name="ESCAZ">[7]DAT2!#REF!</definedName>
    <definedName name="ESPA" localSheetId="1">[1]DAT2!#REF!</definedName>
    <definedName name="ESPA" localSheetId="2">[2]DAT2!#REF!</definedName>
    <definedName name="ESPA" localSheetId="3">[3]DAT2!#REF!</definedName>
    <definedName name="ESPA" localSheetId="4">[4]DAT2!#REF!</definedName>
    <definedName name="ESPA" localSheetId="5">[5]DAT2!#REF!</definedName>
    <definedName name="ESPA" localSheetId="6">[6]DAT2!#REF!</definedName>
    <definedName name="ESPA">[7]DAT2!#REF!</definedName>
    <definedName name="FLOR" localSheetId="1">[1]DAT2!#REF!</definedName>
    <definedName name="FLOR" localSheetId="2">[2]DAT2!#REF!</definedName>
    <definedName name="FLOR" localSheetId="3">[3]DAT2!#REF!</definedName>
    <definedName name="FLOR" localSheetId="4">[4]DAT2!#REF!</definedName>
    <definedName name="FLOR" localSheetId="5">[5]DAT2!#REF!</definedName>
    <definedName name="FLOR" localSheetId="6">[6]DAT2!#REF!</definedName>
    <definedName name="FLOR">[7]DAT2!#REF!</definedName>
    <definedName name="GARAB" localSheetId="1">[1]DAT2!#REF!</definedName>
    <definedName name="GARAB" localSheetId="2">[2]DAT2!#REF!</definedName>
    <definedName name="GARAB" localSheetId="3">[3]DAT2!#REF!</definedName>
    <definedName name="GARAB" localSheetId="4">[4]DAT2!#REF!</definedName>
    <definedName name="GARAB" localSheetId="5">[5]DAT2!#REF!</definedName>
    <definedName name="GARAB" localSheetId="6">[6]DAT2!#REF!</definedName>
    <definedName name="GARAB">[7]DAT2!#REF!</definedName>
    <definedName name="GOIC" localSheetId="1">[1]DAT2!#REF!</definedName>
    <definedName name="GOIC" localSheetId="2">[2]DAT2!#REF!</definedName>
    <definedName name="GOIC" localSheetId="3">[3]DAT2!#REF!</definedName>
    <definedName name="GOIC" localSheetId="4">[4]DAT2!#REF!</definedName>
    <definedName name="GOIC" localSheetId="5">[5]DAT2!#REF!</definedName>
    <definedName name="GOIC" localSheetId="6">[6]DAT2!#REF!</definedName>
    <definedName name="GOIC">[7]DAT2!#REF!</definedName>
    <definedName name="GOLF" localSheetId="1">[1]DAT2!#REF!</definedName>
    <definedName name="GOLF" localSheetId="2">[2]DAT2!#REF!</definedName>
    <definedName name="GOLF" localSheetId="3">[3]DAT2!#REF!</definedName>
    <definedName name="GOLF" localSheetId="4">[4]DAT2!#REF!</definedName>
    <definedName name="GOLF" localSheetId="5">[5]DAT2!#REF!</definedName>
    <definedName name="GOLF" localSheetId="6">[6]DAT2!#REF!</definedName>
    <definedName name="GOLF">[7]DAT2!#REF!</definedName>
    <definedName name="GREC" localSheetId="1">[1]DAT2!#REF!</definedName>
    <definedName name="GREC" localSheetId="2">[2]DAT2!#REF!</definedName>
    <definedName name="GREC" localSheetId="3">[3]DAT2!#REF!</definedName>
    <definedName name="GREC" localSheetId="4">[4]DAT2!#REF!</definedName>
    <definedName name="GREC" localSheetId="5">[5]DAT2!#REF!</definedName>
    <definedName name="GREC" localSheetId="6">[6]DAT2!#REF!</definedName>
    <definedName name="GREC">[7]DAT2!#REF!</definedName>
    <definedName name="GUAC" localSheetId="1">[1]DAT2!#REF!</definedName>
    <definedName name="GUAC" localSheetId="2">[2]DAT2!#REF!</definedName>
    <definedName name="GUAC" localSheetId="3">[3]DAT2!#REF!</definedName>
    <definedName name="GUAC" localSheetId="4">[4]DAT2!#REF!</definedName>
    <definedName name="GUAC" localSheetId="5">[5]DAT2!#REF!</definedName>
    <definedName name="GUAC" localSheetId="6">[6]DAT2!#REF!</definedName>
    <definedName name="GUAC">[7]DAT2!#REF!</definedName>
    <definedName name="GUATU" localSheetId="1">[1]DAT2!#REF!</definedName>
    <definedName name="GUATU" localSheetId="2">[2]DAT2!#REF!</definedName>
    <definedName name="GUATU" localSheetId="3">[3]DAT2!#REF!</definedName>
    <definedName name="GUATU" localSheetId="4">[4]DAT2!#REF!</definedName>
    <definedName name="GUATU" localSheetId="5">[5]DAT2!#REF!</definedName>
    <definedName name="GUATU" localSheetId="6">[6]DAT2!#REF!</definedName>
    <definedName name="GUATU">[7]DAT2!#REF!</definedName>
    <definedName name="HERED" localSheetId="1">[1]DAT2!#REF!</definedName>
    <definedName name="HERED" localSheetId="2">[2]DAT2!#REF!</definedName>
    <definedName name="HERED" localSheetId="3">[3]DAT2!#REF!</definedName>
    <definedName name="HERED" localSheetId="4">[4]DAT2!#REF!</definedName>
    <definedName name="HERED" localSheetId="5">[5]DAT2!#REF!</definedName>
    <definedName name="HERED" localSheetId="6">[6]DAT2!#REF!</definedName>
    <definedName name="HERED">[7]DAT2!#REF!</definedName>
    <definedName name="HOJA" localSheetId="1">[1]DAT2!#REF!</definedName>
    <definedName name="HOJA" localSheetId="2">[2]DAT2!#REF!</definedName>
    <definedName name="HOJA" localSheetId="3">[3]DAT2!#REF!</definedName>
    <definedName name="HOJA" localSheetId="4">[4]DAT2!#REF!</definedName>
    <definedName name="HOJA" localSheetId="5">[5]DAT2!#REF!</definedName>
    <definedName name="HOJA" localSheetId="6">[6]DAT2!#REF!</definedName>
    <definedName name="HOJA">[7]DAT2!#REF!</definedName>
    <definedName name="JE">[7]!Tabla103[#All]</definedName>
    <definedName name="jes">[7]!Tabla103[#All]</definedName>
    <definedName name="JIME" localSheetId="1">[1]DAT2!#REF!</definedName>
    <definedName name="JIME" localSheetId="2">[2]DAT2!#REF!</definedName>
    <definedName name="JIME" localSheetId="3">[3]DAT2!#REF!</definedName>
    <definedName name="JIME" localSheetId="4">[4]DAT2!#REF!</definedName>
    <definedName name="JIME" localSheetId="5">[5]DAT2!#REF!</definedName>
    <definedName name="JIME" localSheetId="6">[6]DAT2!#REF!</definedName>
    <definedName name="JIME">[7]DAT2!#REF!</definedName>
    <definedName name="LACRU" localSheetId="1">[1]DAT2!#REF!</definedName>
    <definedName name="LACRU" localSheetId="2">[2]DAT2!#REF!</definedName>
    <definedName name="LACRU" localSheetId="3">[3]DAT2!#REF!</definedName>
    <definedName name="LACRU" localSheetId="4">[4]DAT2!#REF!</definedName>
    <definedName name="LACRU" localSheetId="5">[5]DAT2!#REF!</definedName>
    <definedName name="LACRU" localSheetId="6">[6]DAT2!#REF!</definedName>
    <definedName name="LACRU">[7]DAT2!#REF!</definedName>
    <definedName name="LAUN" localSheetId="1">[1]DAT2!#REF!</definedName>
    <definedName name="LAUN" localSheetId="2">[2]DAT2!#REF!</definedName>
    <definedName name="LAUN" localSheetId="3">[3]DAT2!#REF!</definedName>
    <definedName name="LAUN" localSheetId="4">[4]DAT2!#REF!</definedName>
    <definedName name="LAUN" localSheetId="5">[5]DAT2!#REF!</definedName>
    <definedName name="LAUN" localSheetId="6">[6]DAT2!#REF!</definedName>
    <definedName name="LAUN">[7]DAT2!#REF!</definedName>
    <definedName name="LEO" localSheetId="1">[1]DAT1!#REF!</definedName>
    <definedName name="LEO" localSheetId="2">[2]DAT1!#REF!</definedName>
    <definedName name="LEO" localSheetId="3">[3]DAT1!#REF!</definedName>
    <definedName name="LEO" localSheetId="4">[4]DAT1!#REF!</definedName>
    <definedName name="LEO" localSheetId="5">[5]DAT1!#REF!</definedName>
    <definedName name="LEO" localSheetId="6">[6]DAT1!#REF!</definedName>
    <definedName name="LEO">[7]DAT1!#REF!</definedName>
    <definedName name="LIB" localSheetId="1">[1]DAT2!#REF!</definedName>
    <definedName name="LIB" localSheetId="2">[2]DAT2!#REF!</definedName>
    <definedName name="LIB" localSheetId="3">[3]DAT2!#REF!</definedName>
    <definedName name="LIB" localSheetId="4">[4]DAT2!#REF!</definedName>
    <definedName name="LIB" localSheetId="5">[5]DAT2!#REF!</definedName>
    <definedName name="LIB" localSheetId="6">[6]DAT2!#REF!</definedName>
    <definedName name="LIB">[7]DAT2!#REF!</definedName>
    <definedName name="LIM" localSheetId="1">[1]DAT2!#REF!</definedName>
    <definedName name="LIM" localSheetId="2">[2]DAT2!#REF!</definedName>
    <definedName name="LIM" localSheetId="3">[3]DAT2!#REF!</definedName>
    <definedName name="LIM" localSheetId="4">[4]DAT2!#REF!</definedName>
    <definedName name="LIM" localSheetId="5">[5]DAT2!#REF!</definedName>
    <definedName name="LIM" localSheetId="6">[6]DAT2!#REF!</definedName>
    <definedName name="LIM">[7]DAT2!#REF!</definedName>
    <definedName name="LOSCHI" localSheetId="1">[1]DAT2!#REF!</definedName>
    <definedName name="LOSCHI" localSheetId="2">[2]DAT2!#REF!</definedName>
    <definedName name="LOSCHI" localSheetId="3">[3]DAT2!#REF!</definedName>
    <definedName name="LOSCHI" localSheetId="4">[4]DAT2!#REF!</definedName>
    <definedName name="LOSCHI" localSheetId="5">[5]DAT2!#REF!</definedName>
    <definedName name="LOSCHI" localSheetId="6">[6]DAT2!#REF!</definedName>
    <definedName name="LOSCHI">[7]DAT2!#REF!</definedName>
    <definedName name="MAT" localSheetId="1">[1]DAT2!#REF!</definedName>
    <definedName name="MAT" localSheetId="2">[2]DAT2!#REF!</definedName>
    <definedName name="MAT" localSheetId="3">[3]DAT2!#REF!</definedName>
    <definedName name="MAT" localSheetId="4">[4]DAT2!#REF!</definedName>
    <definedName name="MAT" localSheetId="5">[5]DAT2!#REF!</definedName>
    <definedName name="MAT" localSheetId="6">[6]DAT2!#REF!</definedName>
    <definedName name="MAT">[7]DAT2!#REF!</definedName>
    <definedName name="MONTEV" localSheetId="1">[1]DAT2!#REF!</definedName>
    <definedName name="MONTEV" localSheetId="2">[2]DAT2!#REF!</definedName>
    <definedName name="MONTEV" localSheetId="3">[3]DAT2!#REF!</definedName>
    <definedName name="MONTEV" localSheetId="4">[4]DAT2!#REF!</definedName>
    <definedName name="MONTEV" localSheetId="5">[5]DAT2!#REF!</definedName>
    <definedName name="MONTEV" localSheetId="6">[6]DAT2!#REF!</definedName>
    <definedName name="MONTEV">[7]DAT2!#REF!</definedName>
    <definedName name="MONTOC" localSheetId="1">[1]DAT2!#REF!</definedName>
    <definedName name="MONTOC" localSheetId="2">[2]DAT2!#REF!</definedName>
    <definedName name="MONTOC" localSheetId="3">[3]DAT2!#REF!</definedName>
    <definedName name="MONTOC" localSheetId="4">[4]DAT2!#REF!</definedName>
    <definedName name="MONTOC" localSheetId="5">[5]DAT2!#REF!</definedName>
    <definedName name="MONTOC" localSheetId="6">[6]DAT2!#REF!</definedName>
    <definedName name="MONTOC">[7]DAT2!#REF!</definedName>
    <definedName name="MONTOR" localSheetId="1">[1]DAT2!#REF!</definedName>
    <definedName name="MONTOR" localSheetId="2">[2]DAT2!#REF!</definedName>
    <definedName name="MONTOR" localSheetId="3">[3]DAT2!#REF!</definedName>
    <definedName name="MONTOR" localSheetId="4">[4]DAT2!#REF!</definedName>
    <definedName name="MONTOR" localSheetId="5">[5]DAT2!#REF!</definedName>
    <definedName name="MONTOR" localSheetId="6">[6]DAT2!#REF!</definedName>
    <definedName name="MONTOR">[7]DAT2!#REF!</definedName>
    <definedName name="MOR" localSheetId="1">[1]DAT2!#REF!</definedName>
    <definedName name="MOR" localSheetId="2">[2]DAT2!#REF!</definedName>
    <definedName name="MOR" localSheetId="3">[3]DAT2!#REF!</definedName>
    <definedName name="MOR" localSheetId="4">[4]DAT2!#REF!</definedName>
    <definedName name="MOR" localSheetId="5">[5]DAT2!#REF!</definedName>
    <definedName name="MOR" localSheetId="6">[6]DAT2!#REF!</definedName>
    <definedName name="MOR">[7]DAT2!#REF!</definedName>
    <definedName name="MORAV" localSheetId="1">[1]DAT2!#REF!</definedName>
    <definedName name="MORAV" localSheetId="2">[2]DAT2!#REF!</definedName>
    <definedName name="MORAV" localSheetId="3">[3]DAT2!#REF!</definedName>
    <definedName name="MORAV" localSheetId="4">[4]DAT2!#REF!</definedName>
    <definedName name="MORAV" localSheetId="5">[5]DAT2!#REF!</definedName>
    <definedName name="MORAV" localSheetId="6">[6]DAT2!#REF!</definedName>
    <definedName name="MORAV">[7]DAT2!#REF!</definedName>
    <definedName name="NAND" localSheetId="1">[1]DAT2!#REF!</definedName>
    <definedName name="NAND" localSheetId="2">[2]DAT2!#REF!</definedName>
    <definedName name="NAND" localSheetId="3">[3]DAT2!#REF!</definedName>
    <definedName name="NAND" localSheetId="4">[4]DAT2!#REF!</definedName>
    <definedName name="NAND" localSheetId="5">[5]DAT2!#REF!</definedName>
    <definedName name="NAND" localSheetId="6">[6]DAT2!#REF!</definedName>
    <definedName name="NAND">[7]DAT2!#REF!</definedName>
    <definedName name="NARA" localSheetId="1">[1]DAT2!#REF!</definedName>
    <definedName name="NARA" localSheetId="2">[2]DAT2!#REF!</definedName>
    <definedName name="NARA" localSheetId="3">[3]DAT2!#REF!</definedName>
    <definedName name="NARA" localSheetId="4">[4]DAT2!#REF!</definedName>
    <definedName name="NARA" localSheetId="5">[5]DAT2!#REF!</definedName>
    <definedName name="NARA" localSheetId="6">[6]DAT2!#REF!</definedName>
    <definedName name="NARA">[7]DAT2!#REF!</definedName>
    <definedName name="NICO" localSheetId="1">[1]DAT2!#REF!</definedName>
    <definedName name="NICO" localSheetId="2">[2]DAT2!#REF!</definedName>
    <definedName name="NICO" localSheetId="3">[3]DAT2!#REF!</definedName>
    <definedName name="NICO" localSheetId="4">[4]DAT2!#REF!</definedName>
    <definedName name="NICO" localSheetId="5">[5]DAT2!#REF!</definedName>
    <definedName name="NICO" localSheetId="6">[6]DAT2!#REF!</definedName>
    <definedName name="NICO">[7]DAT2!#REF!</definedName>
    <definedName name="OREAMU" localSheetId="1">[1]DAT2!#REF!</definedName>
    <definedName name="OREAMU" localSheetId="2">[2]DAT2!#REF!</definedName>
    <definedName name="OREAMU" localSheetId="3">[3]DAT2!#REF!</definedName>
    <definedName name="OREAMU" localSheetId="4">[4]DAT2!#REF!</definedName>
    <definedName name="OREAMU" localSheetId="5">[5]DAT2!#REF!</definedName>
    <definedName name="OREAMU" localSheetId="6">[6]DAT2!#REF!</definedName>
    <definedName name="OREAMU">[7]DAT2!#REF!</definedName>
    <definedName name="OROT" localSheetId="1">[1]DAT2!#REF!</definedName>
    <definedName name="OROT" localSheetId="2">[2]DAT2!#REF!</definedName>
    <definedName name="OROT" localSheetId="3">[3]DAT2!#REF!</definedName>
    <definedName name="OROT" localSheetId="4">[4]DAT2!#REF!</definedName>
    <definedName name="OROT" localSheetId="5">[5]DAT2!#REF!</definedName>
    <definedName name="OROT" localSheetId="6">[6]DAT2!#REF!</definedName>
    <definedName name="OROT">[7]DAT2!#REF!</definedName>
    <definedName name="OSA" localSheetId="1">[1]DAT2!#REF!</definedName>
    <definedName name="OSA" localSheetId="2">[2]DAT2!#REF!</definedName>
    <definedName name="OSA" localSheetId="3">[3]DAT2!#REF!</definedName>
    <definedName name="OSA" localSheetId="4">[4]DAT2!#REF!</definedName>
    <definedName name="OSA" localSheetId="5">[5]DAT2!#REF!</definedName>
    <definedName name="OSA" localSheetId="6">[6]DAT2!#REF!</definedName>
    <definedName name="OSA">[7]DAT2!#REF!</definedName>
    <definedName name="PALMA" localSheetId="1">[1]DAT2!#REF!</definedName>
    <definedName name="PALMA" localSheetId="2">[2]DAT2!#REF!</definedName>
    <definedName name="PALMA" localSheetId="3">[3]DAT2!#REF!</definedName>
    <definedName name="PALMA" localSheetId="4">[4]DAT2!#REF!</definedName>
    <definedName name="PALMA" localSheetId="5">[5]DAT2!#REF!</definedName>
    <definedName name="PALMA" localSheetId="6">[6]DAT2!#REF!</definedName>
    <definedName name="PALMA">[7]DAT2!#REF!</definedName>
    <definedName name="PARA" localSheetId="1">[1]DAT2!#REF!</definedName>
    <definedName name="PARA" localSheetId="2">[2]DAT2!#REF!</definedName>
    <definedName name="PARA" localSheetId="3">[3]DAT2!#REF!</definedName>
    <definedName name="PARA" localSheetId="4">[4]DAT2!#REF!</definedName>
    <definedName name="PARA" localSheetId="5">[5]DAT2!#REF!</definedName>
    <definedName name="PARA" localSheetId="6">[6]DAT2!#REF!</definedName>
    <definedName name="PARA">[7]DAT2!#REF!</definedName>
    <definedName name="PARR" localSheetId="1">[1]DAT2!#REF!</definedName>
    <definedName name="PARR" localSheetId="2">[2]DAT2!#REF!</definedName>
    <definedName name="PARR" localSheetId="3">[3]DAT2!#REF!</definedName>
    <definedName name="PARR" localSheetId="4">[4]DAT2!#REF!</definedName>
    <definedName name="PARR" localSheetId="5">[5]DAT2!#REF!</definedName>
    <definedName name="PARR" localSheetId="6">[6]DAT2!#REF!</definedName>
    <definedName name="PARR">[7]DAT2!#REF!</definedName>
    <definedName name="POA" localSheetId="1">[1]DAT2!#REF!</definedName>
    <definedName name="POA" localSheetId="2">[2]DAT2!#REF!</definedName>
    <definedName name="POA" localSheetId="3">[3]DAT2!#REF!</definedName>
    <definedName name="POA" localSheetId="4">[4]DAT2!#REF!</definedName>
    <definedName name="POA" localSheetId="5">[5]DAT2!#REF!</definedName>
    <definedName name="POA" localSheetId="6">[6]DAT2!#REF!</definedName>
    <definedName name="POA">[7]DAT2!#REF!</definedName>
    <definedName name="POCOC" localSheetId="1">[1]DAT2!#REF!</definedName>
    <definedName name="POCOC" localSheetId="2">[2]DAT2!#REF!</definedName>
    <definedName name="POCOC" localSheetId="3">[3]DAT2!#REF!</definedName>
    <definedName name="POCOC" localSheetId="4">[4]DAT2!#REF!</definedName>
    <definedName name="POCOC" localSheetId="5">[5]DAT2!#REF!</definedName>
    <definedName name="POCOC" localSheetId="6">[6]DAT2!#REF!</definedName>
    <definedName name="POCOC">[7]DAT2!#REF!</definedName>
    <definedName name="PUERTOJ" localSheetId="1">[1]DAT2!#REF!</definedName>
    <definedName name="PUERTOJ" localSheetId="2">[2]DAT2!#REF!</definedName>
    <definedName name="PUERTOJ" localSheetId="3">[3]DAT2!#REF!</definedName>
    <definedName name="PUERTOJ" localSheetId="4">[4]DAT2!#REF!</definedName>
    <definedName name="PUERTOJ" localSheetId="5">[5]DAT2!#REF!</definedName>
    <definedName name="PUERTOJ" localSheetId="6">[6]DAT2!#REF!</definedName>
    <definedName name="PUERTOJ">[7]DAT2!#REF!</definedName>
    <definedName name="PUNTAR" localSheetId="1">[1]DAT2!#REF!</definedName>
    <definedName name="PUNTAR" localSheetId="2">[2]DAT2!#REF!</definedName>
    <definedName name="PUNTAR" localSheetId="3">[3]DAT2!#REF!</definedName>
    <definedName name="PUNTAR" localSheetId="4">[4]DAT2!#REF!</definedName>
    <definedName name="PUNTAR" localSheetId="5">[5]DAT2!#REF!</definedName>
    <definedName name="PUNTAR" localSheetId="6">[6]DAT2!#REF!</definedName>
    <definedName name="PUNTAR">[7]DAT2!#REF!</definedName>
    <definedName name="PURIS" localSheetId="1">[1]DAT2!#REF!</definedName>
    <definedName name="PURIS" localSheetId="2">[2]DAT2!#REF!</definedName>
    <definedName name="PURIS" localSheetId="3">[3]DAT2!#REF!</definedName>
    <definedName name="PURIS" localSheetId="4">[4]DAT2!#REF!</definedName>
    <definedName name="PURIS" localSheetId="5">[5]DAT2!#REF!</definedName>
    <definedName name="PURIS" localSheetId="6">[6]DAT2!#REF!</definedName>
    <definedName name="PURIS">[7]DAT2!#REF!</definedName>
    <definedName name="PZ" localSheetId="1">[1]DAT2!#REF!</definedName>
    <definedName name="PZ" localSheetId="2">[2]DAT2!#REF!</definedName>
    <definedName name="PZ" localSheetId="3">[3]DAT2!#REF!</definedName>
    <definedName name="PZ" localSheetId="4">[4]DAT2!#REF!</definedName>
    <definedName name="PZ" localSheetId="5">[5]DAT2!#REF!</definedName>
    <definedName name="PZ" localSheetId="6">[6]DAT2!#REF!</definedName>
    <definedName name="PZ">[7]DAT2!#REF!</definedName>
    <definedName name="QUEP" localSheetId="1">[1]DAT2!#REF!</definedName>
    <definedName name="QUEP" localSheetId="2">[2]DAT2!#REF!</definedName>
    <definedName name="QUEP" localSheetId="3">[3]DAT2!#REF!</definedName>
    <definedName name="QUEP" localSheetId="4">[4]DAT2!#REF!</definedName>
    <definedName name="QUEP" localSheetId="5">[5]DAT2!#REF!</definedName>
    <definedName name="QUEP" localSheetId="6">[6]DAT2!#REF!</definedName>
    <definedName name="QUEP">[7]DAT2!#REF!</definedName>
    <definedName name="RIOCU" localSheetId="1">[1]DAT2!#REF!</definedName>
    <definedName name="RIOCU" localSheetId="2">[2]DAT2!#REF!</definedName>
    <definedName name="RIOCU" localSheetId="3">[3]DAT2!#REF!</definedName>
    <definedName name="RIOCU" localSheetId="4">[4]DAT2!#REF!</definedName>
    <definedName name="RIOCU" localSheetId="5">[5]DAT2!#REF!</definedName>
    <definedName name="RIOCU" localSheetId="6">[6]DAT2!#REF!</definedName>
    <definedName name="RIOCU">[7]DAT2!#REF!</definedName>
    <definedName name="SANCAR" localSheetId="1">[1]DAT2!#REF!</definedName>
    <definedName name="SANCAR" localSheetId="2">[2]DAT2!#REF!</definedName>
    <definedName name="SANCAR" localSheetId="3">[3]DAT2!#REF!</definedName>
    <definedName name="SANCAR" localSheetId="4">[4]DAT2!#REF!</definedName>
    <definedName name="SANCAR" localSheetId="5">[5]DAT2!#REF!</definedName>
    <definedName name="SANCAR" localSheetId="6">[6]DAT2!#REF!</definedName>
    <definedName name="SANCAR">[7]DAT2!#REF!</definedName>
    <definedName name="SANISI" localSheetId="1">[1]DAT2!#REF!</definedName>
    <definedName name="SANISI" localSheetId="2">[2]DAT2!#REF!</definedName>
    <definedName name="SANISI" localSheetId="3">[3]DAT2!#REF!</definedName>
    <definedName name="SANISI" localSheetId="4">[4]DAT2!#REF!</definedName>
    <definedName name="SANISI" localSheetId="5">[5]DAT2!#REF!</definedName>
    <definedName name="SANISI" localSheetId="6">[6]DAT2!#REF!</definedName>
    <definedName name="SANISI">[7]DAT2!#REF!</definedName>
    <definedName name="SANMAT" localSheetId="1">[1]DAT2!#REF!</definedName>
    <definedName name="SANMAT" localSheetId="2">[2]DAT2!#REF!</definedName>
    <definedName name="SANMAT" localSheetId="3">[3]DAT2!#REF!</definedName>
    <definedName name="SANMAT" localSheetId="4">[4]DAT2!#REF!</definedName>
    <definedName name="SANMAT" localSheetId="5">[5]DAT2!#REF!</definedName>
    <definedName name="SANMAT" localSheetId="6">[6]DAT2!#REF!</definedName>
    <definedName name="SANMAT">[7]DAT2!#REF!</definedName>
    <definedName name="SANPA" localSheetId="1">[1]DAT2!#REF!</definedName>
    <definedName name="SANPA" localSheetId="2">[2]DAT2!#REF!</definedName>
    <definedName name="SANPA" localSheetId="3">[3]DAT2!#REF!</definedName>
    <definedName name="SANPA" localSheetId="4">[4]DAT2!#REF!</definedName>
    <definedName name="SANPA" localSheetId="5">[5]DAT2!#REF!</definedName>
    <definedName name="SANPA" localSheetId="6">[6]DAT2!#REF!</definedName>
    <definedName name="SANPA">[7]DAT2!#REF!</definedName>
    <definedName name="SANRA" localSheetId="1">[1]DAT2!#REF!</definedName>
    <definedName name="SANRA" localSheetId="2">[2]DAT2!#REF!</definedName>
    <definedName name="SANRA" localSheetId="3">[3]DAT2!#REF!</definedName>
    <definedName name="SANRA" localSheetId="4">[4]DAT2!#REF!</definedName>
    <definedName name="SANRA" localSheetId="5">[5]DAT2!#REF!</definedName>
    <definedName name="SANRA" localSheetId="6">[6]DAT2!#REF!</definedName>
    <definedName name="SANRA">[7]DAT2!#REF!</definedName>
    <definedName name="SANRAF" localSheetId="1">[1]DAT2!#REF!</definedName>
    <definedName name="SANRAF" localSheetId="2">[2]DAT2!#REF!</definedName>
    <definedName name="SANRAF" localSheetId="3">[3]DAT2!#REF!</definedName>
    <definedName name="SANRAF" localSheetId="4">[4]DAT2!#REF!</definedName>
    <definedName name="SANRAF" localSheetId="5">[5]DAT2!#REF!</definedName>
    <definedName name="SANRAF" localSheetId="6">[6]DAT2!#REF!</definedName>
    <definedName name="SANRAF">[7]DAT2!#REF!</definedName>
    <definedName name="SANTA" localSheetId="1">[1]DAT2!#REF!</definedName>
    <definedName name="SANTA" localSheetId="2">[2]DAT2!#REF!</definedName>
    <definedName name="SANTA" localSheetId="3">[3]DAT2!#REF!</definedName>
    <definedName name="SANTA" localSheetId="4">[4]DAT2!#REF!</definedName>
    <definedName name="SANTA" localSheetId="5">[5]DAT2!#REF!</definedName>
    <definedName name="SANTA" localSheetId="6">[6]DAT2!#REF!</definedName>
    <definedName name="SANTA">[7]DAT2!#REF!</definedName>
    <definedName name="SANTABA" localSheetId="1">[1]DAT2!#REF!</definedName>
    <definedName name="SANTABA" localSheetId="2">[2]DAT2!#REF!</definedName>
    <definedName name="SANTABA" localSheetId="3">[3]DAT2!#REF!</definedName>
    <definedName name="SANTABA" localSheetId="4">[4]DAT2!#REF!</definedName>
    <definedName name="SANTABA" localSheetId="5">[5]DAT2!#REF!</definedName>
    <definedName name="SANTABA" localSheetId="6">[6]DAT2!#REF!</definedName>
    <definedName name="SANTABA">[7]DAT2!#REF!</definedName>
    <definedName name="SANTACRU" localSheetId="1">[1]DAT2!#REF!</definedName>
    <definedName name="SANTACRU" localSheetId="2">[2]DAT2!#REF!</definedName>
    <definedName name="SANTACRU" localSheetId="3">[3]DAT2!#REF!</definedName>
    <definedName name="SANTACRU" localSheetId="4">[4]DAT2!#REF!</definedName>
    <definedName name="SANTACRU" localSheetId="5">[5]DAT2!#REF!</definedName>
    <definedName name="SANTACRU" localSheetId="6">[6]DAT2!#REF!</definedName>
    <definedName name="SANTACRU">[7]DAT2!#REF!</definedName>
    <definedName name="SANTODO" localSheetId="1">[1]DAT2!#REF!</definedName>
    <definedName name="SANTODO" localSheetId="2">[2]DAT2!#REF!</definedName>
    <definedName name="SANTODO" localSheetId="3">[3]DAT2!#REF!</definedName>
    <definedName name="SANTODO" localSheetId="4">[4]DAT2!#REF!</definedName>
    <definedName name="SANTODO" localSheetId="5">[5]DAT2!#REF!</definedName>
    <definedName name="SANTODO" localSheetId="6">[6]DAT2!#REF!</definedName>
    <definedName name="SANTODO">[7]DAT2!#REF!</definedName>
    <definedName name="SAR" localSheetId="1">[1]DAT2!#REF!</definedName>
    <definedName name="SAR" localSheetId="2">[2]DAT2!#REF!</definedName>
    <definedName name="SAR" localSheetId="3">[3]DAT2!#REF!</definedName>
    <definedName name="SAR" localSheetId="4">[4]DAT2!#REF!</definedName>
    <definedName name="SAR" localSheetId="5">[5]DAT2!#REF!</definedName>
    <definedName name="SAR" localSheetId="6">[6]DAT2!#REF!</definedName>
    <definedName name="SAR">[7]DAT2!#REF!</definedName>
    <definedName name="SARAP" localSheetId="1">[1]DAT2!#REF!</definedName>
    <definedName name="SARAP" localSheetId="2">[2]DAT2!#REF!</definedName>
    <definedName name="SARAP" localSheetId="3">[3]DAT2!#REF!</definedName>
    <definedName name="SARAP" localSheetId="4">[4]DAT2!#REF!</definedName>
    <definedName name="SARAP" localSheetId="5">[5]DAT2!#REF!</definedName>
    <definedName name="SARAP" localSheetId="6">[6]DAT2!#REF!</definedName>
    <definedName name="SARAP">[7]DAT2!#REF!</definedName>
    <definedName name="SIQUIRR" localSheetId="1">[1]DAT2!#REF!</definedName>
    <definedName name="SIQUIRR" localSheetId="2">[2]DAT2!#REF!</definedName>
    <definedName name="SIQUIRR" localSheetId="3">[3]DAT2!#REF!</definedName>
    <definedName name="SIQUIRR" localSheetId="4">[4]DAT2!#REF!</definedName>
    <definedName name="SIQUIRR" localSheetId="5">[5]DAT2!#REF!</definedName>
    <definedName name="SIQUIRR" localSheetId="6">[6]DAT2!#REF!</definedName>
    <definedName name="SIQUIRR">[7]DAT2!#REF!</definedName>
    <definedName name="TALAMA" localSheetId="1">[1]DAT2!#REF!</definedName>
    <definedName name="TALAMA" localSheetId="2">[2]DAT2!#REF!</definedName>
    <definedName name="TALAMA" localSheetId="3">[3]DAT2!#REF!</definedName>
    <definedName name="TALAMA" localSheetId="4">[4]DAT2!#REF!</definedName>
    <definedName name="TALAMA" localSheetId="5">[5]DAT2!#REF!</definedName>
    <definedName name="TALAMA" localSheetId="6">[6]DAT2!#REF!</definedName>
    <definedName name="TALAMA">[7]DAT2!#REF!</definedName>
    <definedName name="TARRAZ" localSheetId="1">[1]DAT2!#REF!</definedName>
    <definedName name="TARRAZ" localSheetId="2">[2]DAT2!#REF!</definedName>
    <definedName name="TARRAZ" localSheetId="3">[3]DAT2!#REF!</definedName>
    <definedName name="TARRAZ" localSheetId="4">[4]DAT2!#REF!</definedName>
    <definedName name="TARRAZ" localSheetId="5">[5]DAT2!#REF!</definedName>
    <definedName name="TARRAZ" localSheetId="6">[6]DAT2!#REF!</definedName>
    <definedName name="TARRAZ">[7]DAT2!#REF!</definedName>
    <definedName name="TIB" localSheetId="1">[1]DAT2!#REF!</definedName>
    <definedName name="TIB" localSheetId="2">[2]DAT2!#REF!</definedName>
    <definedName name="TIB" localSheetId="3">[3]DAT2!#REF!</definedName>
    <definedName name="TIB" localSheetId="4">[4]DAT2!#REF!</definedName>
    <definedName name="TIB" localSheetId="5">[5]DAT2!#REF!</definedName>
    <definedName name="TIB" localSheetId="6">[6]DAT2!#REF!</definedName>
    <definedName name="TIB">[7]DAT2!#REF!</definedName>
    <definedName name="TILAR" localSheetId="1">[1]DAT2!#REF!</definedName>
    <definedName name="TILAR" localSheetId="2">[2]DAT2!#REF!</definedName>
    <definedName name="TILAR" localSheetId="3">[3]DAT2!#REF!</definedName>
    <definedName name="TILAR" localSheetId="4">[4]DAT2!#REF!</definedName>
    <definedName name="TILAR" localSheetId="5">[5]DAT2!#REF!</definedName>
    <definedName name="TILAR" localSheetId="6">[6]DAT2!#REF!</definedName>
    <definedName name="TILAR">[7]DAT2!#REF!</definedName>
    <definedName name="TURR" localSheetId="1">[1]DAT2!#REF!</definedName>
    <definedName name="TURR" localSheetId="2">[2]DAT2!#REF!</definedName>
    <definedName name="TURR" localSheetId="3">[3]DAT2!#REF!</definedName>
    <definedName name="TURR" localSheetId="4">[4]DAT2!#REF!</definedName>
    <definedName name="TURR" localSheetId="5">[5]DAT2!#REF!</definedName>
    <definedName name="TURR" localSheetId="6">[6]DAT2!#REF!</definedName>
    <definedName name="TURR">[7]DAT2!#REF!</definedName>
    <definedName name="TURRI" localSheetId="1">[1]DAT2!#REF!</definedName>
    <definedName name="TURRI" localSheetId="2">[2]DAT2!#REF!</definedName>
    <definedName name="TURRI" localSheetId="3">[3]DAT2!#REF!</definedName>
    <definedName name="TURRI" localSheetId="4">[4]DAT2!#REF!</definedName>
    <definedName name="TURRI" localSheetId="5">[5]DAT2!#REF!</definedName>
    <definedName name="TURRI" localSheetId="6">[6]DAT2!#REF!</definedName>
    <definedName name="TURRI">[7]DAT2!#REF!</definedName>
    <definedName name="U">[7]!Tabla103[#All]</definedName>
    <definedName name="UPA" localSheetId="1">[1]DAT2!#REF!</definedName>
    <definedName name="UPA" localSheetId="2">[2]DAT2!#REF!</definedName>
    <definedName name="UPA" localSheetId="3">[3]DAT2!#REF!</definedName>
    <definedName name="UPA" localSheetId="4">[4]DAT2!#REF!</definedName>
    <definedName name="UPA" localSheetId="5">[5]DAT2!#REF!</definedName>
    <definedName name="UPA" localSheetId="6">[6]DAT2!#REF!</definedName>
    <definedName name="UPA">[7]DAT2!#REF!</definedName>
    <definedName name="uu">[7]!Tabla103[#All]</definedName>
    <definedName name="uum">[7]!Tabla103[#All]</definedName>
    <definedName name="uuu">[7]!Tabla103[#All]</definedName>
    <definedName name="VASQUE" localSheetId="1">[1]DAT2!#REF!</definedName>
    <definedName name="VASQUE" localSheetId="2">[2]DAT2!#REF!</definedName>
    <definedName name="VASQUE" localSheetId="3">[3]DAT2!#REF!</definedName>
    <definedName name="VASQUE" localSheetId="4">[4]DAT2!#REF!</definedName>
    <definedName name="VASQUE" localSheetId="5">[5]DAT2!#REF!</definedName>
    <definedName name="VASQUE" localSheetId="6">[6]DAT2!#REF!</definedName>
    <definedName name="VASQUE">[7]DAT2!#REF!</definedName>
    <definedName name="ZAR" localSheetId="1">[1]DAT2!#REF!</definedName>
    <definedName name="ZAR" localSheetId="2">[2]DAT2!#REF!</definedName>
    <definedName name="ZAR" localSheetId="3">[3]DAT2!#REF!</definedName>
    <definedName name="ZAR" localSheetId="4">[4]DAT2!#REF!</definedName>
    <definedName name="ZAR" localSheetId="5">[5]DAT2!#REF!</definedName>
    <definedName name="ZAR" localSheetId="6">[6]DAT2!#REF!</definedName>
    <definedName name="ZAR">[7]DAT2!#REF!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2" i="4" l="1"/>
  <c r="C5" i="8" s="1"/>
  <c r="C34" i="6"/>
  <c r="C7" i="8" s="1"/>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C35" i="5"/>
  <c r="C6" i="8" s="1"/>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C35" i="3"/>
  <c r="C4" i="8" s="1"/>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C34" i="2"/>
  <c r="C3" i="8" s="1"/>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C39" i="1"/>
  <c r="C2" i="8" s="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32" i="4" l="1"/>
  <c r="D5" i="8" s="1"/>
  <c r="D34" i="6"/>
  <c r="D35" i="5"/>
  <c r="D35" i="3"/>
  <c r="D34" i="2"/>
  <c r="D39" i="1"/>
  <c r="D33" i="4" l="1"/>
  <c r="E5" i="8" s="1"/>
  <c r="D36" i="3"/>
  <c r="E4" i="8" s="1"/>
  <c r="D4" i="8"/>
  <c r="D35" i="2"/>
  <c r="E3" i="8" s="1"/>
  <c r="D3" i="8"/>
  <c r="D40" i="1"/>
  <c r="E2" i="8" s="1"/>
  <c r="D2" i="8"/>
  <c r="D35" i="6"/>
  <c r="E7" i="8" s="1"/>
  <c r="D7" i="8"/>
  <c r="D36" i="5"/>
  <c r="E6" i="8" s="1"/>
  <c r="D6" i="8"/>
  <c r="C8" i="8"/>
  <c r="D8" i="8" l="1"/>
  <c r="E8"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Manuel Alberto Cartin Sequeira</author>
  </authors>
  <commentList>
    <comment ref="C24" authorId="0" shapeId="0" xr:uid="{00000000-0006-0000-0300-000001000000}">
      <text>
        <r>
          <rPr>
            <b/>
            <sz val="9"/>
            <color indexed="81"/>
            <rFont val="Tahoma"/>
            <family val="2"/>
          </rPr>
          <t xml:space="preserve">DID: </t>
        </r>
        <r>
          <rPr>
            <sz val="9"/>
            <color indexed="81"/>
            <rFont val="Tahoma"/>
            <family val="2"/>
          </rPr>
          <t>D13</t>
        </r>
        <r>
          <rPr>
            <b/>
            <sz val="9"/>
            <color indexed="81"/>
            <rFont val="Tahoma"/>
            <family val="2"/>
          </rPr>
          <t xml:space="preserve"> </t>
        </r>
        <r>
          <rPr>
            <sz val="9"/>
            <color indexed="81"/>
            <rFont val="Tahoma"/>
            <family val="2"/>
          </rPr>
          <t>Moravia debe Coordinar el envio  del Plan de Trabajo de Paracito a R4 D51 Santo Domingo por medio de su Dirección Regional.</t>
        </r>
      </text>
    </comment>
  </commentList>
</comments>
</file>

<file path=xl/sharedStrings.xml><?xml version="1.0" encoding="utf-8"?>
<sst xmlns="http://schemas.openxmlformats.org/spreadsheetml/2006/main" count="339" uniqueCount="84">
  <si>
    <t>D10 Curridabat</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</si>
  <si>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</si>
  <si>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</si>
  <si>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</si>
  <si>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</si>
  <si>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</si>
  <si>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</si>
  <si>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</si>
  <si>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</si>
  <si>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</si>
  <si>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</si>
  <si>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</si>
  <si>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</si>
  <si>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</si>
  <si>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</si>
  <si>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</si>
  <si>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</si>
  <si>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</si>
  <si>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PSCC</t>
  </si>
  <si>
    <t>Realizar 4 procesos formativos (Cursos de la oferta de los programas DARE - GREAT - MPAS) en Centros Educativos, 2 por año, dentro de los distritos que contemplan las áreas georreferenciadas del informe territorial de la Estrategia Sembremos Seguridad 2024. Un curso diferente por semestre, un nivel completo. En caso de no contar con instructor acreditado DARE, se puede cumplir la meta con las charlas de Habilidades para la vida DARE, con el aval del Coordinador Nacional.</t>
  </si>
  <si>
    <t>GREAT/MPAS/DARE</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</si>
  <si>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</si>
  <si>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DARE</t>
  </si>
  <si>
    <t>Cuatro comercios capacitados e integrados al Programa de Seguridad Comercial que se localicen, en los distritos que contemplan las áreas georreferenciadas del informe territorial de la Estrategia Sembremos Seguridad 2024, dos por año, una por semestre.</t>
  </si>
  <si>
    <t>Cuatro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dos por año.</t>
  </si>
  <si>
    <t>Dos estrategias de divulgación (Por medio de brochures, post o imágenes en redes sociales) en el tema del procedimiento para realizar una "Denuncia ante daños"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</si>
  <si>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Cuatro capacitaciones, en el tema de Denuncia, dirigidas a las comunidades integradas al Programa de Seguridad Comunitaria, que se localicen, en los distritos que contemplan las área georreferenciadas del informe territorial de la Estrategia Sembremos Seguridad 2024, dos por año, una por semestre.</t>
  </si>
  <si>
    <t>D11 Montes de Oca</t>
  </si>
  <si>
    <t>Cubrir 4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</si>
  <si>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</si>
  <si>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D13 Moravia</t>
  </si>
  <si>
    <t>D14 Tibás</t>
  </si>
  <si>
    <t>Cubrir 4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</si>
  <si>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Cuatro capacitaciones, en el tema de "Denuncia a búnkers",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</si>
  <si>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</si>
  <si>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Dos actividades de recuperación de espacios públicos, con las comunidades integradas al Programa de Seguridad Comunitaria, que se localicen, en los distritos que contemplan las área georreferenciadas del informe territorial de la Estrategia Sembremos Seguridad 2024, una por año.</t>
  </si>
  <si>
    <t>Cubrir 2 procesos formativos en Centros Educativos (uno por año) ubicados dentro de los distritos que contemplan las áreas georreferenciadas del informe territorial de la Estrategia Sembremos Seguridad 2024, con los cursos del Programa DARE: Curso primaria. Curso Secundaria; un nivel completo por centro educativo, por semestre. En caso de no contar con instructor acreditado, se puede cumplir la meta con las charlas de Habilidades para la vida DARE, con el aval del Coordinador Nacional.</t>
  </si>
  <si>
    <t>Delegación</t>
  </si>
  <si>
    <t>D10</t>
  </si>
  <si>
    <t>D11</t>
  </si>
  <si>
    <t>D12</t>
  </si>
  <si>
    <t>D13</t>
  </si>
  <si>
    <t>D14</t>
  </si>
  <si>
    <t>D15</t>
  </si>
  <si>
    <t>CURRIDABAT</t>
  </si>
  <si>
    <t>MONTES DE OCA</t>
  </si>
  <si>
    <t>GOICOECHEA</t>
  </si>
  <si>
    <t>MORAVIA</t>
  </si>
  <si>
    <t>TIBÁS</t>
  </si>
  <si>
    <t>VASQUEZ DE CORONADO</t>
  </si>
  <si>
    <t>AVANCE</t>
  </si>
  <si>
    <t>TOTALES</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</si>
  <si>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</si>
  <si>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</si>
  <si>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</si>
  <si>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</si>
  <si>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</si>
  <si>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</si>
  <si>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</si>
  <si>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</si>
  <si>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</si>
  <si>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</si>
  <si>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</si>
  <si>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</si>
  <si>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</si>
  <si>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</si>
  <si>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</si>
  <si>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</si>
  <si>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</si>
  <si>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</si>
  <si>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</si>
  <si>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</si>
  <si>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</si>
  <si>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</si>
  <si>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</si>
  <si>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</si>
  <si>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</si>
  <si>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</si>
  <si>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</si>
  <si>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</si>
  <si>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</si>
  <si>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D15 Vasquez de Coronado</t>
  </si>
  <si>
    <t>D12 Goicoechea</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</si>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</sst>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rgb="FF000000"/>
      <name val="Times New Roman"/>
      <family val="1"/>
    </font>
    <font>
      <b/>
      <sz val="9"/>
      <name val="Calibri"/>
      <family val="2"/>
      <scheme val="minor"/>
    </font>
    <font>
      <b/>
      <sz val="9"/>
      <color rgb="FF000000"/>
      <name val="Calibri"/>
      <family val="2"/>
    </font>
    <font>
      <b/>
      <sz val="9"/>
      <color indexed="81"/>
      <name val="Tahoma"/>
      <family val="2"/>
    </font>
    <font>
      <sz val="9"/>
      <color indexed="81"/>
      <name val="Tahoma"/>
      <family val="2"/>
    </font>
    <font>
      <sz val="11"/>
      <color theme="7"/>
      <name val="Calibri"/>
      <family val="2"/>
      <scheme val="minor"/>
    </font>
    <font>
      <b/>
      <sz val="11"/>
      <color theme="7"/>
      <name val="Calibri"/>
      <family val="2"/>
      <scheme val="minor"/>
    </font>
    <font>
      <sz val="11"/>
      <color rgb="FFFFC000"/>
      <name val="Calibri"/>
      <family val="2"/>
      <scheme val="minor"/>
    </font>
    <font>
      <b/>
      <sz val="11"/>
      <name val="Calibri"/>
      <family val="2"/>
      <scheme val="minor"/>
    </font>
    <font>
      <sz val="11"/>
      <name val="Calibri"/>
      <family val="2"/>
      <scheme val="minor"/>
    </font>
    <font>
      <b/>
      <sz val="11"/>
      <name val="Arial"/>
      <family val="2"/>
    </font>
    <font>
      <b/>
      <sz val="9"/>
      <name val="Arial"/>
      <family val="2"/>
    </font>
    <font>
      <sz val="12"/>
      <name val="Calibri"/>
      <family val="2"/>
      <scheme val="minor"/>
    </font>
    <font>
      <b/>
      <sz val="10"/>
      <name val="Arial"/>
      <family val="2"/>
    </font>
  </fonts>
  <fills count="15">
    <fill>
      <patternFill patternType="none"/>
    </fill>
    <fill>
      <patternFill patternType="gray125"/>
    </fill>
    <fill>
      <patternFill patternType="solid">
        <fgColor theme="3"/>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E2EFDA"/>
        <bgColor indexed="64"/>
      </patternFill>
    </fill>
    <fill>
      <patternFill patternType="solid">
        <fgColor rgb="FFFBE4D5"/>
        <bgColor indexed="64"/>
      </patternFill>
    </fill>
    <fill>
      <patternFill patternType="solid">
        <fgColor theme="1"/>
        <bgColor indexed="64"/>
      </patternFill>
    </fill>
    <fill>
      <patternFill patternType="solid">
        <fgColor theme="7"/>
        <bgColor indexed="64"/>
      </patternFill>
    </fill>
    <fill>
      <patternFill patternType="solid">
        <fgColor theme="0"/>
        <bgColor indexed="64"/>
      </patternFill>
    </fill>
    <fill>
      <patternFill patternType="solid">
        <fgColor theme="3" tint="-0.249977111117893"/>
        <bgColor indexed="64"/>
      </patternFill>
    </fill>
    <fill>
      <patternFill patternType="solid">
        <fgColor rgb="FFDDEBF7"/>
        <bgColor indexed="64"/>
      </patternFill>
    </fill>
    <fill>
      <patternFill patternType="solid">
        <fgColor theme="0" tint="-0.14999847407452621"/>
        <bgColor indexed="64"/>
      </patternFill>
    </fill>
  </fills>
  <borders count="22">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medium">
        <color theme="0"/>
      </left>
      <right style="medium">
        <color theme="0"/>
      </right>
      <top style="thin">
        <color theme="0"/>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theme="0"/>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4" fillId="0" borderId="0"/>
  </cellStyleXfs>
  <cellXfs count="62">
    <xf numFmtId="0" fontId="0" fillId="0" borderId="0" xfId="0"/>
    <xf numFmtId="0" fontId="1" fillId="2" borderId="2" xfId="0" applyFont="1" applyFill="1" applyBorder="1" applyAlignment="1">
      <alignment horizontal="center"/>
    </xf>
    <xf numFmtId="0" fontId="0" fillId="0" borderId="0" xfId="0" applyProtection="1">
      <protection locked="0"/>
    </xf>
    <xf numFmtId="0" fontId="1" fillId="2" borderId="3" xfId="0" applyFont="1" applyFill="1" applyBorder="1" applyAlignment="1">
      <alignment horizontal="center" vertical="center"/>
    </xf>
    <xf numFmtId="0" fontId="3" fillId="0" borderId="0" xfId="0" applyFont="1" applyProtection="1">
      <protection locked="0"/>
    </xf>
    <xf numFmtId="0" fontId="5" fillId="3" borderId="6" xfId="0" applyFont="1" applyFill="1" applyBorder="1" applyAlignment="1">
      <alignment horizontal="center" vertical="center" wrapText="1"/>
    </xf>
    <xf numFmtId="0" fontId="5" fillId="4" borderId="7" xfId="0" applyFont="1" applyFill="1" applyBorder="1" applyAlignment="1">
      <alignment vertical="center" wrapText="1"/>
    </xf>
    <xf numFmtId="0" fontId="5" fillId="3" borderId="8" xfId="0" applyFont="1" applyFill="1" applyBorder="1" applyAlignment="1">
      <alignment horizontal="center" vertical="center" wrapText="1"/>
    </xf>
    <xf numFmtId="0" fontId="0" fillId="0" borderId="0" xfId="0" applyAlignment="1" applyProtection="1">
      <alignment horizontal="center"/>
      <protection locked="0"/>
    </xf>
    <xf numFmtId="10" fontId="1" fillId="6" borderId="0" xfId="0" applyNumberFormat="1" applyFont="1" applyFill="1" applyAlignment="1" applyProtection="1">
      <alignment horizontal="center"/>
      <protection locked="0"/>
    </xf>
    <xf numFmtId="0" fontId="6" fillId="7" borderId="10" xfId="0" applyFont="1" applyFill="1" applyBorder="1" applyAlignment="1">
      <alignment horizontal="left" vertical="center" wrapText="1"/>
    </xf>
    <xf numFmtId="0" fontId="5" fillId="3" borderId="11" xfId="0" applyFont="1" applyFill="1" applyBorder="1" applyAlignment="1">
      <alignment vertical="center" wrapText="1"/>
    </xf>
    <xf numFmtId="0" fontId="5" fillId="4" borderId="8" xfId="0" applyFont="1" applyFill="1" applyBorder="1" applyAlignment="1">
      <alignment horizontal="center" vertical="center" wrapText="1"/>
    </xf>
    <xf numFmtId="0" fontId="5" fillId="4" borderId="4" xfId="0" applyFont="1" applyFill="1" applyBorder="1" applyAlignment="1">
      <alignment vertical="center" wrapText="1"/>
    </xf>
    <xf numFmtId="0" fontId="6" fillId="8" borderId="4"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4" borderId="11" xfId="0" applyFont="1" applyFill="1" applyBorder="1" applyAlignment="1">
      <alignment vertical="center" wrapText="1"/>
    </xf>
    <xf numFmtId="0" fontId="6" fillId="8" borderId="10" xfId="0" applyFont="1" applyFill="1" applyBorder="1" applyAlignment="1">
      <alignment horizontal="left" vertical="center" wrapText="1"/>
    </xf>
    <xf numFmtId="0" fontId="11" fillId="9" borderId="0" xfId="0" applyFont="1" applyFill="1" applyAlignment="1">
      <alignment horizontal="center"/>
    </xf>
    <xf numFmtId="0" fontId="0" fillId="0" borderId="4" xfId="0" applyBorder="1" applyAlignment="1">
      <alignment horizontal="center"/>
    </xf>
    <xf numFmtId="1" fontId="0" fillId="0" borderId="4" xfId="0" applyNumberFormat="1" applyBorder="1" applyAlignment="1">
      <alignment horizontal="center"/>
    </xf>
    <xf numFmtId="0" fontId="0" fillId="0" borderId="0" xfId="0" applyAlignment="1">
      <alignment horizontal="center"/>
    </xf>
    <xf numFmtId="0" fontId="10" fillId="9" borderId="12" xfId="0" applyFont="1" applyFill="1" applyBorder="1"/>
    <xf numFmtId="0" fontId="2" fillId="10" borderId="0" xfId="0" applyFont="1" applyFill="1" applyAlignment="1">
      <alignment horizontal="center"/>
    </xf>
    <xf numFmtId="1" fontId="2" fillId="10" borderId="0" xfId="0" applyNumberFormat="1" applyFont="1" applyFill="1" applyAlignment="1">
      <alignment horizontal="center"/>
    </xf>
    <xf numFmtId="0" fontId="12" fillId="11" borderId="4" xfId="0" applyFont="1" applyFill="1" applyBorder="1" applyAlignment="1">
      <alignment horizontal="center"/>
    </xf>
    <xf numFmtId="0" fontId="13" fillId="11" borderId="4" xfId="0" applyFont="1" applyFill="1" applyBorder="1"/>
    <xf numFmtId="0" fontId="13" fillId="11" borderId="11" xfId="0" applyFont="1" applyFill="1" applyBorder="1"/>
    <xf numFmtId="1" fontId="5" fillId="0" borderId="6" xfId="0" applyNumberFormat="1" applyFont="1" applyBorder="1" applyAlignment="1">
      <alignment horizontal="center" vertical="center" wrapText="1"/>
    </xf>
    <xf numFmtId="0" fontId="1" fillId="2" borderId="0" xfId="0" applyFont="1" applyFill="1" applyAlignment="1">
      <alignment horizontal="center"/>
    </xf>
    <xf numFmtId="0" fontId="3" fillId="12" borderId="0" xfId="0" applyFont="1" applyFill="1" applyProtection="1">
      <protection locked="0"/>
    </xf>
    <xf numFmtId="0" fontId="5" fillId="3" borderId="14" xfId="0" applyFont="1" applyFill="1" applyBorder="1" applyAlignment="1">
      <alignment horizontal="center" vertical="center" textRotation="90" wrapText="1"/>
    </xf>
    <xf numFmtId="0" fontId="6" fillId="13" borderId="9" xfId="0" applyFont="1" applyFill="1" applyBorder="1" applyAlignment="1">
      <alignment horizontal="left" vertical="center" wrapText="1"/>
    </xf>
    <xf numFmtId="0" fontId="2" fillId="0" borderId="4" xfId="0" applyFont="1" applyBorder="1" applyAlignment="1" applyProtection="1">
      <alignment horizontal="center" vertical="center"/>
      <protection locked="0"/>
    </xf>
    <xf numFmtId="0" fontId="5" fillId="4" borderId="15" xfId="0" applyFont="1" applyFill="1" applyBorder="1" applyAlignment="1">
      <alignment horizontal="center" vertical="center" textRotation="90" wrapText="1"/>
    </xf>
    <xf numFmtId="0" fontId="5" fillId="5" borderId="15" xfId="0" applyFont="1" applyFill="1" applyBorder="1" applyAlignment="1">
      <alignment horizontal="center" vertical="center" textRotation="90" wrapText="1"/>
    </xf>
    <xf numFmtId="0" fontId="5" fillId="5" borderId="8" xfId="0" applyFont="1" applyFill="1" applyBorder="1" applyAlignment="1">
      <alignment horizontal="center" vertical="center" wrapText="1"/>
    </xf>
    <xf numFmtId="0" fontId="5" fillId="3" borderId="15" xfId="0" applyFont="1" applyFill="1" applyBorder="1" applyAlignment="1">
      <alignment horizontal="center" vertical="center" textRotation="90" wrapText="1"/>
    </xf>
    <xf numFmtId="0" fontId="6" fillId="13" borderId="10"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0" fillId="0" borderId="4" xfId="0" applyBorder="1" applyProtection="1">
      <protection locked="0"/>
    </xf>
    <xf numFmtId="0" fontId="14" fillId="14" borderId="19" xfId="0" applyFont="1" applyFill="1" applyBorder="1" applyAlignment="1">
      <alignment horizontal="left" vertical="center" wrapText="1"/>
    </xf>
    <xf numFmtId="0" fontId="14" fillId="14" borderId="21" xfId="0" applyFont="1" applyFill="1" applyBorder="1" applyAlignment="1">
      <alignment horizontal="left" vertical="center" wrapText="1"/>
    </xf>
    <xf numFmtId="0" fontId="2" fillId="0" borderId="4" xfId="0" applyFont="1" applyBorder="1" applyAlignment="1" applyProtection="1">
      <alignment horizontal="center"/>
      <protection locked="0"/>
    </xf>
    <xf numFmtId="1" fontId="2" fillId="0" borderId="4" xfId="0" applyNumberFormat="1" applyFont="1" applyBorder="1" applyAlignment="1" applyProtection="1">
      <alignment horizontal="center" vertical="center"/>
      <protection locked="0"/>
    </xf>
    <xf numFmtId="0" fontId="2" fillId="0" borderId="0" xfId="0" applyFont="1" applyProtection="1">
      <protection locked="0"/>
    </xf>
    <xf numFmtId="0" fontId="5" fillId="3" borderId="5" xfId="0" applyFont="1" applyFill="1" applyBorder="1" applyAlignment="1">
      <alignment horizontal="center" vertical="center" textRotation="90" wrapText="1"/>
    </xf>
    <xf numFmtId="0" fontId="5" fillId="4" borderId="4" xfId="0" applyFont="1" applyFill="1" applyBorder="1" applyAlignment="1">
      <alignment horizontal="center" vertical="center" textRotation="90" wrapText="1"/>
    </xf>
    <xf numFmtId="0" fontId="5" fillId="3" borderId="4" xfId="0" applyFont="1" applyFill="1" applyBorder="1" applyAlignment="1">
      <alignment horizontal="center" vertical="center" textRotation="90" wrapText="1"/>
    </xf>
    <xf numFmtId="0" fontId="15" fillId="14" borderId="19" xfId="0" applyFont="1" applyFill="1" applyBorder="1" applyAlignment="1">
      <alignment horizontal="left" vertical="center" wrapText="1"/>
    </xf>
    <xf numFmtId="0" fontId="15" fillId="14" borderId="21" xfId="0" applyFont="1" applyFill="1" applyBorder="1" applyAlignment="1">
      <alignment horizontal="left" vertical="center" wrapText="1"/>
    </xf>
    <xf numFmtId="0" fontId="6" fillId="8" borderId="4" xfId="0" applyFont="1" applyFill="1" applyBorder="1" applyAlignment="1">
      <alignment horizontal="center" vertical="center" textRotation="90" wrapText="1"/>
    </xf>
    <xf numFmtId="0" fontId="16" fillId="0" borderId="0" xfId="0" applyFont="1" applyAlignment="1" applyProtection="1">
      <alignment horizontal="center" vertical="center" wrapText="1"/>
      <protection locked="0"/>
    </xf>
    <xf numFmtId="0" fontId="17" fillId="14" borderId="19" xfId="0" applyFont="1" applyFill="1" applyBorder="1" applyAlignment="1">
      <alignment horizontal="left" vertical="center" wrapText="1"/>
    </xf>
    <xf numFmtId="0" fontId="17" fillId="14" borderId="21" xfId="0" applyFont="1" applyFill="1" applyBorder="1" applyAlignment="1">
      <alignment horizontal="left" vertical="center" wrapText="1"/>
    </xf>
    <xf numFmtId="10" fontId="0" fillId="0" borderId="4" xfId="0" applyNumberFormat="1" applyBorder="1" applyAlignment="1">
      <alignment horizontal="center"/>
    </xf>
    <xf numFmtId="0" fontId="1" fillId="2" borderId="1" xfId="0" applyFont="1" applyFill="1" applyBorder="1" applyAlignment="1">
      <alignment horizontal="center" vertical="center" textRotation="90"/>
    </xf>
    <xf numFmtId="0" fontId="1" fillId="2" borderId="13" xfId="0" applyFont="1" applyFill="1" applyBorder="1" applyAlignment="1">
      <alignment horizontal="center" vertical="center" textRotation="90"/>
    </xf>
    <xf numFmtId="0" fontId="5" fillId="3" borderId="16" xfId="0" applyFont="1" applyFill="1" applyBorder="1" applyAlignment="1">
      <alignment horizontal="center" vertical="center" textRotation="90" wrapText="1"/>
    </xf>
    <xf numFmtId="0" fontId="5" fillId="3" borderId="18" xfId="0" applyFont="1" applyFill="1" applyBorder="1" applyAlignment="1">
      <alignment horizontal="center" vertical="center" textRotation="90" wrapText="1"/>
    </xf>
    <xf numFmtId="0" fontId="5" fillId="3" borderId="20" xfId="0" applyFont="1" applyFill="1" applyBorder="1" applyAlignment="1">
      <alignment horizontal="center" vertical="center" textRotation="90" wrapText="1"/>
    </xf>
    <xf numFmtId="0" fontId="9" fillId="9" borderId="4" xfId="0" applyFont="1" applyFill="1" applyBorder="1" applyAlignment="1">
      <alignment horizontal="center"/>
    </xf>
  </cellXfs>
  <cellStyles count="2">
    <cellStyle name="Normal" xfId="0" builtinId="0"/>
    <cellStyle name="Normal 2" xfId="1" xr:uid="{00000000-0005-0000-0000-000001000000}"/>
  </cellStyles>
  <dxfs count="11">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N%20San%20Jos&#233;%20Norte/16.%20PUMI%202025/II%20TRIMESTRE/JUNIO/DR1%20NORTE/D11%20Montes%20de%20Oca%20PUMI%20junio%202025.xlsx?44A38D6C" TargetMode="External"/><Relationship Id="rId1" Type="http://schemas.openxmlformats.org/officeDocument/2006/relationships/externalLinkPath" Target="file:///\\44A38D6C\D11%20Montes%20de%20Oca%20PUMI%20junio%202025.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N%20San%20Jos&#233;%20Norte/16.%20PUMI%202025/II%20TRIMESTRE/JUNIO/DR1%20NORTE/D12%20Goicoechea%20PUMI%202025%20Junio.xlsx?44A38D6C" TargetMode="External"/><Relationship Id="rId1" Type="http://schemas.openxmlformats.org/officeDocument/2006/relationships/externalLinkPath" Target="file:///\\44A38D6C\D12%20Goicoechea%20PUMI%202025%20Junio.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N%20San%20Jos&#233;%20Norte/16.%20PUMI%202025/II%20TRIMESTRE/JUNIO/DR1%20NORTE/D13%20Moravia%20PUMI%202025%20Junio.xls?44A38D6C" TargetMode="External"/><Relationship Id="rId1" Type="http://schemas.openxmlformats.org/officeDocument/2006/relationships/externalLinkPath" Target="file:///\\44A38D6C\D13%20Moravia%20PUMI%202025%20Junio.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N%20San%20Jos&#233;%20Norte/16.%20PUMI%202025/II%20TRIMESTRE/JUNIO/DR1%20NORTE/D14%20Tibas%20PUMI%202025%20Junio.xlsx?44A38D6C" TargetMode="External"/><Relationship Id="rId1" Type="http://schemas.openxmlformats.org/officeDocument/2006/relationships/externalLinkPath" Target="file:///\\44A38D6C\D14%20Tibas%20PUMI%202025%20Junio.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N%20San%20Jos&#233;%20Norte/16.%20PUMI%202025/II%20TRIMESTRE/MAYO/DR1N/D15%20Coronado%20PUMI%202025%20Mayo.xlsx?3F4C09F8" TargetMode="External"/><Relationship Id="rId1" Type="http://schemas.openxmlformats.org/officeDocument/2006/relationships/externalLinkPath" Target="file:///\\3F4C09F8\D15%20Coronado%20PUMI%202025%20Mayo.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N%20San%20Jos&#233;%20Norte/16.%20PUMI%202025/II%20TRIMESTRE/JUNIO/DR1%20CENTRAL/D1%20Carmen%20PUMI%202025%20Junio.xlsx?61C40B8E" TargetMode="External"/><Relationship Id="rId1" Type="http://schemas.openxmlformats.org/officeDocument/2006/relationships/externalLinkPath" Target="file:///\\61C40B8E\D1%20Carmen%20PUMI%202025%20Junio.xlsx"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N%20San%20Jos&#233;%20Norte/16.%20PUMI%202025/II%20TRIMESTRE/JUNIO/DR1%20NORTE/D10%20Curridabat%20PUMI%202025%20Junio.xlsx?44A38D6C" TargetMode="External"/><Relationship Id="rId1" Type="http://schemas.openxmlformats.org/officeDocument/2006/relationships/externalLinkPath" Target="file:///\\44A38D6C\D10%20Curridabat%20PUMI%202025%20Jun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1 Montes de Oca PSCC "/>
      <sheetName val="D11 Montes de Oca VIF"/>
      <sheetName val="D11 Montes de Oca DARE"/>
      <sheetName val="D11 Montes de Oca GREAT"/>
      <sheetName val="D11 Montes de Oca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2 GOICOECHEA PSCC "/>
      <sheetName val="D12 GOICOECHEA VIF"/>
      <sheetName val="D12 GOICOECHEA DARE"/>
      <sheetName val="D12 GOICOECHEA GREAT"/>
      <sheetName val="D12 GOICOECHEA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3 Moravia PSCC "/>
      <sheetName val="D13 Moravia VIF"/>
      <sheetName val="D13 Moravia DARE"/>
      <sheetName val="D13 Moravia GREAT"/>
      <sheetName val="D13 Moravi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4 TIBÁS PSCC "/>
      <sheetName val="D14 TIBÁS VIF"/>
      <sheetName val="D14 TIBÁS DARE"/>
      <sheetName val="D14 TIBÁS GREAT"/>
      <sheetName val="D14 TIBÁ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5 VAZQUEZ DE CORONADO PSCC "/>
      <sheetName val="D15 VAZQUEZ DE CORONADO VIF"/>
      <sheetName val="D15 VAZQUEZ DE CORONADO DARE"/>
      <sheetName val="D15 VAZQUEZ DE CORONADO GREAT"/>
      <sheetName val="D15 VAZQUEZ DE CORONADO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0 Curridabat PSCC "/>
      <sheetName val="D10 Curridabat VIF"/>
      <sheetName val="D10 Curridabat DARE"/>
      <sheetName val="D10 Curridabat GREAT"/>
      <sheetName val="D10 Curridabat MPAS"/>
      <sheetName val="Totales PDIF"/>
      <sheetName val="Totales Política Pública"/>
      <sheetName val="DAT1"/>
      <sheetName val="DAT2"/>
      <sheetName val="D10 Curridabat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62"/>
  <sheetViews>
    <sheetView topLeftCell="B1" zoomScale="70" zoomScaleNormal="70" workbookViewId="0">
      <selection activeCell="I4" sqref="I4"/>
    </sheetView>
  </sheetViews>
  <sheetFormatPr baseColWidth="10" defaultColWidth="13" defaultRowHeight="15" x14ac:dyDescent="0.25"/>
  <cols>
    <col min="1" max="1" width="7.140625" style="2" customWidth="1"/>
    <col min="2" max="2" width="83.7109375" style="2" customWidth="1"/>
    <col min="3" max="3" width="13" style="2"/>
    <col min="4" max="4" width="25.5703125" style="2" customWidth="1"/>
    <col min="5" max="9" width="19.7109375" style="2" customWidth="1"/>
    <col min="10" max="16384" width="13" style="2"/>
  </cols>
  <sheetData>
    <row r="1" spans="1:16" ht="61.5" customHeight="1" x14ac:dyDescent="0.25">
      <c r="A1" s="56" t="s">
        <v>1</v>
      </c>
      <c r="B1" s="29" t="s">
        <v>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7"/>
      <c r="B2" s="29"/>
      <c r="C2" s="3">
        <v>2026</v>
      </c>
      <c r="D2" s="3" t="s">
        <v>16</v>
      </c>
      <c r="E2" s="30"/>
      <c r="F2" s="30"/>
      <c r="G2" s="30"/>
      <c r="H2" s="30"/>
      <c r="I2" s="30"/>
      <c r="J2" s="30"/>
      <c r="K2" s="30"/>
      <c r="L2" s="30"/>
      <c r="M2" s="30"/>
      <c r="N2" s="30"/>
      <c r="O2" s="30"/>
      <c r="P2" s="30"/>
    </row>
    <row r="3" spans="1:16" ht="81" customHeight="1" thickBot="1" x14ac:dyDescent="0.3">
      <c r="A3" s="31" t="s">
        <v>18</v>
      </c>
      <c r="B3" s="32" t="s">
        <v>17</v>
      </c>
      <c r="C3" s="5">
        <v>2</v>
      </c>
      <c r="D3" s="28">
        <f t="shared" ref="D3:D38" si="0">SUM(E3:P3)</f>
        <v>1</v>
      </c>
      <c r="E3" s="33"/>
      <c r="F3" s="33"/>
      <c r="G3" s="33"/>
      <c r="H3" s="33">
        <v>1</v>
      </c>
      <c r="I3" s="33"/>
      <c r="J3" s="33"/>
      <c r="K3" s="33"/>
      <c r="L3" s="33"/>
      <c r="M3" s="33"/>
      <c r="N3" s="33"/>
      <c r="O3" s="33"/>
      <c r="P3" s="33"/>
    </row>
    <row r="4" spans="1:16" ht="81" customHeight="1" thickBot="1" x14ac:dyDescent="0.3">
      <c r="A4" s="34" t="s">
        <v>20</v>
      </c>
      <c r="B4" s="10" t="s">
        <v>19</v>
      </c>
      <c r="C4" s="12">
        <v>2</v>
      </c>
      <c r="D4" s="28">
        <f t="shared" si="0"/>
        <v>0</v>
      </c>
      <c r="E4" s="33"/>
      <c r="F4" s="33"/>
      <c r="G4" s="33"/>
      <c r="H4" s="33"/>
      <c r="I4" s="33"/>
      <c r="J4" s="33"/>
      <c r="K4" s="33"/>
      <c r="L4" s="33"/>
      <c r="M4" s="33"/>
      <c r="N4" s="33"/>
      <c r="O4" s="33"/>
      <c r="P4" s="33"/>
    </row>
    <row r="5" spans="1:16" ht="81" customHeight="1" thickBot="1" x14ac:dyDescent="0.3">
      <c r="A5" s="35" t="s">
        <v>22</v>
      </c>
      <c r="B5" s="17" t="s">
        <v>21</v>
      </c>
      <c r="C5" s="36">
        <v>1</v>
      </c>
      <c r="D5" s="28">
        <f t="shared" si="0"/>
        <v>1</v>
      </c>
      <c r="E5" s="33">
        <v>0</v>
      </c>
      <c r="F5" s="33">
        <v>0</v>
      </c>
      <c r="G5" s="33">
        <v>0</v>
      </c>
      <c r="H5" s="33">
        <v>1</v>
      </c>
      <c r="I5" s="33"/>
      <c r="J5" s="33"/>
      <c r="K5" s="33"/>
      <c r="L5" s="33"/>
      <c r="M5" s="33"/>
      <c r="N5" s="33"/>
      <c r="O5" s="33"/>
      <c r="P5" s="33"/>
    </row>
    <row r="6" spans="1:16" ht="81" customHeight="1" thickBot="1" x14ac:dyDescent="0.3">
      <c r="A6" s="37" t="s">
        <v>18</v>
      </c>
      <c r="B6" s="38" t="s">
        <v>17</v>
      </c>
      <c r="C6" s="7">
        <v>2</v>
      </c>
      <c r="D6" s="28">
        <f t="shared" si="0"/>
        <v>0</v>
      </c>
      <c r="E6" s="33"/>
      <c r="F6" s="33"/>
      <c r="G6" s="33"/>
      <c r="H6" s="33"/>
      <c r="I6" s="33"/>
      <c r="J6" s="33"/>
      <c r="K6" s="33"/>
      <c r="L6" s="33"/>
      <c r="M6" s="33"/>
      <c r="N6" s="33"/>
      <c r="O6" s="33"/>
      <c r="P6" s="33"/>
    </row>
    <row r="7" spans="1:16" ht="81" customHeight="1" thickBot="1" x14ac:dyDescent="0.3">
      <c r="A7" s="37" t="s">
        <v>18</v>
      </c>
      <c r="B7" s="38" t="s">
        <v>23</v>
      </c>
      <c r="C7" s="7">
        <v>2</v>
      </c>
      <c r="D7" s="28">
        <f t="shared" si="0"/>
        <v>0</v>
      </c>
      <c r="E7" s="33"/>
      <c r="F7" s="33"/>
      <c r="G7" s="33"/>
      <c r="H7" s="33"/>
      <c r="I7" s="33"/>
      <c r="J7" s="33"/>
      <c r="K7" s="33"/>
      <c r="L7" s="33"/>
      <c r="M7" s="33"/>
      <c r="N7" s="33"/>
      <c r="O7" s="33"/>
      <c r="P7" s="33"/>
    </row>
    <row r="8" spans="1:16" ht="81" customHeight="1" thickBot="1" x14ac:dyDescent="0.3">
      <c r="A8" s="37" t="s">
        <v>18</v>
      </c>
      <c r="B8" s="38" t="s">
        <v>24</v>
      </c>
      <c r="C8" s="7">
        <v>2</v>
      </c>
      <c r="D8" s="28">
        <f t="shared" si="0"/>
        <v>0</v>
      </c>
      <c r="E8" s="33"/>
      <c r="F8" s="33"/>
      <c r="G8" s="33"/>
      <c r="H8" s="33"/>
      <c r="I8" s="33"/>
      <c r="J8" s="33"/>
      <c r="K8" s="33"/>
      <c r="L8" s="33"/>
      <c r="M8" s="33"/>
      <c r="N8" s="33"/>
      <c r="O8" s="33"/>
      <c r="P8" s="33"/>
    </row>
    <row r="9" spans="1:16" ht="81" customHeight="1" thickBot="1" x14ac:dyDescent="0.3">
      <c r="A9" s="37" t="s">
        <v>18</v>
      </c>
      <c r="B9" s="38" t="s">
        <v>25</v>
      </c>
      <c r="C9" s="7">
        <v>1</v>
      </c>
      <c r="D9" s="28">
        <f t="shared" si="0"/>
        <v>1</v>
      </c>
      <c r="E9" s="33"/>
      <c r="F9" s="33"/>
      <c r="G9" s="33"/>
      <c r="H9" s="33"/>
      <c r="I9" s="33"/>
      <c r="J9" s="33">
        <v>1</v>
      </c>
      <c r="K9" s="33"/>
      <c r="L9" s="33"/>
      <c r="M9" s="33"/>
      <c r="N9" s="33"/>
      <c r="O9" s="33"/>
      <c r="P9" s="33"/>
    </row>
    <row r="10" spans="1:16" ht="81" customHeight="1" thickBot="1" x14ac:dyDescent="0.3">
      <c r="A10" s="37" t="s">
        <v>18</v>
      </c>
      <c r="B10" s="38" t="s">
        <v>26</v>
      </c>
      <c r="C10" s="7">
        <v>2</v>
      </c>
      <c r="D10" s="28">
        <f t="shared" si="0"/>
        <v>1</v>
      </c>
      <c r="E10" s="33"/>
      <c r="F10" s="33"/>
      <c r="G10" s="33"/>
      <c r="H10" s="33">
        <v>1</v>
      </c>
      <c r="I10" s="33"/>
      <c r="J10" s="33"/>
      <c r="K10" s="33"/>
      <c r="L10" s="33"/>
      <c r="M10" s="33"/>
      <c r="N10" s="33"/>
      <c r="O10" s="33"/>
      <c r="P10" s="33"/>
    </row>
    <row r="11" spans="1:16" ht="28.5" customHeight="1" x14ac:dyDescent="0.25">
      <c r="A11" s="58" t="s">
        <v>52</v>
      </c>
      <c r="B11" s="39" t="s">
        <v>53</v>
      </c>
      <c r="C11" s="7">
        <v>3</v>
      </c>
      <c r="D11" s="28">
        <f t="shared" si="0"/>
        <v>2</v>
      </c>
      <c r="E11" s="33"/>
      <c r="F11" s="33"/>
      <c r="G11" s="33">
        <v>1</v>
      </c>
      <c r="H11" s="33">
        <v>1</v>
      </c>
      <c r="I11" s="33"/>
      <c r="J11" s="33"/>
      <c r="K11" s="33"/>
      <c r="L11" s="33"/>
      <c r="M11" s="33"/>
      <c r="N11" s="33"/>
      <c r="O11" s="33"/>
      <c r="P11" s="33"/>
    </row>
    <row r="12" spans="1:16" ht="28.5" customHeight="1" x14ac:dyDescent="0.25">
      <c r="A12" s="59"/>
      <c r="B12" s="39" t="s">
        <v>54</v>
      </c>
      <c r="C12" s="7">
        <v>3</v>
      </c>
      <c r="D12" s="28">
        <f t="shared" si="0"/>
        <v>0</v>
      </c>
      <c r="E12" s="33"/>
      <c r="F12" s="33"/>
      <c r="G12" s="33"/>
      <c r="H12" s="33"/>
      <c r="I12" s="33"/>
      <c r="J12" s="33"/>
      <c r="K12" s="33"/>
      <c r="L12" s="33"/>
      <c r="M12" s="33"/>
      <c r="N12" s="33"/>
      <c r="O12" s="33"/>
      <c r="P12" s="33"/>
    </row>
    <row r="13" spans="1:16" ht="28.5" customHeight="1" x14ac:dyDescent="0.25">
      <c r="A13" s="59"/>
      <c r="B13" s="39" t="s">
        <v>55</v>
      </c>
      <c r="C13" s="7">
        <v>48</v>
      </c>
      <c r="D13" s="28">
        <f t="shared" si="0"/>
        <v>20</v>
      </c>
      <c r="E13" s="33">
        <v>4</v>
      </c>
      <c r="F13" s="33">
        <v>4</v>
      </c>
      <c r="G13" s="33">
        <v>3</v>
      </c>
      <c r="H13" s="33">
        <v>4</v>
      </c>
      <c r="I13" s="33">
        <v>4</v>
      </c>
      <c r="J13" s="33">
        <v>1</v>
      </c>
      <c r="K13" s="33"/>
      <c r="L13" s="33"/>
      <c r="M13" s="33"/>
      <c r="N13" s="33"/>
      <c r="O13" s="33"/>
      <c r="P13" s="33"/>
    </row>
    <row r="14" spans="1:16" ht="28.5" customHeight="1" x14ac:dyDescent="0.25">
      <c r="A14" s="59"/>
      <c r="B14" s="39" t="s">
        <v>56</v>
      </c>
      <c r="C14" s="7">
        <v>18</v>
      </c>
      <c r="D14" s="28">
        <f t="shared" si="0"/>
        <v>6</v>
      </c>
      <c r="E14" s="33">
        <v>6</v>
      </c>
      <c r="F14" s="33"/>
      <c r="G14" s="33"/>
      <c r="H14" s="33"/>
      <c r="I14" s="33"/>
      <c r="J14" s="33"/>
      <c r="K14" s="33"/>
      <c r="L14" s="33"/>
      <c r="M14" s="33"/>
      <c r="N14" s="33"/>
      <c r="O14" s="33"/>
      <c r="P14" s="33"/>
    </row>
    <row r="15" spans="1:16" ht="28.5" customHeight="1" x14ac:dyDescent="0.25">
      <c r="A15" s="59"/>
      <c r="B15" s="39" t="s">
        <v>57</v>
      </c>
      <c r="C15" s="7">
        <v>5</v>
      </c>
      <c r="D15" s="28">
        <f t="shared" si="0"/>
        <v>5</v>
      </c>
      <c r="E15" s="33"/>
      <c r="F15" s="33"/>
      <c r="G15" s="33"/>
      <c r="H15" s="33">
        <v>5</v>
      </c>
      <c r="I15" s="33"/>
      <c r="J15" s="33"/>
      <c r="K15" s="33"/>
      <c r="L15" s="33"/>
      <c r="M15" s="33"/>
      <c r="N15" s="33"/>
      <c r="O15" s="33"/>
      <c r="P15" s="33"/>
    </row>
    <row r="16" spans="1:16" ht="28.5" customHeight="1" x14ac:dyDescent="0.25">
      <c r="A16" s="59"/>
      <c r="B16" s="39" t="s">
        <v>58</v>
      </c>
      <c r="C16" s="7">
        <v>0</v>
      </c>
      <c r="D16" s="28">
        <f t="shared" si="0"/>
        <v>0</v>
      </c>
      <c r="E16" s="33"/>
      <c r="F16" s="33"/>
      <c r="G16" s="33"/>
      <c r="H16" s="33"/>
      <c r="I16" s="33"/>
      <c r="J16" s="33"/>
      <c r="K16" s="33"/>
      <c r="L16" s="33"/>
      <c r="M16" s="33"/>
      <c r="N16" s="33"/>
      <c r="O16" s="33"/>
      <c r="P16" s="33"/>
    </row>
    <row r="17" spans="1:16" ht="28.5" customHeight="1" x14ac:dyDescent="0.25">
      <c r="A17" s="59"/>
      <c r="B17" s="39" t="s">
        <v>59</v>
      </c>
      <c r="C17" s="7">
        <v>0</v>
      </c>
      <c r="D17" s="28">
        <f t="shared" si="0"/>
        <v>0</v>
      </c>
      <c r="E17" s="33"/>
      <c r="F17" s="33"/>
      <c r="G17" s="33"/>
      <c r="H17" s="33"/>
      <c r="I17" s="33"/>
      <c r="J17" s="33"/>
      <c r="K17" s="33"/>
      <c r="L17" s="33"/>
      <c r="M17" s="33"/>
      <c r="N17" s="33"/>
      <c r="O17" s="33"/>
      <c r="P17" s="33"/>
    </row>
    <row r="18" spans="1:16" ht="28.5" customHeight="1" x14ac:dyDescent="0.25">
      <c r="A18" s="59"/>
      <c r="B18" s="39" t="s">
        <v>60</v>
      </c>
      <c r="C18" s="7">
        <v>0</v>
      </c>
      <c r="D18" s="28">
        <f t="shared" si="0"/>
        <v>0</v>
      </c>
      <c r="E18" s="33"/>
      <c r="F18" s="33"/>
      <c r="G18" s="33"/>
      <c r="H18" s="33"/>
      <c r="I18" s="33"/>
      <c r="J18" s="33"/>
      <c r="K18" s="33"/>
      <c r="L18" s="33"/>
      <c r="M18" s="33"/>
      <c r="N18" s="33"/>
      <c r="O18" s="33"/>
      <c r="P18" s="33"/>
    </row>
    <row r="19" spans="1:16" ht="28.5" customHeight="1" x14ac:dyDescent="0.25">
      <c r="A19" s="59"/>
      <c r="B19" s="39" t="s">
        <v>61</v>
      </c>
      <c r="C19" s="7">
        <v>0</v>
      </c>
      <c r="D19" s="28">
        <f t="shared" si="0"/>
        <v>0</v>
      </c>
      <c r="E19" s="33"/>
      <c r="F19" s="33"/>
      <c r="G19" s="33"/>
      <c r="H19" s="33"/>
      <c r="I19" s="33"/>
      <c r="J19" s="33"/>
      <c r="K19" s="33"/>
      <c r="L19" s="33"/>
      <c r="M19" s="33"/>
      <c r="N19" s="33"/>
      <c r="O19" s="33"/>
      <c r="P19" s="33"/>
    </row>
    <row r="20" spans="1:16" ht="28.5" customHeight="1" x14ac:dyDescent="0.25">
      <c r="A20" s="59"/>
      <c r="B20" s="39" t="s">
        <v>62</v>
      </c>
      <c r="C20" s="7">
        <v>0</v>
      </c>
      <c r="D20" s="28">
        <f t="shared" si="0"/>
        <v>0</v>
      </c>
      <c r="E20" s="33"/>
      <c r="F20" s="33"/>
      <c r="G20" s="33"/>
      <c r="H20" s="33"/>
      <c r="I20" s="33"/>
      <c r="J20" s="33"/>
      <c r="K20" s="33"/>
      <c r="L20" s="33"/>
      <c r="M20" s="33"/>
      <c r="N20" s="33"/>
      <c r="O20" s="33"/>
      <c r="P20" s="33"/>
    </row>
    <row r="21" spans="1:16" ht="28.5" customHeight="1" x14ac:dyDescent="0.25">
      <c r="A21" s="59"/>
      <c r="B21" s="39" t="s">
        <v>63</v>
      </c>
      <c r="C21" s="7">
        <v>5</v>
      </c>
      <c r="D21" s="28">
        <f t="shared" si="0"/>
        <v>0</v>
      </c>
      <c r="E21" s="33"/>
      <c r="F21" s="33"/>
      <c r="G21" s="33"/>
      <c r="H21" s="33"/>
      <c r="I21" s="33"/>
      <c r="J21" s="33"/>
      <c r="K21" s="33"/>
      <c r="L21" s="33"/>
      <c r="M21" s="33"/>
      <c r="N21" s="33"/>
      <c r="O21" s="33"/>
      <c r="P21" s="33"/>
    </row>
    <row r="22" spans="1:16" ht="28.5" customHeight="1" x14ac:dyDescent="0.25">
      <c r="A22" s="59"/>
      <c r="B22" s="39" t="s">
        <v>64</v>
      </c>
      <c r="C22" s="7">
        <v>0</v>
      </c>
      <c r="D22" s="28">
        <f t="shared" si="0"/>
        <v>0</v>
      </c>
      <c r="E22" s="33"/>
      <c r="F22" s="33"/>
      <c r="G22" s="33"/>
      <c r="H22" s="33"/>
      <c r="I22" s="33"/>
      <c r="J22" s="33"/>
      <c r="K22" s="33"/>
      <c r="L22" s="33"/>
      <c r="M22" s="33"/>
      <c r="N22" s="33"/>
      <c r="O22" s="33"/>
      <c r="P22" s="33"/>
    </row>
    <row r="23" spans="1:16" ht="28.5" customHeight="1" x14ac:dyDescent="0.25">
      <c r="A23" s="59"/>
      <c r="B23" s="39" t="s">
        <v>65</v>
      </c>
      <c r="C23" s="7">
        <v>0</v>
      </c>
      <c r="D23" s="28">
        <f t="shared" si="0"/>
        <v>0</v>
      </c>
      <c r="E23" s="33"/>
      <c r="F23" s="33"/>
      <c r="G23" s="33"/>
      <c r="H23" s="33"/>
      <c r="I23" s="33"/>
      <c r="J23" s="33"/>
      <c r="K23" s="33"/>
      <c r="L23" s="33"/>
      <c r="M23" s="33"/>
      <c r="N23" s="33"/>
      <c r="O23" s="33"/>
      <c r="P23" s="33"/>
    </row>
    <row r="24" spans="1:16" ht="28.5" customHeight="1" x14ac:dyDescent="0.25">
      <c r="A24" s="59"/>
      <c r="B24" s="39" t="s">
        <v>66</v>
      </c>
      <c r="C24" s="7">
        <v>11</v>
      </c>
      <c r="D24" s="28">
        <f t="shared" si="0"/>
        <v>0</v>
      </c>
      <c r="E24" s="33"/>
      <c r="F24" s="33"/>
      <c r="G24" s="33"/>
      <c r="H24" s="33"/>
      <c r="I24" s="33"/>
      <c r="J24" s="33"/>
      <c r="K24" s="33"/>
      <c r="L24" s="33"/>
      <c r="M24" s="33"/>
      <c r="N24" s="33"/>
      <c r="O24" s="33"/>
      <c r="P24" s="33"/>
    </row>
    <row r="25" spans="1:16" ht="28.5" customHeight="1" x14ac:dyDescent="0.25">
      <c r="A25" s="59"/>
      <c r="B25" s="39" t="s">
        <v>67</v>
      </c>
      <c r="C25" s="7">
        <v>93</v>
      </c>
      <c r="D25" s="28">
        <f t="shared" si="0"/>
        <v>44</v>
      </c>
      <c r="E25" s="33">
        <v>13</v>
      </c>
      <c r="F25" s="33"/>
      <c r="G25" s="33">
        <v>10</v>
      </c>
      <c r="H25" s="33">
        <v>13</v>
      </c>
      <c r="I25" s="33">
        <v>8</v>
      </c>
      <c r="J25" s="33"/>
      <c r="K25" s="33"/>
      <c r="L25" s="33"/>
      <c r="M25" s="33"/>
      <c r="N25" s="33"/>
      <c r="O25" s="33"/>
      <c r="P25" s="33"/>
    </row>
    <row r="26" spans="1:16" ht="28.5" customHeight="1" x14ac:dyDescent="0.25">
      <c r="A26" s="59"/>
      <c r="B26" s="39" t="s">
        <v>68</v>
      </c>
      <c r="C26" s="7">
        <v>8</v>
      </c>
      <c r="D26" s="28">
        <f t="shared" si="0"/>
        <v>6</v>
      </c>
      <c r="E26" s="33">
        <v>5</v>
      </c>
      <c r="F26" s="33">
        <v>1</v>
      </c>
      <c r="G26" s="33"/>
      <c r="H26" s="33"/>
      <c r="I26" s="33"/>
      <c r="J26" s="33"/>
      <c r="K26" s="33"/>
      <c r="L26" s="33"/>
      <c r="M26" s="33"/>
      <c r="N26" s="33"/>
      <c r="O26" s="33"/>
      <c r="P26" s="33"/>
    </row>
    <row r="27" spans="1:16" ht="24" customHeight="1" x14ac:dyDescent="0.25">
      <c r="A27" s="59"/>
      <c r="B27" s="49" t="s">
        <v>69</v>
      </c>
      <c r="C27" s="7">
        <v>4</v>
      </c>
      <c r="D27" s="28">
        <f t="shared" si="0"/>
        <v>3</v>
      </c>
      <c r="E27" s="33"/>
      <c r="F27" s="33">
        <v>2</v>
      </c>
      <c r="G27" s="33">
        <v>1</v>
      </c>
      <c r="H27" s="33"/>
      <c r="I27" s="33"/>
      <c r="J27" s="33"/>
      <c r="K27" s="33"/>
      <c r="L27" s="33"/>
      <c r="M27" s="33"/>
      <c r="N27" s="33"/>
      <c r="O27" s="33"/>
      <c r="P27" s="33"/>
    </row>
    <row r="28" spans="1:16" ht="24" customHeight="1" x14ac:dyDescent="0.25">
      <c r="A28" s="59"/>
      <c r="B28" s="49" t="s">
        <v>70</v>
      </c>
      <c r="C28" s="7">
        <v>4</v>
      </c>
      <c r="D28" s="28">
        <f t="shared" si="0"/>
        <v>4</v>
      </c>
      <c r="E28" s="33"/>
      <c r="F28" s="33"/>
      <c r="G28" s="33"/>
      <c r="H28" s="33">
        <v>4</v>
      </c>
      <c r="I28" s="33"/>
      <c r="J28" s="33"/>
      <c r="K28" s="33"/>
      <c r="L28" s="33"/>
      <c r="M28" s="33"/>
      <c r="N28" s="33"/>
      <c r="O28" s="33"/>
      <c r="P28" s="33"/>
    </row>
    <row r="29" spans="1:16" ht="24" customHeight="1" x14ac:dyDescent="0.25">
      <c r="A29" s="59"/>
      <c r="B29" s="49" t="s">
        <v>71</v>
      </c>
      <c r="C29" s="7">
        <v>4</v>
      </c>
      <c r="D29" s="28">
        <f t="shared" si="0"/>
        <v>4</v>
      </c>
      <c r="E29" s="33"/>
      <c r="F29" s="33"/>
      <c r="G29" s="33"/>
      <c r="H29" s="33"/>
      <c r="I29" s="33">
        <v>4</v>
      </c>
      <c r="J29" s="33"/>
      <c r="K29" s="33"/>
      <c r="L29" s="33"/>
      <c r="M29" s="33"/>
      <c r="N29" s="33"/>
      <c r="O29" s="33"/>
      <c r="P29" s="33"/>
    </row>
    <row r="30" spans="1:16" ht="24" customHeight="1" x14ac:dyDescent="0.25">
      <c r="A30" s="59"/>
      <c r="B30" s="49" t="s">
        <v>72</v>
      </c>
      <c r="C30" s="7">
        <v>4</v>
      </c>
      <c r="D30" s="28">
        <f t="shared" si="0"/>
        <v>0</v>
      </c>
      <c r="E30" s="33"/>
      <c r="F30" s="33"/>
      <c r="G30" s="33"/>
      <c r="H30" s="33"/>
      <c r="I30" s="33"/>
      <c r="J30" s="33"/>
      <c r="K30" s="33"/>
      <c r="L30" s="33"/>
      <c r="M30" s="33"/>
      <c r="N30" s="33"/>
      <c r="O30" s="33"/>
      <c r="P30" s="33"/>
    </row>
    <row r="31" spans="1:16" ht="24" customHeight="1" x14ac:dyDescent="0.25">
      <c r="A31" s="59"/>
      <c r="B31" s="49" t="s">
        <v>73</v>
      </c>
      <c r="C31" s="7">
        <v>4</v>
      </c>
      <c r="D31" s="28">
        <f t="shared" si="0"/>
        <v>0</v>
      </c>
      <c r="E31" s="33"/>
      <c r="F31" s="33"/>
      <c r="G31" s="33"/>
      <c r="H31" s="33"/>
      <c r="I31" s="33"/>
      <c r="J31" s="33"/>
      <c r="K31" s="33"/>
      <c r="L31" s="33"/>
      <c r="M31" s="33"/>
      <c r="N31" s="33"/>
      <c r="O31" s="33"/>
      <c r="P31" s="33"/>
    </row>
    <row r="32" spans="1:16" ht="24" customHeight="1" x14ac:dyDescent="0.25">
      <c r="A32" s="59"/>
      <c r="B32" s="49" t="s">
        <v>74</v>
      </c>
      <c r="C32" s="7">
        <v>1</v>
      </c>
      <c r="D32" s="28">
        <f t="shared" si="0"/>
        <v>0</v>
      </c>
      <c r="E32" s="33"/>
      <c r="F32" s="33"/>
      <c r="G32" s="33"/>
      <c r="H32" s="33"/>
      <c r="I32" s="33"/>
      <c r="J32" s="33"/>
      <c r="K32" s="33"/>
      <c r="L32" s="33"/>
      <c r="M32" s="33"/>
      <c r="N32" s="33"/>
      <c r="O32" s="33"/>
      <c r="P32" s="33"/>
    </row>
    <row r="33" spans="1:16" ht="24" customHeight="1" x14ac:dyDescent="0.25">
      <c r="A33" s="59"/>
      <c r="B33" s="49" t="s">
        <v>75</v>
      </c>
      <c r="C33" s="7">
        <v>1</v>
      </c>
      <c r="D33" s="28">
        <f t="shared" si="0"/>
        <v>0</v>
      </c>
      <c r="E33" s="33"/>
      <c r="F33" s="33"/>
      <c r="G33" s="33"/>
      <c r="H33" s="33"/>
      <c r="I33" s="33"/>
      <c r="J33" s="33"/>
      <c r="K33" s="33"/>
      <c r="L33" s="33"/>
      <c r="M33" s="33"/>
      <c r="N33" s="33"/>
      <c r="O33" s="33"/>
      <c r="P33" s="33"/>
    </row>
    <row r="34" spans="1:16" ht="24" customHeight="1" x14ac:dyDescent="0.25">
      <c r="A34" s="59"/>
      <c r="B34" s="49" t="s">
        <v>76</v>
      </c>
      <c r="C34" s="7">
        <v>1</v>
      </c>
      <c r="D34" s="28">
        <f t="shared" si="0"/>
        <v>0</v>
      </c>
      <c r="E34" s="33"/>
      <c r="F34" s="33"/>
      <c r="G34" s="33"/>
      <c r="H34" s="33"/>
      <c r="I34" s="33"/>
      <c r="J34" s="33"/>
      <c r="K34" s="33"/>
      <c r="L34" s="33"/>
      <c r="M34" s="33"/>
      <c r="N34" s="33"/>
      <c r="O34" s="33"/>
      <c r="P34" s="33"/>
    </row>
    <row r="35" spans="1:16" ht="24" customHeight="1" x14ac:dyDescent="0.25">
      <c r="A35" s="59"/>
      <c r="B35" s="49" t="s">
        <v>77</v>
      </c>
      <c r="C35" s="7">
        <v>1</v>
      </c>
      <c r="D35" s="28">
        <f t="shared" si="0"/>
        <v>0</v>
      </c>
      <c r="E35" s="33"/>
      <c r="F35" s="33"/>
      <c r="G35" s="33"/>
      <c r="H35" s="33"/>
      <c r="I35" s="33"/>
      <c r="J35" s="33"/>
      <c r="K35" s="33"/>
      <c r="L35" s="33"/>
      <c r="M35" s="33"/>
      <c r="N35" s="33"/>
      <c r="O35" s="33"/>
      <c r="P35" s="33"/>
    </row>
    <row r="36" spans="1:16" ht="24" customHeight="1" x14ac:dyDescent="0.25">
      <c r="A36" s="59"/>
      <c r="B36" s="49" t="s">
        <v>78</v>
      </c>
      <c r="C36" s="7">
        <v>1</v>
      </c>
      <c r="D36" s="28">
        <f t="shared" si="0"/>
        <v>0</v>
      </c>
      <c r="E36" s="33"/>
      <c r="F36" s="33"/>
      <c r="G36" s="33"/>
      <c r="H36" s="33"/>
      <c r="I36" s="33"/>
      <c r="J36" s="33"/>
      <c r="K36" s="33"/>
      <c r="L36" s="33"/>
      <c r="M36" s="33"/>
      <c r="N36" s="33"/>
      <c r="O36" s="33"/>
      <c r="P36" s="33"/>
    </row>
    <row r="37" spans="1:16" ht="24" customHeight="1" x14ac:dyDescent="0.25">
      <c r="A37" s="59"/>
      <c r="B37" s="49" t="s">
        <v>79</v>
      </c>
      <c r="C37" s="7">
        <v>1</v>
      </c>
      <c r="D37" s="28">
        <f t="shared" si="0"/>
        <v>0</v>
      </c>
      <c r="E37" s="33"/>
      <c r="F37" s="33"/>
      <c r="G37" s="33"/>
      <c r="H37" s="33"/>
      <c r="I37" s="33"/>
      <c r="J37" s="33"/>
      <c r="K37" s="33"/>
      <c r="L37" s="33"/>
      <c r="M37" s="33"/>
      <c r="N37" s="33"/>
      <c r="O37" s="33"/>
      <c r="P37" s="33"/>
    </row>
    <row r="38" spans="1:16" ht="24" customHeight="1" thickBot="1" x14ac:dyDescent="0.3">
      <c r="A38" s="60"/>
      <c r="B38" s="50" t="s">
        <v>80</v>
      </c>
      <c r="C38" s="7">
        <v>1</v>
      </c>
      <c r="D38" s="28">
        <f t="shared" si="0"/>
        <v>0</v>
      </c>
      <c r="E38" s="33"/>
      <c r="F38" s="33"/>
      <c r="G38" s="33"/>
      <c r="H38" s="33"/>
      <c r="I38" s="33"/>
      <c r="J38" s="33"/>
      <c r="K38" s="33"/>
      <c r="L38" s="33"/>
      <c r="M38" s="33"/>
      <c r="N38" s="33"/>
      <c r="O38" s="33"/>
      <c r="P38" s="33"/>
    </row>
    <row r="39" spans="1:16" x14ac:dyDescent="0.25">
      <c r="C39" s="43">
        <f>SUM(C3:C38)</f>
        <v>235</v>
      </c>
      <c r="D39" s="44">
        <f>SUM(D3:D38)</f>
        <v>98</v>
      </c>
    </row>
    <row r="40" spans="1:16" x14ac:dyDescent="0.25">
      <c r="C40" s="45"/>
      <c r="D40" s="9">
        <f>D39/C39</f>
        <v>0.41702127659574467</v>
      </c>
    </row>
    <row r="47" spans="1:16" x14ac:dyDescent="0.25">
      <c r="C47" s="8"/>
    </row>
    <row r="48" spans="1:16"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row r="55" spans="3:3" x14ac:dyDescent="0.25">
      <c r="C55" s="8"/>
    </row>
    <row r="56" spans="3:3" x14ac:dyDescent="0.25">
      <c r="C56" s="8"/>
    </row>
    <row r="57" spans="3:3" x14ac:dyDescent="0.25">
      <c r="C57" s="8"/>
    </row>
    <row r="58" spans="3:3" x14ac:dyDescent="0.25">
      <c r="C58" s="8"/>
    </row>
    <row r="59" spans="3:3" x14ac:dyDescent="0.25">
      <c r="C59" s="8"/>
    </row>
    <row r="60" spans="3:3" x14ac:dyDescent="0.25">
      <c r="C60" s="8"/>
    </row>
    <row r="61" spans="3:3" x14ac:dyDescent="0.25">
      <c r="C61" s="8"/>
    </row>
    <row r="62" spans="3:3" x14ac:dyDescent="0.25">
      <c r="C62" s="8"/>
    </row>
  </sheetData>
  <sheetProtection algorithmName="SHA-512" hashValue="d21naoa6fQU4Pi8DAjmvRkkeO3P+ZMkIJUlEA+D6N32nPGgpkEMoRLYu2kb9Bjlguy4lTRHWIwKOlCeHW6Ev2Q==" saltValue="VxsOprxWEwF+oqJhKdL6dg==" spinCount="100000" sheet="1" objects="1" scenarios="1" autoFilter="0"/>
  <mergeCells count="2">
    <mergeCell ref="A1:A2"/>
    <mergeCell ref="A11:A38"/>
  </mergeCells>
  <conditionalFormatting sqref="C3:D3 D4:D10">
    <cfRule type="dataBar" priority="3">
      <dataBar>
        <cfvo type="min"/>
        <cfvo type="max"/>
        <color rgb="FF008AEF"/>
      </dataBar>
      <extLst>
        <ext xmlns:x14="http://schemas.microsoft.com/office/spreadsheetml/2009/9/main" uri="{B025F937-C7B1-47D3-B67F-A62EFF666E3E}">
          <x14:id>{CF3A5CCE-E9EC-474C-8097-C398A2E8585B}</x14:id>
        </ext>
      </extLst>
    </cfRule>
  </conditionalFormatting>
  <conditionalFormatting sqref="C4:D4">
    <cfRule type="dataBar" priority="4">
      <dataBar>
        <cfvo type="min"/>
        <cfvo type="max"/>
        <color rgb="FF008AEF"/>
      </dataBar>
      <extLst>
        <ext xmlns:x14="http://schemas.microsoft.com/office/spreadsheetml/2009/9/main" uri="{B025F937-C7B1-47D3-B67F-A62EFF666E3E}">
          <x14:id>{6C5E8BA5-EBDC-4CDE-8BF2-6DCF2339C991}</x14:id>
        </ext>
      </extLst>
    </cfRule>
  </conditionalFormatting>
  <conditionalFormatting sqref="C5:D5">
    <cfRule type="dataBar" priority="5">
      <dataBar>
        <cfvo type="min"/>
        <cfvo type="max"/>
        <color rgb="FF008AEF"/>
      </dataBar>
      <extLst>
        <ext xmlns:x14="http://schemas.microsoft.com/office/spreadsheetml/2009/9/main" uri="{B025F937-C7B1-47D3-B67F-A62EFF666E3E}">
          <x14:id>{FCE3122C-57A5-4180-B245-29BE9ADD8828}</x14:id>
        </ext>
      </extLst>
    </cfRule>
  </conditionalFormatting>
  <conditionalFormatting sqref="C6:D6">
    <cfRule type="dataBar" priority="6">
      <dataBar>
        <cfvo type="min"/>
        <cfvo type="max"/>
        <color rgb="FF008AEF"/>
      </dataBar>
      <extLst>
        <ext xmlns:x14="http://schemas.microsoft.com/office/spreadsheetml/2009/9/main" uri="{B025F937-C7B1-47D3-B67F-A62EFF666E3E}">
          <x14:id>{F16267D7-8906-4AAA-A5F0-4C3EC07E6E56}</x14:id>
        </ext>
      </extLst>
    </cfRule>
  </conditionalFormatting>
  <conditionalFormatting sqref="C7:D7">
    <cfRule type="dataBar" priority="7">
      <dataBar>
        <cfvo type="min"/>
        <cfvo type="max"/>
        <color rgb="FF008AEF"/>
      </dataBar>
      <extLst>
        <ext xmlns:x14="http://schemas.microsoft.com/office/spreadsheetml/2009/9/main" uri="{B025F937-C7B1-47D3-B67F-A62EFF666E3E}">
          <x14:id>{0DF3393F-7C75-43A9-935F-23751B54881D}</x14:id>
        </ext>
      </extLst>
    </cfRule>
  </conditionalFormatting>
  <conditionalFormatting sqref="C8:D8">
    <cfRule type="dataBar" priority="8">
      <dataBar>
        <cfvo type="min"/>
        <cfvo type="max"/>
        <color rgb="FF008AEF"/>
      </dataBar>
      <extLst>
        <ext xmlns:x14="http://schemas.microsoft.com/office/spreadsheetml/2009/9/main" uri="{B025F937-C7B1-47D3-B67F-A62EFF666E3E}">
          <x14:id>{C96D602A-CFCE-4FAD-B294-92EC1F616892}</x14:id>
        </ext>
      </extLst>
    </cfRule>
  </conditionalFormatting>
  <conditionalFormatting sqref="C9:D9">
    <cfRule type="dataBar" priority="9">
      <dataBar>
        <cfvo type="min"/>
        <cfvo type="max"/>
        <color rgb="FF008AEF"/>
      </dataBar>
      <extLst>
        <ext xmlns:x14="http://schemas.microsoft.com/office/spreadsheetml/2009/9/main" uri="{B025F937-C7B1-47D3-B67F-A62EFF666E3E}">
          <x14:id>{59F3CD43-8CA7-4B9F-9430-27098FD7337B}</x14:id>
        </ext>
      </extLst>
    </cfRule>
  </conditionalFormatting>
  <conditionalFormatting sqref="C10:D10">
    <cfRule type="dataBar" priority="10">
      <dataBar>
        <cfvo type="min"/>
        <cfvo type="max"/>
        <color rgb="FF008AEF"/>
      </dataBar>
      <extLst>
        <ext xmlns:x14="http://schemas.microsoft.com/office/spreadsheetml/2009/9/main" uri="{B025F937-C7B1-47D3-B67F-A62EFF666E3E}">
          <x14:id>{46359A13-10DF-45DC-829B-F7636F55DE8E}</x14:id>
        </ext>
      </extLst>
    </cfRule>
  </conditionalFormatting>
  <conditionalFormatting sqref="C11:D11">
    <cfRule type="dataBar" priority="12">
      <dataBar>
        <cfvo type="min"/>
        <cfvo type="max"/>
        <color rgb="FF008AEF"/>
      </dataBar>
      <extLst>
        <ext xmlns:x14="http://schemas.microsoft.com/office/spreadsheetml/2009/9/main" uri="{B025F937-C7B1-47D3-B67F-A62EFF666E3E}">
          <x14:id>{965ACE5D-42E6-4218-8203-29D6091656CC}</x14:id>
        </ext>
      </extLst>
    </cfRule>
  </conditionalFormatting>
  <conditionalFormatting sqref="C12:D12">
    <cfRule type="dataBar" priority="39">
      <dataBar>
        <cfvo type="min"/>
        <cfvo type="max"/>
        <color rgb="FF008AEF"/>
      </dataBar>
      <extLst>
        <ext xmlns:x14="http://schemas.microsoft.com/office/spreadsheetml/2009/9/main" uri="{B025F937-C7B1-47D3-B67F-A62EFF666E3E}">
          <x14:id>{557BE0A5-DD31-4ABB-A873-72C2B22D7090}</x14:id>
        </ext>
      </extLst>
    </cfRule>
  </conditionalFormatting>
  <conditionalFormatting sqref="C13:D13">
    <cfRule type="dataBar" priority="38">
      <dataBar>
        <cfvo type="min"/>
        <cfvo type="max"/>
        <color rgb="FF008AEF"/>
      </dataBar>
      <extLst>
        <ext xmlns:x14="http://schemas.microsoft.com/office/spreadsheetml/2009/9/main" uri="{B025F937-C7B1-47D3-B67F-A62EFF666E3E}">
          <x14:id>{42D13D64-4238-4B20-9FBC-28E194A91E1B}</x14:id>
        </ext>
      </extLst>
    </cfRule>
  </conditionalFormatting>
  <conditionalFormatting sqref="C14:D14">
    <cfRule type="dataBar" priority="37">
      <dataBar>
        <cfvo type="min"/>
        <cfvo type="max"/>
        <color rgb="FF008AEF"/>
      </dataBar>
      <extLst>
        <ext xmlns:x14="http://schemas.microsoft.com/office/spreadsheetml/2009/9/main" uri="{B025F937-C7B1-47D3-B67F-A62EFF666E3E}">
          <x14:id>{80EABA46-FF72-4580-ADEE-0D0F924FCB5A}</x14:id>
        </ext>
      </extLst>
    </cfRule>
  </conditionalFormatting>
  <conditionalFormatting sqref="C15:D15">
    <cfRule type="dataBar" priority="36">
      <dataBar>
        <cfvo type="min"/>
        <cfvo type="max"/>
        <color rgb="FF008AEF"/>
      </dataBar>
      <extLst>
        <ext xmlns:x14="http://schemas.microsoft.com/office/spreadsheetml/2009/9/main" uri="{B025F937-C7B1-47D3-B67F-A62EFF666E3E}">
          <x14:id>{9BFBF755-FAA2-4823-8DB2-CE731D97750D}</x14:id>
        </ext>
      </extLst>
    </cfRule>
  </conditionalFormatting>
  <conditionalFormatting sqref="C16:D16">
    <cfRule type="dataBar" priority="35">
      <dataBar>
        <cfvo type="min"/>
        <cfvo type="max"/>
        <color rgb="FF008AEF"/>
      </dataBar>
      <extLst>
        <ext xmlns:x14="http://schemas.microsoft.com/office/spreadsheetml/2009/9/main" uri="{B025F937-C7B1-47D3-B67F-A62EFF666E3E}">
          <x14:id>{6B07FF65-441A-402C-97DE-41E355102CE0}</x14:id>
        </ext>
      </extLst>
    </cfRule>
  </conditionalFormatting>
  <conditionalFormatting sqref="C17:D17">
    <cfRule type="dataBar" priority="34">
      <dataBar>
        <cfvo type="min"/>
        <cfvo type="max"/>
        <color rgb="FF008AEF"/>
      </dataBar>
      <extLst>
        <ext xmlns:x14="http://schemas.microsoft.com/office/spreadsheetml/2009/9/main" uri="{B025F937-C7B1-47D3-B67F-A62EFF666E3E}">
          <x14:id>{15ECC0B7-A317-486A-AD61-1121666D4717}</x14:id>
        </ext>
      </extLst>
    </cfRule>
  </conditionalFormatting>
  <conditionalFormatting sqref="C18:D18">
    <cfRule type="dataBar" priority="33">
      <dataBar>
        <cfvo type="min"/>
        <cfvo type="max"/>
        <color rgb="FF008AEF"/>
      </dataBar>
      <extLst>
        <ext xmlns:x14="http://schemas.microsoft.com/office/spreadsheetml/2009/9/main" uri="{B025F937-C7B1-47D3-B67F-A62EFF666E3E}">
          <x14:id>{4B8D409A-7FF7-4CA9-B928-49BF793222A8}</x14:id>
        </ext>
      </extLst>
    </cfRule>
  </conditionalFormatting>
  <conditionalFormatting sqref="C19:D19">
    <cfRule type="dataBar" priority="32">
      <dataBar>
        <cfvo type="min"/>
        <cfvo type="max"/>
        <color rgb="FF008AEF"/>
      </dataBar>
      <extLst>
        <ext xmlns:x14="http://schemas.microsoft.com/office/spreadsheetml/2009/9/main" uri="{B025F937-C7B1-47D3-B67F-A62EFF666E3E}">
          <x14:id>{B35E8157-EFA4-4696-8147-AA04320A95B5}</x14:id>
        </ext>
      </extLst>
    </cfRule>
  </conditionalFormatting>
  <conditionalFormatting sqref="C20:D20">
    <cfRule type="dataBar" priority="31">
      <dataBar>
        <cfvo type="min"/>
        <cfvo type="max"/>
        <color rgb="FF008AEF"/>
      </dataBar>
      <extLst>
        <ext xmlns:x14="http://schemas.microsoft.com/office/spreadsheetml/2009/9/main" uri="{B025F937-C7B1-47D3-B67F-A62EFF666E3E}">
          <x14:id>{EB9E28B4-88FF-40B1-B439-51781D691A55}</x14:id>
        </ext>
      </extLst>
    </cfRule>
  </conditionalFormatting>
  <conditionalFormatting sqref="C21:D21">
    <cfRule type="dataBar" priority="30">
      <dataBar>
        <cfvo type="min"/>
        <cfvo type="max"/>
        <color rgb="FF008AEF"/>
      </dataBar>
      <extLst>
        <ext xmlns:x14="http://schemas.microsoft.com/office/spreadsheetml/2009/9/main" uri="{B025F937-C7B1-47D3-B67F-A62EFF666E3E}">
          <x14:id>{87720C95-B612-4EB1-ACD5-7B89FFF1BFB7}</x14:id>
        </ext>
      </extLst>
    </cfRule>
  </conditionalFormatting>
  <conditionalFormatting sqref="C22:D22">
    <cfRule type="dataBar" priority="29">
      <dataBar>
        <cfvo type="min"/>
        <cfvo type="max"/>
        <color rgb="FF008AEF"/>
      </dataBar>
      <extLst>
        <ext xmlns:x14="http://schemas.microsoft.com/office/spreadsheetml/2009/9/main" uri="{B025F937-C7B1-47D3-B67F-A62EFF666E3E}">
          <x14:id>{EDC132A6-B094-4C4C-9179-69878D04E187}</x14:id>
        </ext>
      </extLst>
    </cfRule>
  </conditionalFormatting>
  <conditionalFormatting sqref="C23:D23">
    <cfRule type="dataBar" priority="28">
      <dataBar>
        <cfvo type="min"/>
        <cfvo type="max"/>
        <color rgb="FF008AEF"/>
      </dataBar>
      <extLst>
        <ext xmlns:x14="http://schemas.microsoft.com/office/spreadsheetml/2009/9/main" uri="{B025F937-C7B1-47D3-B67F-A62EFF666E3E}">
          <x14:id>{8546D9A7-B558-4E74-8ABC-0759FC3D057A}</x14:id>
        </ext>
      </extLst>
    </cfRule>
  </conditionalFormatting>
  <conditionalFormatting sqref="C24:D24">
    <cfRule type="dataBar" priority="27">
      <dataBar>
        <cfvo type="min"/>
        <cfvo type="max"/>
        <color rgb="FF008AEF"/>
      </dataBar>
      <extLst>
        <ext xmlns:x14="http://schemas.microsoft.com/office/spreadsheetml/2009/9/main" uri="{B025F937-C7B1-47D3-B67F-A62EFF666E3E}">
          <x14:id>{EE5C1298-EC2C-4B58-B762-E3F08B9332A5}</x14:id>
        </ext>
      </extLst>
    </cfRule>
  </conditionalFormatting>
  <conditionalFormatting sqref="C25:D25">
    <cfRule type="dataBar" priority="26">
      <dataBar>
        <cfvo type="min"/>
        <cfvo type="max"/>
        <color rgb="FF008AEF"/>
      </dataBar>
      <extLst>
        <ext xmlns:x14="http://schemas.microsoft.com/office/spreadsheetml/2009/9/main" uri="{B025F937-C7B1-47D3-B67F-A62EFF666E3E}">
          <x14:id>{AAC47FFA-1104-4F37-9C7E-1BEF0AE0BADC}</x14:id>
        </ext>
      </extLst>
    </cfRule>
  </conditionalFormatting>
  <conditionalFormatting sqref="C26:D26">
    <cfRule type="dataBar" priority="25">
      <dataBar>
        <cfvo type="min"/>
        <cfvo type="max"/>
        <color rgb="FF008AEF"/>
      </dataBar>
      <extLst>
        <ext xmlns:x14="http://schemas.microsoft.com/office/spreadsheetml/2009/9/main" uri="{B025F937-C7B1-47D3-B67F-A62EFF666E3E}">
          <x14:id>{97C6E450-CE87-498C-9DEB-E0CA193C6993}</x14:id>
        </ext>
      </extLst>
    </cfRule>
  </conditionalFormatting>
  <conditionalFormatting sqref="C27:D27">
    <cfRule type="dataBar" priority="24">
      <dataBar>
        <cfvo type="min"/>
        <cfvo type="max"/>
        <color rgb="FF008AEF"/>
      </dataBar>
      <extLst>
        <ext xmlns:x14="http://schemas.microsoft.com/office/spreadsheetml/2009/9/main" uri="{B025F937-C7B1-47D3-B67F-A62EFF666E3E}">
          <x14:id>{7B3224F4-004C-4EEC-BC1C-1A0833BBECB8}</x14:id>
        </ext>
      </extLst>
    </cfRule>
  </conditionalFormatting>
  <conditionalFormatting sqref="C28:D28">
    <cfRule type="dataBar" priority="23">
      <dataBar>
        <cfvo type="min"/>
        <cfvo type="max"/>
        <color rgb="FF008AEF"/>
      </dataBar>
      <extLst>
        <ext xmlns:x14="http://schemas.microsoft.com/office/spreadsheetml/2009/9/main" uri="{B025F937-C7B1-47D3-B67F-A62EFF666E3E}">
          <x14:id>{6B97A639-669C-4A18-AE65-C96531637FFE}</x14:id>
        </ext>
      </extLst>
    </cfRule>
  </conditionalFormatting>
  <conditionalFormatting sqref="C29:D29">
    <cfRule type="dataBar" priority="22">
      <dataBar>
        <cfvo type="min"/>
        <cfvo type="max"/>
        <color rgb="FF008AEF"/>
      </dataBar>
      <extLst>
        <ext xmlns:x14="http://schemas.microsoft.com/office/spreadsheetml/2009/9/main" uri="{B025F937-C7B1-47D3-B67F-A62EFF666E3E}">
          <x14:id>{7A0C273B-CAED-46C6-8651-9028289C5E9A}</x14:id>
        </ext>
      </extLst>
    </cfRule>
  </conditionalFormatting>
  <conditionalFormatting sqref="C30:D30">
    <cfRule type="dataBar" priority="21">
      <dataBar>
        <cfvo type="min"/>
        <cfvo type="max"/>
        <color rgb="FF008AEF"/>
      </dataBar>
      <extLst>
        <ext xmlns:x14="http://schemas.microsoft.com/office/spreadsheetml/2009/9/main" uri="{B025F937-C7B1-47D3-B67F-A62EFF666E3E}">
          <x14:id>{CC68F710-FAB0-4664-BAF5-72A88CE87335}</x14:id>
        </ext>
      </extLst>
    </cfRule>
  </conditionalFormatting>
  <conditionalFormatting sqref="C31:D31">
    <cfRule type="dataBar" priority="20">
      <dataBar>
        <cfvo type="min"/>
        <cfvo type="max"/>
        <color rgb="FF008AEF"/>
      </dataBar>
      <extLst>
        <ext xmlns:x14="http://schemas.microsoft.com/office/spreadsheetml/2009/9/main" uri="{B025F937-C7B1-47D3-B67F-A62EFF666E3E}">
          <x14:id>{374B0610-E6B4-4770-BF49-D5D4B73604A4}</x14:id>
        </ext>
      </extLst>
    </cfRule>
  </conditionalFormatting>
  <conditionalFormatting sqref="C32:D32">
    <cfRule type="dataBar" priority="19">
      <dataBar>
        <cfvo type="min"/>
        <cfvo type="max"/>
        <color rgb="FF008AEF"/>
      </dataBar>
      <extLst>
        <ext xmlns:x14="http://schemas.microsoft.com/office/spreadsheetml/2009/9/main" uri="{B025F937-C7B1-47D3-B67F-A62EFF666E3E}">
          <x14:id>{6C7D1A60-17D3-4E44-A5BB-535E005830B5}</x14:id>
        </ext>
      </extLst>
    </cfRule>
  </conditionalFormatting>
  <conditionalFormatting sqref="C33:D33">
    <cfRule type="dataBar" priority="18">
      <dataBar>
        <cfvo type="min"/>
        <cfvo type="max"/>
        <color rgb="FF008AEF"/>
      </dataBar>
      <extLst>
        <ext xmlns:x14="http://schemas.microsoft.com/office/spreadsheetml/2009/9/main" uri="{B025F937-C7B1-47D3-B67F-A62EFF666E3E}">
          <x14:id>{80D667F0-1ADB-4CDA-9CFD-7C45D6A78B5B}</x14:id>
        </ext>
      </extLst>
    </cfRule>
  </conditionalFormatting>
  <conditionalFormatting sqref="C34:D34">
    <cfRule type="dataBar" priority="17">
      <dataBar>
        <cfvo type="min"/>
        <cfvo type="max"/>
        <color rgb="FF008AEF"/>
      </dataBar>
      <extLst>
        <ext xmlns:x14="http://schemas.microsoft.com/office/spreadsheetml/2009/9/main" uri="{B025F937-C7B1-47D3-B67F-A62EFF666E3E}">
          <x14:id>{D3671E44-091E-4765-8A54-CDCA2F9B454B}</x14:id>
        </ext>
      </extLst>
    </cfRule>
  </conditionalFormatting>
  <conditionalFormatting sqref="C35:D35">
    <cfRule type="dataBar" priority="16">
      <dataBar>
        <cfvo type="min"/>
        <cfvo type="max"/>
        <color rgb="FF008AEF"/>
      </dataBar>
      <extLst>
        <ext xmlns:x14="http://schemas.microsoft.com/office/spreadsheetml/2009/9/main" uri="{B025F937-C7B1-47D3-B67F-A62EFF666E3E}">
          <x14:id>{EB1ADE53-0A0E-476E-97FA-9E2F3B7C272C}</x14:id>
        </ext>
      </extLst>
    </cfRule>
  </conditionalFormatting>
  <conditionalFormatting sqref="C36:D36">
    <cfRule type="dataBar" priority="15">
      <dataBar>
        <cfvo type="min"/>
        <cfvo type="max"/>
        <color rgb="FF008AEF"/>
      </dataBar>
      <extLst>
        <ext xmlns:x14="http://schemas.microsoft.com/office/spreadsheetml/2009/9/main" uri="{B025F937-C7B1-47D3-B67F-A62EFF666E3E}">
          <x14:id>{5782B8E9-8212-46C4-9AE1-58F3851DEC0F}</x14:id>
        </ext>
      </extLst>
    </cfRule>
  </conditionalFormatting>
  <conditionalFormatting sqref="C37:D37">
    <cfRule type="dataBar" priority="14">
      <dataBar>
        <cfvo type="min"/>
        <cfvo type="max"/>
        <color rgb="FF008AEF"/>
      </dataBar>
      <extLst>
        <ext xmlns:x14="http://schemas.microsoft.com/office/spreadsheetml/2009/9/main" uri="{B025F937-C7B1-47D3-B67F-A62EFF666E3E}">
          <x14:id>{A3D149F0-D2D7-4100-ADEF-070BB2DE6425}</x14:id>
        </ext>
      </extLst>
    </cfRule>
  </conditionalFormatting>
  <conditionalFormatting sqref="C38:D38">
    <cfRule type="dataBar" priority="13">
      <dataBar>
        <cfvo type="min"/>
        <cfvo type="max"/>
        <color rgb="FF008AEF"/>
      </dataBar>
      <extLst>
        <ext xmlns:x14="http://schemas.microsoft.com/office/spreadsheetml/2009/9/main" uri="{B025F937-C7B1-47D3-B67F-A62EFF666E3E}">
          <x14:id>{0C5C44AC-D57E-4149-8419-D33C562CFDB8}</x14:id>
        </ext>
      </extLst>
    </cfRule>
  </conditionalFormatting>
  <conditionalFormatting sqref="E3:P38">
    <cfRule type="cellIs" dxfId="10"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F3A5CCE-E9EC-474C-8097-C398A2E8585B}">
            <x14:dataBar minLength="0" maxLength="100" gradient="0">
              <x14:cfvo type="autoMin"/>
              <x14:cfvo type="autoMax"/>
              <x14:negativeFillColor rgb="FFFF0000"/>
              <x14:axisColor rgb="FF000000"/>
            </x14:dataBar>
          </x14:cfRule>
          <xm:sqref>C3:D3 D4:D10</xm:sqref>
        </x14:conditionalFormatting>
        <x14:conditionalFormatting xmlns:xm="http://schemas.microsoft.com/office/excel/2006/main">
          <x14:cfRule type="dataBar" id="{6C5E8BA5-EBDC-4CDE-8BF2-6DCF2339C991}">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FCE3122C-57A5-4180-B245-29BE9ADD8828}">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F16267D7-8906-4AAA-A5F0-4C3EC07E6E56}">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0DF3393F-7C75-43A9-935F-23751B54881D}">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C96D602A-CFCE-4FAD-B294-92EC1F616892}">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59F3CD43-8CA7-4B9F-9430-27098FD7337B}">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46359A13-10DF-45DC-829B-F7636F55DE8E}">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965ACE5D-42E6-4218-8203-29D6091656C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557BE0A5-DD31-4ABB-A873-72C2B22D7090}">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42D13D64-4238-4B20-9FBC-28E194A91E1B}">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80EABA46-FF72-4580-ADEE-0D0F924FCB5A}">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9BFBF755-FAA2-4823-8DB2-CE731D97750D}">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6B07FF65-441A-402C-97DE-41E355102CE0}">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15ECC0B7-A317-486A-AD61-1121666D4717}">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4B8D409A-7FF7-4CA9-B928-49BF793222A8}">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B35E8157-EFA4-4696-8147-AA04320A95B5}">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EB9E28B4-88FF-40B1-B439-51781D691A55}">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87720C95-B612-4EB1-ACD5-7B89FFF1BFB7}">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EDC132A6-B094-4C4C-9179-69878D04E187}">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8546D9A7-B558-4E74-8ABC-0759FC3D057A}">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EE5C1298-EC2C-4B58-B762-E3F08B9332A5}">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AAC47FFA-1104-4F37-9C7E-1BEF0AE0BADC}">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97C6E450-CE87-498C-9DEB-E0CA193C6993}">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7B3224F4-004C-4EEC-BC1C-1A0833BBECB8}">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6B97A639-669C-4A18-AE65-C96531637FFE}">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7A0C273B-CAED-46C6-8651-9028289C5E9A}">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CC68F710-FAB0-4664-BAF5-72A88CE87335}">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374B0610-E6B4-4770-BF49-D5D4B73604A4}">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6C7D1A60-17D3-4E44-A5BB-535E005830B5}">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80D667F0-1ADB-4CDA-9CFD-7C45D6A78B5B}">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D3671E44-091E-4765-8A54-CDCA2F9B454B}">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EB1ADE53-0A0E-476E-97FA-9E2F3B7C272C}">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5782B8E9-8212-46C4-9AE1-58F3851DEC0F}">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A3D149F0-D2D7-4100-ADEF-070BB2DE6425}">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0C5C44AC-D57E-4149-8419-D33C562CFDB8}">
            <x14:dataBar minLength="0" maxLength="100" gradient="0">
              <x14:cfvo type="autoMin"/>
              <x14:cfvo type="autoMax"/>
              <x14:negativeFillColor rgb="FFFF0000"/>
              <x14:axisColor rgb="FF000000"/>
            </x14:dataBar>
          </x14:cfRule>
          <xm:sqref>C38:D38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56"/>
  <sheetViews>
    <sheetView zoomScale="60" zoomScaleNormal="60" workbookViewId="0">
      <selection activeCell="J6" sqref="J6"/>
    </sheetView>
  </sheetViews>
  <sheetFormatPr baseColWidth="10" defaultColWidth="13" defaultRowHeight="15" x14ac:dyDescent="0.25"/>
  <cols>
    <col min="1" max="1" width="9.28515625" style="2" customWidth="1"/>
    <col min="2" max="2" width="84.140625" style="2" customWidth="1"/>
    <col min="3" max="3" width="13" style="2"/>
    <col min="4" max="4" width="25.5703125" style="2" customWidth="1"/>
    <col min="5" max="9" width="19.7109375" style="2" customWidth="1"/>
    <col min="10" max="16384" width="13" style="2"/>
  </cols>
  <sheetData>
    <row r="1" spans="1:16" ht="61.5" customHeight="1" x14ac:dyDescent="0.25">
      <c r="A1" s="56" t="s">
        <v>1</v>
      </c>
      <c r="B1" s="29" t="s">
        <v>27</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7"/>
      <c r="B2" s="29"/>
      <c r="C2" s="3">
        <v>2026</v>
      </c>
      <c r="D2" s="3" t="s">
        <v>16</v>
      </c>
      <c r="E2" s="30"/>
      <c r="F2" s="30"/>
      <c r="G2" s="30"/>
      <c r="H2" s="30"/>
      <c r="I2" s="30"/>
      <c r="J2" s="30"/>
      <c r="K2" s="30"/>
      <c r="L2" s="30"/>
      <c r="M2" s="30"/>
      <c r="N2" s="30"/>
      <c r="O2" s="30"/>
      <c r="P2" s="30"/>
    </row>
    <row r="3" spans="1:16" ht="81" customHeight="1" thickBot="1" x14ac:dyDescent="0.3">
      <c r="A3" s="31" t="s">
        <v>18</v>
      </c>
      <c r="B3" s="32" t="s">
        <v>28</v>
      </c>
      <c r="C3" s="5">
        <v>2</v>
      </c>
      <c r="D3" s="28">
        <f>SUM(E3:P3)</f>
        <v>0</v>
      </c>
      <c r="E3" s="33"/>
      <c r="F3" s="33"/>
      <c r="G3" s="33"/>
      <c r="H3" s="33"/>
      <c r="I3" s="33"/>
      <c r="J3" s="33"/>
      <c r="K3" s="33"/>
      <c r="L3" s="33"/>
      <c r="M3" s="33"/>
      <c r="N3" s="33"/>
      <c r="O3" s="33"/>
      <c r="P3" s="33"/>
    </row>
    <row r="4" spans="1:16" ht="81" customHeight="1" thickBot="1" x14ac:dyDescent="0.3">
      <c r="A4" s="34" t="s">
        <v>20</v>
      </c>
      <c r="B4" s="10" t="s">
        <v>17</v>
      </c>
      <c r="C4" s="12">
        <v>2</v>
      </c>
      <c r="D4" s="28">
        <f>SUM(E4:P4)</f>
        <v>1</v>
      </c>
      <c r="E4" s="33">
        <v>0</v>
      </c>
      <c r="F4" s="33">
        <v>0</v>
      </c>
      <c r="G4" s="33">
        <v>1</v>
      </c>
      <c r="H4" s="33">
        <v>0</v>
      </c>
      <c r="I4" s="33"/>
      <c r="J4" s="33"/>
      <c r="K4" s="33"/>
      <c r="L4" s="33"/>
      <c r="M4" s="33"/>
      <c r="N4" s="33"/>
      <c r="O4" s="33"/>
      <c r="P4" s="33"/>
    </row>
    <row r="5" spans="1:16" ht="81" customHeight="1" thickBot="1" x14ac:dyDescent="0.3">
      <c r="A5" s="35" t="s">
        <v>22</v>
      </c>
      <c r="B5" s="17" t="s">
        <v>19</v>
      </c>
      <c r="C5" s="36">
        <v>1</v>
      </c>
      <c r="D5" s="28">
        <f>SUM(E5:P5)</f>
        <v>1</v>
      </c>
      <c r="E5" s="33">
        <v>0</v>
      </c>
      <c r="F5" s="33">
        <v>0</v>
      </c>
      <c r="G5" s="33">
        <v>0</v>
      </c>
      <c r="H5" s="33">
        <v>1</v>
      </c>
      <c r="I5" s="33"/>
      <c r="J5" s="33"/>
      <c r="K5" s="33"/>
      <c r="L5" s="33"/>
      <c r="M5" s="33"/>
      <c r="N5" s="33"/>
      <c r="O5" s="33"/>
      <c r="P5" s="33"/>
    </row>
    <row r="6" spans="1:16" ht="28.5" customHeight="1" x14ac:dyDescent="0.25">
      <c r="A6" s="58" t="s">
        <v>52</v>
      </c>
      <c r="B6" s="39" t="s">
        <v>53</v>
      </c>
      <c r="C6" s="7">
        <v>3</v>
      </c>
      <c r="D6" s="28">
        <f t="shared" ref="D6:D33" si="0">SUM(E6:P6)</f>
        <v>2</v>
      </c>
      <c r="E6" s="33"/>
      <c r="F6" s="33"/>
      <c r="G6" s="33"/>
      <c r="H6" s="33"/>
      <c r="I6" s="33">
        <v>2</v>
      </c>
      <c r="J6" s="33"/>
      <c r="K6" s="33"/>
      <c r="L6" s="33"/>
      <c r="M6" s="33"/>
      <c r="N6" s="33"/>
      <c r="O6" s="33"/>
      <c r="P6" s="33"/>
    </row>
    <row r="7" spans="1:16" ht="28.5" customHeight="1" x14ac:dyDescent="0.25">
      <c r="A7" s="59"/>
      <c r="B7" s="39" t="s">
        <v>54</v>
      </c>
      <c r="C7" s="7">
        <v>3</v>
      </c>
      <c r="D7" s="28">
        <f t="shared" si="0"/>
        <v>0</v>
      </c>
      <c r="E7" s="33"/>
      <c r="F7" s="33"/>
      <c r="G7" s="33"/>
      <c r="H7" s="33"/>
      <c r="I7" s="33"/>
      <c r="J7" s="33"/>
      <c r="K7" s="33"/>
      <c r="L7" s="33"/>
      <c r="M7" s="33"/>
      <c r="N7" s="33"/>
      <c r="O7" s="33"/>
      <c r="P7" s="33"/>
    </row>
    <row r="8" spans="1:16" ht="28.5" customHeight="1" x14ac:dyDescent="0.25">
      <c r="A8" s="59"/>
      <c r="B8" s="39" t="s">
        <v>55</v>
      </c>
      <c r="C8" s="7">
        <v>48</v>
      </c>
      <c r="D8" s="28">
        <f t="shared" si="0"/>
        <v>21</v>
      </c>
      <c r="E8" s="33"/>
      <c r="F8" s="33">
        <v>6</v>
      </c>
      <c r="G8" s="33">
        <v>3</v>
      </c>
      <c r="H8" s="33">
        <v>5</v>
      </c>
      <c r="I8" s="33">
        <v>5</v>
      </c>
      <c r="J8" s="33">
        <v>2</v>
      </c>
      <c r="K8" s="33"/>
      <c r="L8" s="33"/>
      <c r="M8" s="33"/>
      <c r="N8" s="33"/>
      <c r="O8" s="33"/>
      <c r="P8" s="33"/>
    </row>
    <row r="9" spans="1:16" ht="28.5" customHeight="1" x14ac:dyDescent="0.25">
      <c r="A9" s="59"/>
      <c r="B9" s="39" t="s">
        <v>56</v>
      </c>
      <c r="C9" s="7">
        <v>9</v>
      </c>
      <c r="D9" s="28">
        <f t="shared" si="0"/>
        <v>5</v>
      </c>
      <c r="E9" s="33"/>
      <c r="F9" s="33">
        <v>3</v>
      </c>
      <c r="G9" s="33">
        <v>2</v>
      </c>
      <c r="H9" s="33"/>
      <c r="I9" s="33"/>
      <c r="J9" s="33"/>
      <c r="K9" s="33"/>
      <c r="L9" s="33"/>
      <c r="M9" s="33"/>
      <c r="N9" s="33"/>
      <c r="O9" s="33"/>
      <c r="P9" s="33"/>
    </row>
    <row r="10" spans="1:16" ht="28.5" customHeight="1" x14ac:dyDescent="0.25">
      <c r="A10" s="59"/>
      <c r="B10" s="39" t="s">
        <v>57</v>
      </c>
      <c r="C10" s="7">
        <v>12</v>
      </c>
      <c r="D10" s="28">
        <f t="shared" si="0"/>
        <v>13</v>
      </c>
      <c r="E10" s="33"/>
      <c r="F10" s="33">
        <v>3</v>
      </c>
      <c r="G10" s="33">
        <v>3</v>
      </c>
      <c r="H10" s="33">
        <v>2</v>
      </c>
      <c r="I10" s="33">
        <v>3</v>
      </c>
      <c r="J10" s="33">
        <v>2</v>
      </c>
      <c r="K10" s="33"/>
      <c r="L10" s="33"/>
      <c r="M10" s="33"/>
      <c r="N10" s="33"/>
      <c r="O10" s="33"/>
      <c r="P10" s="33"/>
    </row>
    <row r="11" spans="1:16" ht="28.5" customHeight="1" x14ac:dyDescent="0.25">
      <c r="A11" s="59"/>
      <c r="B11" s="39" t="s">
        <v>58</v>
      </c>
      <c r="C11" s="7">
        <v>16</v>
      </c>
      <c r="D11" s="28">
        <f t="shared" si="0"/>
        <v>5</v>
      </c>
      <c r="E11" s="33"/>
      <c r="F11" s="33"/>
      <c r="G11" s="33"/>
      <c r="H11" s="33">
        <v>3</v>
      </c>
      <c r="I11" s="33">
        <v>2</v>
      </c>
      <c r="J11" s="33"/>
      <c r="K11" s="33"/>
      <c r="L11" s="33"/>
      <c r="M11" s="33"/>
      <c r="N11" s="33"/>
      <c r="O11" s="33"/>
      <c r="P11" s="33"/>
    </row>
    <row r="12" spans="1:16" ht="28.5" customHeight="1" x14ac:dyDescent="0.25">
      <c r="A12" s="59"/>
      <c r="B12" s="39" t="s">
        <v>59</v>
      </c>
      <c r="C12" s="7">
        <v>1</v>
      </c>
      <c r="D12" s="28">
        <f t="shared" si="0"/>
        <v>0</v>
      </c>
      <c r="E12" s="33"/>
      <c r="F12" s="33"/>
      <c r="G12" s="33"/>
      <c r="H12" s="33"/>
      <c r="I12" s="33"/>
      <c r="J12" s="33"/>
      <c r="K12" s="33"/>
      <c r="L12" s="33"/>
      <c r="M12" s="33"/>
      <c r="N12" s="33"/>
      <c r="O12" s="33"/>
      <c r="P12" s="33"/>
    </row>
    <row r="13" spans="1:16" ht="28.5" customHeight="1" x14ac:dyDescent="0.25">
      <c r="A13" s="59"/>
      <c r="B13" s="39" t="s">
        <v>60</v>
      </c>
      <c r="C13" s="7">
        <v>4</v>
      </c>
      <c r="D13" s="28">
        <f t="shared" si="0"/>
        <v>0</v>
      </c>
      <c r="E13" s="33"/>
      <c r="F13" s="33"/>
      <c r="G13" s="33"/>
      <c r="H13" s="33"/>
      <c r="I13" s="33"/>
      <c r="J13" s="33"/>
      <c r="K13" s="33"/>
      <c r="L13" s="33"/>
      <c r="M13" s="33"/>
      <c r="N13" s="33"/>
      <c r="O13" s="33"/>
      <c r="P13" s="33"/>
    </row>
    <row r="14" spans="1:16" ht="28.5" customHeight="1" x14ac:dyDescent="0.25">
      <c r="A14" s="59"/>
      <c r="B14" s="39" t="s">
        <v>61</v>
      </c>
      <c r="C14" s="7">
        <v>0</v>
      </c>
      <c r="D14" s="28">
        <f t="shared" si="0"/>
        <v>0</v>
      </c>
      <c r="E14" s="33"/>
      <c r="F14" s="33"/>
      <c r="G14" s="33"/>
      <c r="H14" s="33"/>
      <c r="I14" s="33"/>
      <c r="J14" s="33"/>
      <c r="K14" s="33"/>
      <c r="L14" s="33"/>
      <c r="M14" s="33"/>
      <c r="N14" s="33"/>
      <c r="O14" s="33"/>
      <c r="P14" s="33"/>
    </row>
    <row r="15" spans="1:16" ht="28.5" customHeight="1" x14ac:dyDescent="0.25">
      <c r="A15" s="59"/>
      <c r="B15" s="39" t="s">
        <v>62</v>
      </c>
      <c r="C15" s="7">
        <v>2</v>
      </c>
      <c r="D15" s="28">
        <f t="shared" si="0"/>
        <v>0</v>
      </c>
      <c r="E15" s="33"/>
      <c r="F15" s="33"/>
      <c r="G15" s="33"/>
      <c r="H15" s="33"/>
      <c r="I15" s="33"/>
      <c r="J15" s="33"/>
      <c r="K15" s="33"/>
      <c r="L15" s="33"/>
      <c r="M15" s="33"/>
      <c r="N15" s="33"/>
      <c r="O15" s="33"/>
      <c r="P15" s="33"/>
    </row>
    <row r="16" spans="1:16" ht="28.5" customHeight="1" x14ac:dyDescent="0.25">
      <c r="A16" s="59"/>
      <c r="B16" s="39" t="s">
        <v>63</v>
      </c>
      <c r="C16" s="7">
        <v>0</v>
      </c>
      <c r="D16" s="28">
        <f t="shared" si="0"/>
        <v>0</v>
      </c>
      <c r="E16" s="33"/>
      <c r="F16" s="33"/>
      <c r="G16" s="33"/>
      <c r="H16" s="33"/>
      <c r="I16" s="33"/>
      <c r="J16" s="33"/>
      <c r="K16" s="33"/>
      <c r="L16" s="33"/>
      <c r="M16" s="33"/>
      <c r="N16" s="33"/>
      <c r="O16" s="33"/>
      <c r="P16" s="33"/>
    </row>
    <row r="17" spans="1:16" ht="28.5" customHeight="1" x14ac:dyDescent="0.25">
      <c r="A17" s="59"/>
      <c r="B17" s="39" t="s">
        <v>64</v>
      </c>
      <c r="C17" s="7">
        <v>1</v>
      </c>
      <c r="D17" s="28">
        <f t="shared" si="0"/>
        <v>0</v>
      </c>
      <c r="E17" s="33"/>
      <c r="F17" s="33"/>
      <c r="G17" s="33"/>
      <c r="H17" s="33"/>
      <c r="I17" s="33"/>
      <c r="J17" s="33"/>
      <c r="K17" s="33"/>
      <c r="L17" s="33"/>
      <c r="M17" s="33"/>
      <c r="N17" s="33"/>
      <c r="O17" s="33"/>
      <c r="P17" s="33"/>
    </row>
    <row r="18" spans="1:16" ht="28.5" customHeight="1" x14ac:dyDescent="0.25">
      <c r="A18" s="59"/>
      <c r="B18" s="39" t="s">
        <v>65</v>
      </c>
      <c r="C18" s="7">
        <v>0</v>
      </c>
      <c r="D18" s="28">
        <f t="shared" si="0"/>
        <v>0</v>
      </c>
      <c r="E18" s="33"/>
      <c r="F18" s="33"/>
      <c r="G18" s="33"/>
      <c r="H18" s="33"/>
      <c r="I18" s="33"/>
      <c r="J18" s="33"/>
      <c r="K18" s="33"/>
      <c r="L18" s="33"/>
      <c r="M18" s="33"/>
      <c r="N18" s="33"/>
      <c r="O18" s="33"/>
      <c r="P18" s="33"/>
    </row>
    <row r="19" spans="1:16" ht="28.5" customHeight="1" x14ac:dyDescent="0.25">
      <c r="A19" s="59"/>
      <c r="B19" s="39" t="s">
        <v>66</v>
      </c>
      <c r="C19" s="7">
        <v>0</v>
      </c>
      <c r="D19" s="28">
        <f t="shared" si="0"/>
        <v>0</v>
      </c>
      <c r="E19" s="33"/>
      <c r="F19" s="33"/>
      <c r="G19" s="33"/>
      <c r="H19" s="33"/>
      <c r="I19" s="33"/>
      <c r="J19" s="33"/>
      <c r="K19" s="33"/>
      <c r="L19" s="33"/>
      <c r="M19" s="33"/>
      <c r="N19" s="33"/>
      <c r="O19" s="33"/>
      <c r="P19" s="33"/>
    </row>
    <row r="20" spans="1:16" ht="28.5" customHeight="1" x14ac:dyDescent="0.25">
      <c r="A20" s="59"/>
      <c r="B20" s="39" t="s">
        <v>67</v>
      </c>
      <c r="C20" s="7">
        <v>88</v>
      </c>
      <c r="D20" s="28">
        <f t="shared" si="0"/>
        <v>39</v>
      </c>
      <c r="E20" s="33">
        <v>22</v>
      </c>
      <c r="F20" s="33"/>
      <c r="G20" s="33"/>
      <c r="H20" s="33">
        <v>17</v>
      </c>
      <c r="I20" s="33"/>
      <c r="J20" s="33"/>
      <c r="K20" s="33"/>
      <c r="L20" s="33"/>
      <c r="M20" s="33"/>
      <c r="N20" s="33"/>
      <c r="O20" s="33"/>
      <c r="P20" s="33"/>
    </row>
    <row r="21" spans="1:16" ht="28.5" customHeight="1" x14ac:dyDescent="0.25">
      <c r="A21" s="59"/>
      <c r="B21" s="39" t="s">
        <v>68</v>
      </c>
      <c r="C21" s="7">
        <v>3</v>
      </c>
      <c r="D21" s="28">
        <f t="shared" si="0"/>
        <v>0</v>
      </c>
      <c r="E21" s="33"/>
      <c r="F21" s="33"/>
      <c r="G21" s="33"/>
      <c r="H21" s="33"/>
      <c r="I21" s="33"/>
      <c r="J21" s="33"/>
      <c r="K21" s="33"/>
      <c r="L21" s="33"/>
      <c r="M21" s="33"/>
      <c r="N21" s="33"/>
      <c r="O21" s="33"/>
      <c r="P21" s="33"/>
    </row>
    <row r="22" spans="1:16" ht="24" customHeight="1" x14ac:dyDescent="0.25">
      <c r="A22" s="59"/>
      <c r="B22" s="53" t="s">
        <v>69</v>
      </c>
      <c r="C22" s="7">
        <v>4</v>
      </c>
      <c r="D22" s="28">
        <f t="shared" si="0"/>
        <v>4</v>
      </c>
      <c r="E22" s="33"/>
      <c r="F22" s="33"/>
      <c r="G22" s="33">
        <v>2</v>
      </c>
      <c r="H22" s="33">
        <v>2</v>
      </c>
      <c r="I22" s="33"/>
      <c r="J22" s="33"/>
      <c r="K22" s="33"/>
      <c r="L22" s="33"/>
      <c r="M22" s="33"/>
      <c r="N22" s="33"/>
      <c r="O22" s="33"/>
      <c r="P22" s="33"/>
    </row>
    <row r="23" spans="1:16" ht="24" customHeight="1" x14ac:dyDescent="0.25">
      <c r="A23" s="59"/>
      <c r="B23" s="53" t="s">
        <v>70</v>
      </c>
      <c r="C23" s="7">
        <v>4</v>
      </c>
      <c r="D23" s="28">
        <f t="shared" si="0"/>
        <v>4</v>
      </c>
      <c r="E23" s="33"/>
      <c r="F23" s="33"/>
      <c r="G23" s="33"/>
      <c r="H23" s="33">
        <v>4</v>
      </c>
      <c r="I23" s="33"/>
      <c r="J23" s="33"/>
      <c r="K23" s="33"/>
      <c r="L23" s="33"/>
      <c r="M23" s="33"/>
      <c r="N23" s="33"/>
      <c r="O23" s="33"/>
      <c r="P23" s="33"/>
    </row>
    <row r="24" spans="1:16" ht="24" customHeight="1" x14ac:dyDescent="0.25">
      <c r="A24" s="59"/>
      <c r="B24" s="53" t="s">
        <v>71</v>
      </c>
      <c r="C24" s="7">
        <v>4</v>
      </c>
      <c r="D24" s="28">
        <f t="shared" si="0"/>
        <v>4</v>
      </c>
      <c r="E24" s="33"/>
      <c r="F24" s="33"/>
      <c r="G24" s="33"/>
      <c r="H24" s="33"/>
      <c r="I24" s="33">
        <v>4</v>
      </c>
      <c r="J24" s="33"/>
      <c r="K24" s="33"/>
      <c r="L24" s="33"/>
      <c r="M24" s="33"/>
      <c r="N24" s="33"/>
      <c r="O24" s="33"/>
      <c r="P24" s="33"/>
    </row>
    <row r="25" spans="1:16" ht="24" customHeight="1" x14ac:dyDescent="0.25">
      <c r="A25" s="59"/>
      <c r="B25" s="53" t="s">
        <v>72</v>
      </c>
      <c r="C25" s="7">
        <v>4</v>
      </c>
      <c r="D25" s="28">
        <f t="shared" si="0"/>
        <v>0</v>
      </c>
      <c r="E25" s="33"/>
      <c r="F25" s="33"/>
      <c r="G25" s="33"/>
      <c r="H25" s="33"/>
      <c r="I25" s="33"/>
      <c r="J25" s="33"/>
      <c r="K25" s="33"/>
      <c r="L25" s="33"/>
      <c r="M25" s="33"/>
      <c r="N25" s="33"/>
      <c r="O25" s="33"/>
      <c r="P25" s="33"/>
    </row>
    <row r="26" spans="1:16" ht="24" customHeight="1" x14ac:dyDescent="0.25">
      <c r="A26" s="59"/>
      <c r="B26" s="53" t="s">
        <v>73</v>
      </c>
      <c r="C26" s="7">
        <v>4</v>
      </c>
      <c r="D26" s="28">
        <f t="shared" si="0"/>
        <v>0</v>
      </c>
      <c r="E26" s="33"/>
      <c r="F26" s="33"/>
      <c r="G26" s="33"/>
      <c r="H26" s="33"/>
      <c r="I26" s="33"/>
      <c r="J26" s="33"/>
      <c r="K26" s="33"/>
      <c r="L26" s="33"/>
      <c r="M26" s="33"/>
      <c r="N26" s="33"/>
      <c r="O26" s="33"/>
      <c r="P26" s="33"/>
    </row>
    <row r="27" spans="1:16" ht="24" customHeight="1" x14ac:dyDescent="0.25">
      <c r="A27" s="59"/>
      <c r="B27" s="53" t="s">
        <v>74</v>
      </c>
      <c r="C27" s="7">
        <v>1</v>
      </c>
      <c r="D27" s="28">
        <f t="shared" si="0"/>
        <v>0</v>
      </c>
      <c r="E27" s="33"/>
      <c r="F27" s="33"/>
      <c r="G27" s="33"/>
      <c r="H27" s="33"/>
      <c r="I27" s="33"/>
      <c r="J27" s="33"/>
      <c r="K27" s="33"/>
      <c r="L27" s="33"/>
      <c r="M27" s="33"/>
      <c r="N27" s="33"/>
      <c r="O27" s="33"/>
      <c r="P27" s="33"/>
    </row>
    <row r="28" spans="1:16" ht="24" customHeight="1" x14ac:dyDescent="0.25">
      <c r="A28" s="59"/>
      <c r="B28" s="53" t="s">
        <v>75</v>
      </c>
      <c r="C28" s="7">
        <v>1</v>
      </c>
      <c r="D28" s="28">
        <f t="shared" si="0"/>
        <v>0</v>
      </c>
      <c r="E28" s="33"/>
      <c r="F28" s="33"/>
      <c r="G28" s="33"/>
      <c r="H28" s="33"/>
      <c r="I28" s="33"/>
      <c r="J28" s="33"/>
      <c r="K28" s="33"/>
      <c r="L28" s="33"/>
      <c r="M28" s="33"/>
      <c r="N28" s="33"/>
      <c r="O28" s="33"/>
      <c r="P28" s="33"/>
    </row>
    <row r="29" spans="1:16" ht="24" customHeight="1" x14ac:dyDescent="0.25">
      <c r="A29" s="59"/>
      <c r="B29" s="53" t="s">
        <v>76</v>
      </c>
      <c r="C29" s="7">
        <v>1</v>
      </c>
      <c r="D29" s="28">
        <f t="shared" si="0"/>
        <v>0</v>
      </c>
      <c r="E29" s="33"/>
      <c r="F29" s="33"/>
      <c r="G29" s="33"/>
      <c r="H29" s="33"/>
      <c r="I29" s="33"/>
      <c r="J29" s="33"/>
      <c r="K29" s="33"/>
      <c r="L29" s="33"/>
      <c r="M29" s="33"/>
      <c r="N29" s="33"/>
      <c r="O29" s="33"/>
      <c r="P29" s="33"/>
    </row>
    <row r="30" spans="1:16" ht="24" customHeight="1" x14ac:dyDescent="0.25">
      <c r="A30" s="59"/>
      <c r="B30" s="53" t="s">
        <v>77</v>
      </c>
      <c r="C30" s="7">
        <v>1</v>
      </c>
      <c r="D30" s="28">
        <f t="shared" si="0"/>
        <v>0</v>
      </c>
      <c r="E30" s="33"/>
      <c r="F30" s="33"/>
      <c r="G30" s="33"/>
      <c r="H30" s="33"/>
      <c r="I30" s="33"/>
      <c r="J30" s="33"/>
      <c r="K30" s="33"/>
      <c r="L30" s="33"/>
      <c r="M30" s="33"/>
      <c r="N30" s="33"/>
      <c r="O30" s="33"/>
      <c r="P30" s="33"/>
    </row>
    <row r="31" spans="1:16" ht="24" customHeight="1" x14ac:dyDescent="0.25">
      <c r="A31" s="59"/>
      <c r="B31" s="53" t="s">
        <v>78</v>
      </c>
      <c r="C31" s="7">
        <v>1</v>
      </c>
      <c r="D31" s="28">
        <f t="shared" si="0"/>
        <v>0</v>
      </c>
      <c r="E31" s="33"/>
      <c r="F31" s="33"/>
      <c r="G31" s="33"/>
      <c r="H31" s="33"/>
      <c r="I31" s="33"/>
      <c r="J31" s="33"/>
      <c r="K31" s="33"/>
      <c r="L31" s="33"/>
      <c r="M31" s="33"/>
      <c r="N31" s="33"/>
      <c r="O31" s="33"/>
      <c r="P31" s="33"/>
    </row>
    <row r="32" spans="1:16" ht="24" customHeight="1" x14ac:dyDescent="0.25">
      <c r="A32" s="59"/>
      <c r="B32" s="53" t="s">
        <v>79</v>
      </c>
      <c r="C32" s="7">
        <v>1</v>
      </c>
      <c r="D32" s="28">
        <f t="shared" si="0"/>
        <v>0</v>
      </c>
      <c r="E32" s="33"/>
      <c r="F32" s="33"/>
      <c r="G32" s="33"/>
      <c r="H32" s="33"/>
      <c r="I32" s="33"/>
      <c r="J32" s="33"/>
      <c r="K32" s="33"/>
      <c r="L32" s="33"/>
      <c r="M32" s="33"/>
      <c r="N32" s="33"/>
      <c r="O32" s="33"/>
      <c r="P32" s="33"/>
    </row>
    <row r="33" spans="1:16" ht="24" customHeight="1" thickBot="1" x14ac:dyDescent="0.3">
      <c r="A33" s="60"/>
      <c r="B33" s="54" t="s">
        <v>80</v>
      </c>
      <c r="C33" s="7">
        <v>1</v>
      </c>
      <c r="D33" s="28">
        <f t="shared" si="0"/>
        <v>0</v>
      </c>
      <c r="E33" s="33"/>
      <c r="F33" s="33"/>
      <c r="G33" s="33"/>
      <c r="H33" s="33"/>
      <c r="I33" s="33"/>
      <c r="J33" s="33"/>
      <c r="K33" s="33"/>
      <c r="L33" s="33"/>
      <c r="M33" s="33"/>
      <c r="N33" s="33"/>
      <c r="O33" s="33"/>
      <c r="P33" s="33"/>
    </row>
    <row r="34" spans="1:16" x14ac:dyDescent="0.25">
      <c r="C34" s="43">
        <f>SUM(C3:C33)</f>
        <v>222</v>
      </c>
      <c r="D34" s="44">
        <f>SUM(D3:D33)</f>
        <v>99</v>
      </c>
    </row>
    <row r="35" spans="1:16" x14ac:dyDescent="0.25">
      <c r="C35" s="45"/>
      <c r="D35" s="9">
        <f>D34/C34</f>
        <v>0.44594594594594594</v>
      </c>
    </row>
    <row r="41" spans="1:16" x14ac:dyDescent="0.25">
      <c r="C41" s="8"/>
    </row>
    <row r="42" spans="1:16" x14ac:dyDescent="0.25">
      <c r="C42" s="8"/>
    </row>
    <row r="43" spans="1:16" x14ac:dyDescent="0.25">
      <c r="C43" s="8"/>
    </row>
    <row r="44" spans="1:16" x14ac:dyDescent="0.25">
      <c r="C44" s="8"/>
    </row>
    <row r="45" spans="1:16" x14ac:dyDescent="0.25">
      <c r="C45" s="8"/>
    </row>
    <row r="46" spans="1:16" x14ac:dyDescent="0.25">
      <c r="C46" s="8"/>
    </row>
    <row r="47" spans="1:16" x14ac:dyDescent="0.25">
      <c r="C47" s="8"/>
    </row>
    <row r="48" spans="1:16"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row r="55" spans="3:3" x14ac:dyDescent="0.25">
      <c r="C55" s="8"/>
    </row>
    <row r="56" spans="3:3" x14ac:dyDescent="0.25">
      <c r="C56" s="8"/>
    </row>
  </sheetData>
  <sheetProtection algorithmName="SHA-512" hashValue="7pmhCSk1CdRrSt4+cXQmw9o3CsfIjFxRcIhB25FzE3B0p3jrHeuUv+ko3KL4xlmR3LNDOLJnvfYa1e6+i9mfqA==" saltValue="tLlIApFX4G8NRM9GeOJlgw==" spinCount="100000" sheet="1" objects="1" scenarios="1" autoFilter="0"/>
  <mergeCells count="2">
    <mergeCell ref="A1:A2"/>
    <mergeCell ref="A6:A33"/>
  </mergeCells>
  <conditionalFormatting sqref="C3:D3 D4:D5">
    <cfRule type="dataBar" priority="43">
      <dataBar>
        <cfvo type="min"/>
        <cfvo type="max"/>
        <color rgb="FF008AEF"/>
      </dataBar>
      <extLst>
        <ext xmlns:x14="http://schemas.microsoft.com/office/spreadsheetml/2009/9/main" uri="{B025F937-C7B1-47D3-B67F-A62EFF666E3E}">
          <x14:id>{6AD755F2-C6B7-4F75-B2BD-6A4DFDA7BB72}</x14:id>
        </ext>
      </extLst>
    </cfRule>
  </conditionalFormatting>
  <conditionalFormatting sqref="C4:D4">
    <cfRule type="dataBar" priority="4">
      <dataBar>
        <cfvo type="min"/>
        <cfvo type="max"/>
        <color rgb="FF008AEF"/>
      </dataBar>
      <extLst>
        <ext xmlns:x14="http://schemas.microsoft.com/office/spreadsheetml/2009/9/main" uri="{B025F937-C7B1-47D3-B67F-A62EFF666E3E}">
          <x14:id>{CB6BDCC7-60A3-4466-9F93-C767F9A25EFE}</x14:id>
        </ext>
      </extLst>
    </cfRule>
  </conditionalFormatting>
  <conditionalFormatting sqref="C5:D5">
    <cfRule type="dataBar" priority="5">
      <dataBar>
        <cfvo type="min"/>
        <cfvo type="max"/>
        <color rgb="FF008AEF"/>
      </dataBar>
      <extLst>
        <ext xmlns:x14="http://schemas.microsoft.com/office/spreadsheetml/2009/9/main" uri="{B025F937-C7B1-47D3-B67F-A62EFF666E3E}">
          <x14:id>{782BC13D-2B81-45CC-9391-58E6510AFE9E}</x14:id>
        </ext>
      </extLst>
    </cfRule>
  </conditionalFormatting>
  <conditionalFormatting sqref="C6:D6">
    <cfRule type="dataBar" priority="12">
      <dataBar>
        <cfvo type="min"/>
        <cfvo type="max"/>
        <color rgb="FF008AEF"/>
      </dataBar>
      <extLst>
        <ext xmlns:x14="http://schemas.microsoft.com/office/spreadsheetml/2009/9/main" uri="{B025F937-C7B1-47D3-B67F-A62EFF666E3E}">
          <x14:id>{B5393494-1230-41CD-AAE3-8686D182FB3B}</x14:id>
        </ext>
      </extLst>
    </cfRule>
  </conditionalFormatting>
  <conditionalFormatting sqref="C7:D7">
    <cfRule type="dataBar" priority="39">
      <dataBar>
        <cfvo type="min"/>
        <cfvo type="max"/>
        <color rgb="FF008AEF"/>
      </dataBar>
      <extLst>
        <ext xmlns:x14="http://schemas.microsoft.com/office/spreadsheetml/2009/9/main" uri="{B025F937-C7B1-47D3-B67F-A62EFF666E3E}">
          <x14:id>{1E72D722-30B2-4BAC-8B0E-2AD1B9098492}</x14:id>
        </ext>
      </extLst>
    </cfRule>
  </conditionalFormatting>
  <conditionalFormatting sqref="C8:D8">
    <cfRule type="dataBar" priority="38">
      <dataBar>
        <cfvo type="min"/>
        <cfvo type="max"/>
        <color rgb="FF008AEF"/>
      </dataBar>
      <extLst>
        <ext xmlns:x14="http://schemas.microsoft.com/office/spreadsheetml/2009/9/main" uri="{B025F937-C7B1-47D3-B67F-A62EFF666E3E}">
          <x14:id>{74852041-E6F9-4A44-8D48-9DDDDEB833AB}</x14:id>
        </ext>
      </extLst>
    </cfRule>
  </conditionalFormatting>
  <conditionalFormatting sqref="C9:D9">
    <cfRule type="dataBar" priority="37">
      <dataBar>
        <cfvo type="min"/>
        <cfvo type="max"/>
        <color rgb="FF008AEF"/>
      </dataBar>
      <extLst>
        <ext xmlns:x14="http://schemas.microsoft.com/office/spreadsheetml/2009/9/main" uri="{B025F937-C7B1-47D3-B67F-A62EFF666E3E}">
          <x14:id>{739CC4A3-ED35-4C14-A00F-CECD042D4F72}</x14:id>
        </ext>
      </extLst>
    </cfRule>
  </conditionalFormatting>
  <conditionalFormatting sqref="C10:D10">
    <cfRule type="dataBar" priority="36">
      <dataBar>
        <cfvo type="min"/>
        <cfvo type="max"/>
        <color rgb="FF008AEF"/>
      </dataBar>
      <extLst>
        <ext xmlns:x14="http://schemas.microsoft.com/office/spreadsheetml/2009/9/main" uri="{B025F937-C7B1-47D3-B67F-A62EFF666E3E}">
          <x14:id>{D54C8451-EE02-44D3-AC22-1F316C475E19}</x14:id>
        </ext>
      </extLst>
    </cfRule>
  </conditionalFormatting>
  <conditionalFormatting sqref="C11:D11">
    <cfRule type="dataBar" priority="35">
      <dataBar>
        <cfvo type="min"/>
        <cfvo type="max"/>
        <color rgb="FF008AEF"/>
      </dataBar>
      <extLst>
        <ext xmlns:x14="http://schemas.microsoft.com/office/spreadsheetml/2009/9/main" uri="{B025F937-C7B1-47D3-B67F-A62EFF666E3E}">
          <x14:id>{31FBD4EE-0C60-4858-AD47-388BE4651534}</x14:id>
        </ext>
      </extLst>
    </cfRule>
  </conditionalFormatting>
  <conditionalFormatting sqref="C12:D12">
    <cfRule type="dataBar" priority="34">
      <dataBar>
        <cfvo type="min"/>
        <cfvo type="max"/>
        <color rgb="FF008AEF"/>
      </dataBar>
      <extLst>
        <ext xmlns:x14="http://schemas.microsoft.com/office/spreadsheetml/2009/9/main" uri="{B025F937-C7B1-47D3-B67F-A62EFF666E3E}">
          <x14:id>{6C61B50C-0E91-44E8-B387-7EEFA94EC7F8}</x14:id>
        </ext>
      </extLst>
    </cfRule>
  </conditionalFormatting>
  <conditionalFormatting sqref="C13:D13">
    <cfRule type="dataBar" priority="33">
      <dataBar>
        <cfvo type="min"/>
        <cfvo type="max"/>
        <color rgb="FF008AEF"/>
      </dataBar>
      <extLst>
        <ext xmlns:x14="http://schemas.microsoft.com/office/spreadsheetml/2009/9/main" uri="{B025F937-C7B1-47D3-B67F-A62EFF666E3E}">
          <x14:id>{4AA0F912-FFEF-41E1-BCF9-E171B23365E4}</x14:id>
        </ext>
      </extLst>
    </cfRule>
  </conditionalFormatting>
  <conditionalFormatting sqref="C14:D14">
    <cfRule type="dataBar" priority="32">
      <dataBar>
        <cfvo type="min"/>
        <cfvo type="max"/>
        <color rgb="FF008AEF"/>
      </dataBar>
      <extLst>
        <ext xmlns:x14="http://schemas.microsoft.com/office/spreadsheetml/2009/9/main" uri="{B025F937-C7B1-47D3-B67F-A62EFF666E3E}">
          <x14:id>{F027C829-4D61-42A5-8F5E-183CD9A93D62}</x14:id>
        </ext>
      </extLst>
    </cfRule>
  </conditionalFormatting>
  <conditionalFormatting sqref="C15:D15">
    <cfRule type="dataBar" priority="31">
      <dataBar>
        <cfvo type="min"/>
        <cfvo type="max"/>
        <color rgb="FF008AEF"/>
      </dataBar>
      <extLst>
        <ext xmlns:x14="http://schemas.microsoft.com/office/spreadsheetml/2009/9/main" uri="{B025F937-C7B1-47D3-B67F-A62EFF666E3E}">
          <x14:id>{6C074475-DA3B-41F9-B793-1439CFC14A05}</x14:id>
        </ext>
      </extLst>
    </cfRule>
  </conditionalFormatting>
  <conditionalFormatting sqref="C16:D16">
    <cfRule type="dataBar" priority="30">
      <dataBar>
        <cfvo type="min"/>
        <cfvo type="max"/>
        <color rgb="FF008AEF"/>
      </dataBar>
      <extLst>
        <ext xmlns:x14="http://schemas.microsoft.com/office/spreadsheetml/2009/9/main" uri="{B025F937-C7B1-47D3-B67F-A62EFF666E3E}">
          <x14:id>{A1D336C5-50A3-4FE7-915F-2D0CD36CCDBC}</x14:id>
        </ext>
      </extLst>
    </cfRule>
  </conditionalFormatting>
  <conditionalFormatting sqref="C17:D17">
    <cfRule type="dataBar" priority="29">
      <dataBar>
        <cfvo type="min"/>
        <cfvo type="max"/>
        <color rgb="FF008AEF"/>
      </dataBar>
      <extLst>
        <ext xmlns:x14="http://schemas.microsoft.com/office/spreadsheetml/2009/9/main" uri="{B025F937-C7B1-47D3-B67F-A62EFF666E3E}">
          <x14:id>{7C798900-DF1B-4972-B61E-C60475D0A2F7}</x14:id>
        </ext>
      </extLst>
    </cfRule>
  </conditionalFormatting>
  <conditionalFormatting sqref="C18:D18">
    <cfRule type="dataBar" priority="28">
      <dataBar>
        <cfvo type="min"/>
        <cfvo type="max"/>
        <color rgb="FF008AEF"/>
      </dataBar>
      <extLst>
        <ext xmlns:x14="http://schemas.microsoft.com/office/spreadsheetml/2009/9/main" uri="{B025F937-C7B1-47D3-B67F-A62EFF666E3E}">
          <x14:id>{DF9F0399-923F-49E8-BDB1-BB880FA26A21}</x14:id>
        </ext>
      </extLst>
    </cfRule>
  </conditionalFormatting>
  <conditionalFormatting sqref="C19:D19">
    <cfRule type="dataBar" priority="27">
      <dataBar>
        <cfvo type="min"/>
        <cfvo type="max"/>
        <color rgb="FF008AEF"/>
      </dataBar>
      <extLst>
        <ext xmlns:x14="http://schemas.microsoft.com/office/spreadsheetml/2009/9/main" uri="{B025F937-C7B1-47D3-B67F-A62EFF666E3E}">
          <x14:id>{F3F5EAF1-1FC4-4FDC-BED5-19A86D0E63FB}</x14:id>
        </ext>
      </extLst>
    </cfRule>
  </conditionalFormatting>
  <conditionalFormatting sqref="C20:D20">
    <cfRule type="dataBar" priority="26">
      <dataBar>
        <cfvo type="min"/>
        <cfvo type="max"/>
        <color rgb="FF008AEF"/>
      </dataBar>
      <extLst>
        <ext xmlns:x14="http://schemas.microsoft.com/office/spreadsheetml/2009/9/main" uri="{B025F937-C7B1-47D3-B67F-A62EFF666E3E}">
          <x14:id>{0316A982-1BED-4E48-B5BD-6ABB57A31552}</x14:id>
        </ext>
      </extLst>
    </cfRule>
  </conditionalFormatting>
  <conditionalFormatting sqref="C21:D21">
    <cfRule type="dataBar" priority="25">
      <dataBar>
        <cfvo type="min"/>
        <cfvo type="max"/>
        <color rgb="FF008AEF"/>
      </dataBar>
      <extLst>
        <ext xmlns:x14="http://schemas.microsoft.com/office/spreadsheetml/2009/9/main" uri="{B025F937-C7B1-47D3-B67F-A62EFF666E3E}">
          <x14:id>{9047379C-25B6-4067-A6E1-FDA67C31E093}</x14:id>
        </ext>
      </extLst>
    </cfRule>
  </conditionalFormatting>
  <conditionalFormatting sqref="C22:D22">
    <cfRule type="dataBar" priority="24">
      <dataBar>
        <cfvo type="min"/>
        <cfvo type="max"/>
        <color rgb="FF008AEF"/>
      </dataBar>
      <extLst>
        <ext xmlns:x14="http://schemas.microsoft.com/office/spreadsheetml/2009/9/main" uri="{B025F937-C7B1-47D3-B67F-A62EFF666E3E}">
          <x14:id>{CA3D4550-A674-4308-A46A-6AD5C265683A}</x14:id>
        </ext>
      </extLst>
    </cfRule>
  </conditionalFormatting>
  <conditionalFormatting sqref="C23:D23">
    <cfRule type="dataBar" priority="23">
      <dataBar>
        <cfvo type="min"/>
        <cfvo type="max"/>
        <color rgb="FF008AEF"/>
      </dataBar>
      <extLst>
        <ext xmlns:x14="http://schemas.microsoft.com/office/spreadsheetml/2009/9/main" uri="{B025F937-C7B1-47D3-B67F-A62EFF666E3E}">
          <x14:id>{D2EE780E-4225-4D6C-A91C-010E869EE5C8}</x14:id>
        </ext>
      </extLst>
    </cfRule>
  </conditionalFormatting>
  <conditionalFormatting sqref="C24:D24">
    <cfRule type="dataBar" priority="22">
      <dataBar>
        <cfvo type="min"/>
        <cfvo type="max"/>
        <color rgb="FF008AEF"/>
      </dataBar>
      <extLst>
        <ext xmlns:x14="http://schemas.microsoft.com/office/spreadsheetml/2009/9/main" uri="{B025F937-C7B1-47D3-B67F-A62EFF666E3E}">
          <x14:id>{DAEE7CCF-F4CB-46CB-B4DF-EDA1CABA05D9}</x14:id>
        </ext>
      </extLst>
    </cfRule>
  </conditionalFormatting>
  <conditionalFormatting sqref="C25:D25">
    <cfRule type="dataBar" priority="21">
      <dataBar>
        <cfvo type="min"/>
        <cfvo type="max"/>
        <color rgb="FF008AEF"/>
      </dataBar>
      <extLst>
        <ext xmlns:x14="http://schemas.microsoft.com/office/spreadsheetml/2009/9/main" uri="{B025F937-C7B1-47D3-B67F-A62EFF666E3E}">
          <x14:id>{5173CAED-4583-4185-BEEA-C48963FA053A}</x14:id>
        </ext>
      </extLst>
    </cfRule>
  </conditionalFormatting>
  <conditionalFormatting sqref="C26:D26">
    <cfRule type="dataBar" priority="20">
      <dataBar>
        <cfvo type="min"/>
        <cfvo type="max"/>
        <color rgb="FF008AEF"/>
      </dataBar>
      <extLst>
        <ext xmlns:x14="http://schemas.microsoft.com/office/spreadsheetml/2009/9/main" uri="{B025F937-C7B1-47D3-B67F-A62EFF666E3E}">
          <x14:id>{69EC9F67-1E63-465F-BCAD-14A66BE9914D}</x14:id>
        </ext>
      </extLst>
    </cfRule>
  </conditionalFormatting>
  <conditionalFormatting sqref="C27:D27">
    <cfRule type="dataBar" priority="19">
      <dataBar>
        <cfvo type="min"/>
        <cfvo type="max"/>
        <color rgb="FF008AEF"/>
      </dataBar>
      <extLst>
        <ext xmlns:x14="http://schemas.microsoft.com/office/spreadsheetml/2009/9/main" uri="{B025F937-C7B1-47D3-B67F-A62EFF666E3E}">
          <x14:id>{998DE547-CABD-4D70-94BD-0A2D49551208}</x14:id>
        </ext>
      </extLst>
    </cfRule>
  </conditionalFormatting>
  <conditionalFormatting sqref="C28:D28">
    <cfRule type="dataBar" priority="18">
      <dataBar>
        <cfvo type="min"/>
        <cfvo type="max"/>
        <color rgb="FF008AEF"/>
      </dataBar>
      <extLst>
        <ext xmlns:x14="http://schemas.microsoft.com/office/spreadsheetml/2009/9/main" uri="{B025F937-C7B1-47D3-B67F-A62EFF666E3E}">
          <x14:id>{4C9245A6-C699-4C77-897F-AAE839588B64}</x14:id>
        </ext>
      </extLst>
    </cfRule>
  </conditionalFormatting>
  <conditionalFormatting sqref="C29:D29">
    <cfRule type="dataBar" priority="17">
      <dataBar>
        <cfvo type="min"/>
        <cfvo type="max"/>
        <color rgb="FF008AEF"/>
      </dataBar>
      <extLst>
        <ext xmlns:x14="http://schemas.microsoft.com/office/spreadsheetml/2009/9/main" uri="{B025F937-C7B1-47D3-B67F-A62EFF666E3E}">
          <x14:id>{3E7A928F-B702-497D-BCA7-854A66FA6601}</x14:id>
        </ext>
      </extLst>
    </cfRule>
  </conditionalFormatting>
  <conditionalFormatting sqref="C30:D30">
    <cfRule type="dataBar" priority="16">
      <dataBar>
        <cfvo type="min"/>
        <cfvo type="max"/>
        <color rgb="FF008AEF"/>
      </dataBar>
      <extLst>
        <ext xmlns:x14="http://schemas.microsoft.com/office/spreadsheetml/2009/9/main" uri="{B025F937-C7B1-47D3-B67F-A62EFF666E3E}">
          <x14:id>{78B28083-90C0-4B73-974E-5DDEDA1983FD}</x14:id>
        </ext>
      </extLst>
    </cfRule>
  </conditionalFormatting>
  <conditionalFormatting sqref="C31:D31">
    <cfRule type="dataBar" priority="15">
      <dataBar>
        <cfvo type="min"/>
        <cfvo type="max"/>
        <color rgb="FF008AEF"/>
      </dataBar>
      <extLst>
        <ext xmlns:x14="http://schemas.microsoft.com/office/spreadsheetml/2009/9/main" uri="{B025F937-C7B1-47D3-B67F-A62EFF666E3E}">
          <x14:id>{1B3AEE9D-9238-40B3-9919-1FCF68F715E7}</x14:id>
        </ext>
      </extLst>
    </cfRule>
  </conditionalFormatting>
  <conditionalFormatting sqref="C32:D32">
    <cfRule type="dataBar" priority="14">
      <dataBar>
        <cfvo type="min"/>
        <cfvo type="max"/>
        <color rgb="FF008AEF"/>
      </dataBar>
      <extLst>
        <ext xmlns:x14="http://schemas.microsoft.com/office/spreadsheetml/2009/9/main" uri="{B025F937-C7B1-47D3-B67F-A62EFF666E3E}">
          <x14:id>{F604F9E4-4773-4E5E-B3C5-D99C870766DA}</x14:id>
        </ext>
      </extLst>
    </cfRule>
  </conditionalFormatting>
  <conditionalFormatting sqref="C33:D33">
    <cfRule type="dataBar" priority="13">
      <dataBar>
        <cfvo type="min"/>
        <cfvo type="max"/>
        <color rgb="FF008AEF"/>
      </dataBar>
      <extLst>
        <ext xmlns:x14="http://schemas.microsoft.com/office/spreadsheetml/2009/9/main" uri="{B025F937-C7B1-47D3-B67F-A62EFF666E3E}">
          <x14:id>{7E9B9BE7-86E4-4C8C-9B47-89768A33BE1D}</x14:id>
        </ext>
      </extLst>
    </cfRule>
  </conditionalFormatting>
  <conditionalFormatting sqref="E3:P33">
    <cfRule type="cellIs" dxfId="9"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6AD755F2-C6B7-4F75-B2BD-6A4DFDA7BB72}">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CB6BDCC7-60A3-4466-9F93-C767F9A25EFE}">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782BC13D-2B81-45CC-9391-58E6510AFE9E}">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B5393494-1230-41CD-AAE3-8686D182FB3B}">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1E72D722-30B2-4BAC-8B0E-2AD1B9098492}">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74852041-E6F9-4A44-8D48-9DDDDEB833AB}">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739CC4A3-ED35-4C14-A00F-CECD042D4F72}">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D54C8451-EE02-44D3-AC22-1F316C475E19}">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31FBD4EE-0C60-4858-AD47-388BE4651534}">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6C61B50C-0E91-44E8-B387-7EEFA94EC7F8}">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4AA0F912-FFEF-41E1-BCF9-E171B23365E4}">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F027C829-4D61-42A5-8F5E-183CD9A93D62}">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6C074475-DA3B-41F9-B793-1439CFC14A05}">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A1D336C5-50A3-4FE7-915F-2D0CD36CCDBC}">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7C798900-DF1B-4972-B61E-C60475D0A2F7}">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DF9F0399-923F-49E8-BDB1-BB880FA26A21}">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F3F5EAF1-1FC4-4FDC-BED5-19A86D0E63FB}">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0316A982-1BED-4E48-B5BD-6ABB57A31552}">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9047379C-25B6-4067-A6E1-FDA67C31E093}">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CA3D4550-A674-4308-A46A-6AD5C265683A}">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D2EE780E-4225-4D6C-A91C-010E869EE5C8}">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DAEE7CCF-F4CB-46CB-B4DF-EDA1CABA05D9}">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5173CAED-4583-4185-BEEA-C48963FA053A}">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69EC9F67-1E63-465F-BCAD-14A66BE9914D}">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98DE547-CABD-4D70-94BD-0A2D49551208}">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4C9245A6-C699-4C77-897F-AAE839588B64}">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3E7A928F-B702-497D-BCA7-854A66FA6601}">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78B28083-90C0-4B73-974E-5DDEDA1983FD}">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1B3AEE9D-9238-40B3-9919-1FCF68F715E7}">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F604F9E4-4773-4E5E-B3C5-D99C870766DA}">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7E9B9BE7-86E4-4C8C-9B47-89768A33BE1D}">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61"/>
  <sheetViews>
    <sheetView zoomScale="70" zoomScaleNormal="70" workbookViewId="0">
      <selection activeCell="J5" sqref="J5"/>
    </sheetView>
  </sheetViews>
  <sheetFormatPr baseColWidth="10" defaultColWidth="13.140625" defaultRowHeight="15" x14ac:dyDescent="0.25"/>
  <cols>
    <col min="1" max="1" width="6.85546875" style="2" customWidth="1"/>
    <col min="2" max="2" width="78.140625" style="2" customWidth="1"/>
    <col min="3" max="3" width="13.140625" style="2"/>
    <col min="4" max="4" width="25.7109375" style="2" customWidth="1"/>
    <col min="5" max="9" width="19.7109375" style="2" customWidth="1"/>
    <col min="10" max="16384" width="13.140625" style="2"/>
  </cols>
  <sheetData>
    <row r="1" spans="1:16" ht="61.5" customHeight="1" x14ac:dyDescent="0.25">
      <c r="A1" s="56" t="s">
        <v>1</v>
      </c>
      <c r="B1" s="29" t="s">
        <v>82</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7"/>
      <c r="B2" s="29"/>
      <c r="C2" s="3">
        <v>2026</v>
      </c>
      <c r="D2" s="3" t="s">
        <v>16</v>
      </c>
      <c r="E2" s="30"/>
      <c r="F2" s="30"/>
      <c r="G2" s="30"/>
      <c r="H2" s="30"/>
      <c r="I2" s="30"/>
      <c r="J2" s="30"/>
      <c r="K2" s="30"/>
      <c r="L2" s="30"/>
      <c r="M2" s="30"/>
      <c r="N2" s="30"/>
      <c r="O2" s="30"/>
      <c r="P2" s="30"/>
    </row>
    <row r="3" spans="1:16" ht="81" customHeight="1" x14ac:dyDescent="0.25">
      <c r="A3" s="46" t="s">
        <v>18</v>
      </c>
      <c r="B3" s="11" t="s">
        <v>17</v>
      </c>
      <c r="C3" s="5">
        <v>2</v>
      </c>
      <c r="D3" s="28">
        <f>SUM(E3:P3)</f>
        <v>1</v>
      </c>
      <c r="E3" s="33"/>
      <c r="F3" s="33"/>
      <c r="G3" s="33">
        <v>1</v>
      </c>
      <c r="H3" s="33"/>
      <c r="I3" s="33"/>
      <c r="J3" s="33"/>
      <c r="K3" s="33"/>
      <c r="L3" s="33"/>
      <c r="M3" s="33"/>
      <c r="N3" s="33"/>
      <c r="O3" s="33"/>
      <c r="P3" s="33"/>
    </row>
    <row r="4" spans="1:16" ht="81" customHeight="1" x14ac:dyDescent="0.25">
      <c r="A4" s="47" t="s">
        <v>20</v>
      </c>
      <c r="B4" s="6" t="s">
        <v>19</v>
      </c>
      <c r="C4" s="12">
        <v>2</v>
      </c>
      <c r="D4" s="28">
        <f>SUM(E4:P4)</f>
        <v>1</v>
      </c>
      <c r="E4" s="33">
        <v>0</v>
      </c>
      <c r="F4" s="33">
        <v>0</v>
      </c>
      <c r="G4" s="33">
        <v>0</v>
      </c>
      <c r="H4" s="33">
        <v>0</v>
      </c>
      <c r="I4" s="33"/>
      <c r="J4" s="33">
        <v>1</v>
      </c>
      <c r="K4" s="33"/>
      <c r="L4" s="33"/>
      <c r="M4" s="33"/>
      <c r="N4" s="33"/>
      <c r="O4" s="33"/>
      <c r="P4" s="33"/>
    </row>
    <row r="5" spans="1:16" ht="81" customHeight="1" x14ac:dyDescent="0.25">
      <c r="A5" s="48" t="s">
        <v>18</v>
      </c>
      <c r="B5" s="11" t="s">
        <v>29</v>
      </c>
      <c r="C5" s="36">
        <v>1</v>
      </c>
      <c r="D5" s="28">
        <f>SUM(E5:P5)</f>
        <v>0</v>
      </c>
      <c r="E5" s="33"/>
      <c r="F5" s="33"/>
      <c r="G5" s="33"/>
      <c r="H5" s="33"/>
      <c r="I5" s="33"/>
      <c r="J5" s="33"/>
      <c r="K5" s="33"/>
      <c r="L5" s="33"/>
      <c r="M5" s="33"/>
      <c r="N5" s="33"/>
      <c r="O5" s="33"/>
      <c r="P5" s="33"/>
    </row>
    <row r="6" spans="1:16" ht="81" customHeight="1" x14ac:dyDescent="0.25">
      <c r="A6" s="48" t="s">
        <v>18</v>
      </c>
      <c r="B6" s="11" t="s">
        <v>26</v>
      </c>
      <c r="C6" s="7">
        <v>2</v>
      </c>
      <c r="D6" s="28">
        <f>SUM(E6:P6)</f>
        <v>0</v>
      </c>
      <c r="E6" s="33"/>
      <c r="F6" s="33"/>
      <c r="G6" s="33"/>
      <c r="H6" s="33"/>
      <c r="I6" s="33"/>
      <c r="J6" s="33"/>
      <c r="K6" s="33"/>
      <c r="L6" s="33"/>
      <c r="M6" s="33"/>
      <c r="N6" s="33"/>
      <c r="O6" s="33"/>
      <c r="P6" s="33"/>
    </row>
    <row r="7" spans="1:16" ht="28.5" customHeight="1" x14ac:dyDescent="0.25">
      <c r="A7" s="58" t="s">
        <v>52</v>
      </c>
      <c r="B7" s="39" t="s">
        <v>53</v>
      </c>
      <c r="C7" s="7">
        <v>3</v>
      </c>
      <c r="D7" s="28">
        <f t="shared" ref="D7:D34" si="0">SUM(E7:P7)</f>
        <v>0</v>
      </c>
      <c r="E7" s="33"/>
      <c r="F7" s="33"/>
      <c r="G7" s="33"/>
      <c r="H7" s="33"/>
      <c r="I7" s="33"/>
      <c r="J7" s="33"/>
      <c r="K7" s="33"/>
      <c r="L7" s="33"/>
      <c r="M7" s="33"/>
      <c r="N7" s="33"/>
      <c r="O7" s="33"/>
      <c r="P7" s="33"/>
    </row>
    <row r="8" spans="1:16" ht="28.5" customHeight="1" x14ac:dyDescent="0.25">
      <c r="A8" s="59"/>
      <c r="B8" s="39" t="s">
        <v>54</v>
      </c>
      <c r="C8" s="7">
        <v>3</v>
      </c>
      <c r="D8" s="28">
        <f t="shared" si="0"/>
        <v>0</v>
      </c>
      <c r="E8" s="33"/>
      <c r="F8" s="33"/>
      <c r="G8" s="33"/>
      <c r="H8" s="33"/>
      <c r="I8" s="33"/>
      <c r="J8" s="33"/>
      <c r="K8" s="33"/>
      <c r="L8" s="33"/>
      <c r="M8" s="33"/>
      <c r="N8" s="33"/>
      <c r="O8" s="33"/>
      <c r="P8" s="33"/>
    </row>
    <row r="9" spans="1:16" ht="28.5" customHeight="1" x14ac:dyDescent="0.25">
      <c r="A9" s="59"/>
      <c r="B9" s="39" t="s">
        <v>55</v>
      </c>
      <c r="C9" s="7">
        <v>80</v>
      </c>
      <c r="D9" s="28">
        <f t="shared" si="0"/>
        <v>35</v>
      </c>
      <c r="E9" s="33">
        <v>5</v>
      </c>
      <c r="F9" s="33">
        <v>3</v>
      </c>
      <c r="G9" s="33">
        <v>10</v>
      </c>
      <c r="H9" s="33">
        <v>6</v>
      </c>
      <c r="I9" s="33">
        <v>6</v>
      </c>
      <c r="J9" s="33">
        <v>5</v>
      </c>
      <c r="K9" s="33"/>
      <c r="L9" s="33"/>
      <c r="M9" s="33"/>
      <c r="N9" s="33"/>
      <c r="O9" s="33"/>
      <c r="P9" s="33"/>
    </row>
    <row r="10" spans="1:16" ht="28.5" customHeight="1" x14ac:dyDescent="0.25">
      <c r="A10" s="59"/>
      <c r="B10" s="39" t="s">
        <v>56</v>
      </c>
      <c r="C10" s="7">
        <v>22</v>
      </c>
      <c r="D10" s="28">
        <f t="shared" si="0"/>
        <v>21</v>
      </c>
      <c r="E10" s="33"/>
      <c r="F10" s="33"/>
      <c r="G10" s="33"/>
      <c r="H10" s="33">
        <v>21</v>
      </c>
      <c r="I10" s="33"/>
      <c r="J10" s="33"/>
      <c r="K10" s="33"/>
      <c r="L10" s="33"/>
      <c r="M10" s="33"/>
      <c r="N10" s="33"/>
      <c r="O10" s="33"/>
      <c r="P10" s="33"/>
    </row>
    <row r="11" spans="1:16" ht="28.5" customHeight="1" x14ac:dyDescent="0.25">
      <c r="A11" s="59"/>
      <c r="B11" s="39" t="s">
        <v>57</v>
      </c>
      <c r="C11" s="7">
        <v>0</v>
      </c>
      <c r="D11" s="28">
        <f t="shared" si="0"/>
        <v>0</v>
      </c>
      <c r="E11" s="33"/>
      <c r="F11" s="33"/>
      <c r="G11" s="33"/>
      <c r="H11" s="33"/>
      <c r="I11" s="33"/>
      <c r="J11" s="33"/>
      <c r="K11" s="33"/>
      <c r="L11" s="33"/>
      <c r="M11" s="33"/>
      <c r="N11" s="33"/>
      <c r="O11" s="33"/>
      <c r="P11" s="33"/>
    </row>
    <row r="12" spans="1:16" ht="28.5" customHeight="1" x14ac:dyDescent="0.25">
      <c r="A12" s="59"/>
      <c r="B12" s="39" t="s">
        <v>58</v>
      </c>
      <c r="C12" s="7">
        <v>0</v>
      </c>
      <c r="D12" s="28">
        <f t="shared" si="0"/>
        <v>0</v>
      </c>
      <c r="E12" s="33"/>
      <c r="F12" s="33"/>
      <c r="G12" s="33"/>
      <c r="H12" s="33"/>
      <c r="I12" s="33"/>
      <c r="J12" s="33"/>
      <c r="K12" s="33"/>
      <c r="L12" s="33"/>
      <c r="M12" s="33"/>
      <c r="N12" s="33"/>
      <c r="O12" s="33"/>
      <c r="P12" s="33"/>
    </row>
    <row r="13" spans="1:16" ht="28.5" customHeight="1" x14ac:dyDescent="0.25">
      <c r="A13" s="59"/>
      <c r="B13" s="39" t="s">
        <v>59</v>
      </c>
      <c r="C13" s="7">
        <v>0</v>
      </c>
      <c r="D13" s="28">
        <f t="shared" si="0"/>
        <v>0</v>
      </c>
      <c r="E13" s="33"/>
      <c r="F13" s="33"/>
      <c r="G13" s="33"/>
      <c r="H13" s="33"/>
      <c r="I13" s="33"/>
      <c r="J13" s="33"/>
      <c r="K13" s="33"/>
      <c r="L13" s="33"/>
      <c r="M13" s="33"/>
      <c r="N13" s="33"/>
      <c r="O13" s="33"/>
      <c r="P13" s="33"/>
    </row>
    <row r="14" spans="1:16" ht="28.5" customHeight="1" x14ac:dyDescent="0.25">
      <c r="A14" s="59"/>
      <c r="B14" s="39" t="s">
        <v>60</v>
      </c>
      <c r="C14" s="7">
        <v>0</v>
      </c>
      <c r="D14" s="28">
        <f t="shared" si="0"/>
        <v>0</v>
      </c>
      <c r="E14" s="33"/>
      <c r="F14" s="33"/>
      <c r="G14" s="33"/>
      <c r="H14" s="33"/>
      <c r="I14" s="33"/>
      <c r="J14" s="33"/>
      <c r="K14" s="33"/>
      <c r="L14" s="33"/>
      <c r="M14" s="33"/>
      <c r="N14" s="33"/>
      <c r="O14" s="33"/>
      <c r="P14" s="33"/>
    </row>
    <row r="15" spans="1:16" ht="28.5" customHeight="1" x14ac:dyDescent="0.25">
      <c r="A15" s="59"/>
      <c r="B15" s="39" t="s">
        <v>61</v>
      </c>
      <c r="C15" s="7">
        <v>0</v>
      </c>
      <c r="D15" s="28">
        <f t="shared" si="0"/>
        <v>0</v>
      </c>
      <c r="E15" s="33"/>
      <c r="F15" s="33"/>
      <c r="G15" s="33"/>
      <c r="H15" s="33"/>
      <c r="I15" s="33"/>
      <c r="J15" s="33"/>
      <c r="K15" s="33"/>
      <c r="L15" s="33"/>
      <c r="M15" s="33"/>
      <c r="N15" s="33"/>
      <c r="O15" s="33"/>
      <c r="P15" s="33"/>
    </row>
    <row r="16" spans="1:16" ht="28.5" customHeight="1" x14ac:dyDescent="0.25">
      <c r="A16" s="59"/>
      <c r="B16" s="39" t="s">
        <v>62</v>
      </c>
      <c r="C16" s="7">
        <v>0</v>
      </c>
      <c r="D16" s="28">
        <f t="shared" si="0"/>
        <v>0</v>
      </c>
      <c r="E16" s="33"/>
      <c r="F16" s="33"/>
      <c r="G16" s="33"/>
      <c r="H16" s="33"/>
      <c r="I16" s="33"/>
      <c r="J16" s="33"/>
      <c r="K16" s="33"/>
      <c r="L16" s="33"/>
      <c r="M16" s="33"/>
      <c r="N16" s="33"/>
      <c r="O16" s="33"/>
      <c r="P16" s="33"/>
    </row>
    <row r="17" spans="1:16" ht="28.5" customHeight="1" x14ac:dyDescent="0.25">
      <c r="A17" s="59"/>
      <c r="B17" s="39" t="s">
        <v>63</v>
      </c>
      <c r="C17" s="7">
        <v>0</v>
      </c>
      <c r="D17" s="28">
        <f t="shared" si="0"/>
        <v>0</v>
      </c>
      <c r="E17" s="33"/>
      <c r="F17" s="33"/>
      <c r="G17" s="33"/>
      <c r="H17" s="33"/>
      <c r="I17" s="33"/>
      <c r="J17" s="33"/>
      <c r="K17" s="33"/>
      <c r="L17" s="33"/>
      <c r="M17" s="33"/>
      <c r="N17" s="33"/>
      <c r="O17" s="33"/>
      <c r="P17" s="33"/>
    </row>
    <row r="18" spans="1:16" ht="28.5" customHeight="1" x14ac:dyDescent="0.25">
      <c r="A18" s="59"/>
      <c r="B18" s="39" t="s">
        <v>64</v>
      </c>
      <c r="C18" s="7">
        <v>0</v>
      </c>
      <c r="D18" s="28">
        <f t="shared" si="0"/>
        <v>0</v>
      </c>
      <c r="E18" s="33"/>
      <c r="F18" s="33"/>
      <c r="G18" s="33"/>
      <c r="H18" s="33"/>
      <c r="I18" s="33"/>
      <c r="J18" s="33"/>
      <c r="K18" s="33"/>
      <c r="L18" s="33"/>
      <c r="M18" s="33"/>
      <c r="N18" s="33"/>
      <c r="O18" s="33"/>
      <c r="P18" s="33"/>
    </row>
    <row r="19" spans="1:16" ht="28.5" customHeight="1" x14ac:dyDescent="0.25">
      <c r="A19" s="59"/>
      <c r="B19" s="39" t="s">
        <v>65</v>
      </c>
      <c r="C19" s="7">
        <v>0</v>
      </c>
      <c r="D19" s="28">
        <f t="shared" si="0"/>
        <v>0</v>
      </c>
      <c r="E19" s="33"/>
      <c r="F19" s="33"/>
      <c r="G19" s="33"/>
      <c r="H19" s="33"/>
      <c r="I19" s="33"/>
      <c r="J19" s="33"/>
      <c r="K19" s="33"/>
      <c r="L19" s="33"/>
      <c r="M19" s="33"/>
      <c r="N19" s="33"/>
      <c r="O19" s="33"/>
      <c r="P19" s="33"/>
    </row>
    <row r="20" spans="1:16" ht="28.5" customHeight="1" x14ac:dyDescent="0.25">
      <c r="A20" s="59"/>
      <c r="B20" s="39" t="s">
        <v>66</v>
      </c>
      <c r="C20" s="7">
        <v>0</v>
      </c>
      <c r="D20" s="28">
        <f t="shared" si="0"/>
        <v>0</v>
      </c>
      <c r="E20" s="33"/>
      <c r="F20" s="33"/>
      <c r="G20" s="33"/>
      <c r="H20" s="33"/>
      <c r="I20" s="33"/>
      <c r="J20" s="33"/>
      <c r="K20" s="33"/>
      <c r="L20" s="33"/>
      <c r="M20" s="33"/>
      <c r="N20" s="33"/>
      <c r="O20" s="33"/>
      <c r="P20" s="33"/>
    </row>
    <row r="21" spans="1:16" ht="28.5" customHeight="1" x14ac:dyDescent="0.25">
      <c r="A21" s="59"/>
      <c r="B21" s="39" t="s">
        <v>67</v>
      </c>
      <c r="C21" s="7">
        <v>164</v>
      </c>
      <c r="D21" s="28">
        <f t="shared" si="0"/>
        <v>77</v>
      </c>
      <c r="E21" s="33">
        <v>12</v>
      </c>
      <c r="F21" s="33">
        <v>20</v>
      </c>
      <c r="G21" s="33">
        <v>9</v>
      </c>
      <c r="H21" s="33">
        <v>13</v>
      </c>
      <c r="I21" s="33">
        <v>20</v>
      </c>
      <c r="J21" s="33">
        <v>3</v>
      </c>
      <c r="K21" s="33"/>
      <c r="L21" s="33"/>
      <c r="M21" s="33"/>
      <c r="N21" s="33"/>
      <c r="O21" s="33"/>
      <c r="P21" s="33"/>
    </row>
    <row r="22" spans="1:16" ht="28.5" customHeight="1" x14ac:dyDescent="0.25">
      <c r="A22" s="59"/>
      <c r="B22" s="39" t="s">
        <v>68</v>
      </c>
      <c r="C22" s="7">
        <v>0</v>
      </c>
      <c r="D22" s="28">
        <f t="shared" si="0"/>
        <v>0</v>
      </c>
      <c r="E22" s="33"/>
      <c r="F22" s="33"/>
      <c r="G22" s="33"/>
      <c r="H22" s="33"/>
      <c r="I22" s="33"/>
      <c r="J22" s="33"/>
      <c r="K22" s="33"/>
      <c r="L22" s="33"/>
      <c r="M22" s="33"/>
      <c r="N22" s="33"/>
      <c r="O22" s="33"/>
      <c r="P22" s="33"/>
    </row>
    <row r="23" spans="1:16" ht="24" customHeight="1" x14ac:dyDescent="0.25">
      <c r="A23" s="59"/>
      <c r="B23" s="41" t="s">
        <v>69</v>
      </c>
      <c r="C23" s="7">
        <v>6</v>
      </c>
      <c r="D23" s="28">
        <f t="shared" si="0"/>
        <v>6</v>
      </c>
      <c r="E23" s="33"/>
      <c r="F23" s="33"/>
      <c r="G23" s="33">
        <v>5</v>
      </c>
      <c r="H23" s="33">
        <v>1</v>
      </c>
      <c r="I23" s="33"/>
      <c r="J23" s="33"/>
      <c r="K23" s="33"/>
      <c r="L23" s="33"/>
      <c r="M23" s="33"/>
      <c r="N23" s="33"/>
      <c r="O23" s="33"/>
      <c r="P23" s="33"/>
    </row>
    <row r="24" spans="1:16" ht="24" customHeight="1" x14ac:dyDescent="0.25">
      <c r="A24" s="59"/>
      <c r="B24" s="41" t="s">
        <v>70</v>
      </c>
      <c r="C24" s="7">
        <v>6</v>
      </c>
      <c r="D24" s="28">
        <f t="shared" si="0"/>
        <v>6</v>
      </c>
      <c r="E24" s="33"/>
      <c r="F24" s="33"/>
      <c r="G24" s="33"/>
      <c r="H24" s="33">
        <v>6</v>
      </c>
      <c r="I24" s="33"/>
      <c r="J24" s="33"/>
      <c r="K24" s="33"/>
      <c r="L24" s="33"/>
      <c r="M24" s="33"/>
      <c r="N24" s="33"/>
      <c r="O24" s="33"/>
      <c r="P24" s="33"/>
    </row>
    <row r="25" spans="1:16" ht="24" customHeight="1" x14ac:dyDescent="0.25">
      <c r="A25" s="59"/>
      <c r="B25" s="41" t="s">
        <v>71</v>
      </c>
      <c r="C25" s="7">
        <v>6</v>
      </c>
      <c r="D25" s="28">
        <f t="shared" si="0"/>
        <v>0</v>
      </c>
      <c r="E25" s="33"/>
      <c r="F25" s="33"/>
      <c r="G25" s="33"/>
      <c r="H25" s="33"/>
      <c r="I25" s="33"/>
      <c r="J25" s="33"/>
      <c r="K25" s="33"/>
      <c r="L25" s="33"/>
      <c r="M25" s="33"/>
      <c r="N25" s="33"/>
      <c r="O25" s="33"/>
      <c r="P25" s="33"/>
    </row>
    <row r="26" spans="1:16" ht="24" customHeight="1" x14ac:dyDescent="0.25">
      <c r="A26" s="59"/>
      <c r="B26" s="41" t="s">
        <v>72</v>
      </c>
      <c r="C26" s="7">
        <v>6</v>
      </c>
      <c r="D26" s="28">
        <f t="shared" si="0"/>
        <v>0</v>
      </c>
      <c r="E26" s="33"/>
      <c r="F26" s="33"/>
      <c r="G26" s="33"/>
      <c r="H26" s="33"/>
      <c r="I26" s="33"/>
      <c r="J26" s="33"/>
      <c r="K26" s="33"/>
      <c r="L26" s="33"/>
      <c r="M26" s="33"/>
      <c r="N26" s="33"/>
      <c r="O26" s="33"/>
      <c r="P26" s="33"/>
    </row>
    <row r="27" spans="1:16" ht="24" customHeight="1" x14ac:dyDescent="0.25">
      <c r="A27" s="59"/>
      <c r="B27" s="41" t="s">
        <v>73</v>
      </c>
      <c r="C27" s="7">
        <v>6</v>
      </c>
      <c r="D27" s="28">
        <f t="shared" si="0"/>
        <v>0</v>
      </c>
      <c r="E27" s="33"/>
      <c r="F27" s="33"/>
      <c r="G27" s="33"/>
      <c r="H27" s="33"/>
      <c r="I27" s="33"/>
      <c r="J27" s="33"/>
      <c r="K27" s="33"/>
      <c r="L27" s="33"/>
      <c r="M27" s="33"/>
      <c r="N27" s="33"/>
      <c r="O27" s="33"/>
      <c r="P27" s="33"/>
    </row>
    <row r="28" spans="1:16" ht="24" customHeight="1" x14ac:dyDescent="0.25">
      <c r="A28" s="59"/>
      <c r="B28" s="41" t="s">
        <v>74</v>
      </c>
      <c r="C28" s="7">
        <v>1</v>
      </c>
      <c r="D28" s="28">
        <f t="shared" si="0"/>
        <v>0</v>
      </c>
      <c r="E28" s="33"/>
      <c r="F28" s="33"/>
      <c r="G28" s="33"/>
      <c r="H28" s="33"/>
      <c r="I28" s="33"/>
      <c r="J28" s="33"/>
      <c r="K28" s="33"/>
      <c r="L28" s="33"/>
      <c r="M28" s="33"/>
      <c r="N28" s="33"/>
      <c r="O28" s="33"/>
      <c r="P28" s="33"/>
    </row>
    <row r="29" spans="1:16" ht="24" customHeight="1" x14ac:dyDescent="0.25">
      <c r="A29" s="59"/>
      <c r="B29" s="41" t="s">
        <v>75</v>
      </c>
      <c r="C29" s="7">
        <v>1</v>
      </c>
      <c r="D29" s="28">
        <f t="shared" si="0"/>
        <v>0</v>
      </c>
      <c r="E29" s="33"/>
      <c r="F29" s="33"/>
      <c r="G29" s="33"/>
      <c r="H29" s="33"/>
      <c r="I29" s="33"/>
      <c r="J29" s="33"/>
      <c r="K29" s="33"/>
      <c r="L29" s="33"/>
      <c r="M29" s="33"/>
      <c r="N29" s="33"/>
      <c r="O29" s="33"/>
      <c r="P29" s="33"/>
    </row>
    <row r="30" spans="1:16" ht="24" customHeight="1" x14ac:dyDescent="0.25">
      <c r="A30" s="59"/>
      <c r="B30" s="41" t="s">
        <v>76</v>
      </c>
      <c r="C30" s="7">
        <v>1</v>
      </c>
      <c r="D30" s="28">
        <f t="shared" si="0"/>
        <v>0</v>
      </c>
      <c r="E30" s="33"/>
      <c r="F30" s="33"/>
      <c r="G30" s="33"/>
      <c r="H30" s="33"/>
      <c r="I30" s="33"/>
      <c r="J30" s="33"/>
      <c r="K30" s="33"/>
      <c r="L30" s="33"/>
      <c r="M30" s="33"/>
      <c r="N30" s="33"/>
      <c r="O30" s="33"/>
      <c r="P30" s="33"/>
    </row>
    <row r="31" spans="1:16" ht="24" customHeight="1" x14ac:dyDescent="0.25">
      <c r="A31" s="59"/>
      <c r="B31" s="41" t="s">
        <v>77</v>
      </c>
      <c r="C31" s="7">
        <v>1</v>
      </c>
      <c r="D31" s="28">
        <f t="shared" si="0"/>
        <v>0</v>
      </c>
      <c r="E31" s="33"/>
      <c r="F31" s="33"/>
      <c r="G31" s="33"/>
      <c r="H31" s="33"/>
      <c r="I31" s="33"/>
      <c r="J31" s="33"/>
      <c r="K31" s="33"/>
      <c r="L31" s="33"/>
      <c r="M31" s="33"/>
      <c r="N31" s="33"/>
      <c r="O31" s="33"/>
      <c r="P31" s="33"/>
    </row>
    <row r="32" spans="1:16" ht="24" customHeight="1" x14ac:dyDescent="0.25">
      <c r="A32" s="59"/>
      <c r="B32" s="41" t="s">
        <v>78</v>
      </c>
      <c r="C32" s="7">
        <v>1</v>
      </c>
      <c r="D32" s="28">
        <f t="shared" si="0"/>
        <v>0</v>
      </c>
      <c r="E32" s="33"/>
      <c r="F32" s="33"/>
      <c r="G32" s="33"/>
      <c r="H32" s="33"/>
      <c r="I32" s="33"/>
      <c r="J32" s="33"/>
      <c r="K32" s="33"/>
      <c r="L32" s="33"/>
      <c r="M32" s="33"/>
      <c r="N32" s="33"/>
      <c r="O32" s="33"/>
      <c r="P32" s="33"/>
    </row>
    <row r="33" spans="1:16" ht="24" customHeight="1" x14ac:dyDescent="0.25">
      <c r="A33" s="59"/>
      <c r="B33" s="41" t="s">
        <v>79</v>
      </c>
      <c r="C33" s="7">
        <v>1</v>
      </c>
      <c r="D33" s="28">
        <f t="shared" si="0"/>
        <v>0</v>
      </c>
      <c r="E33" s="33"/>
      <c r="F33" s="33"/>
      <c r="G33" s="33"/>
      <c r="H33" s="33"/>
      <c r="I33" s="33"/>
      <c r="J33" s="33"/>
      <c r="K33" s="33"/>
      <c r="L33" s="33"/>
      <c r="M33" s="33"/>
      <c r="N33" s="33"/>
      <c r="O33" s="33"/>
      <c r="P33" s="33"/>
    </row>
    <row r="34" spans="1:16" ht="24" customHeight="1" thickBot="1" x14ac:dyDescent="0.3">
      <c r="A34" s="60"/>
      <c r="B34" s="42" t="s">
        <v>80</v>
      </c>
      <c r="C34" s="7">
        <v>1</v>
      </c>
      <c r="D34" s="28">
        <f t="shared" si="0"/>
        <v>0</v>
      </c>
      <c r="E34" s="33"/>
      <c r="F34" s="33"/>
      <c r="G34" s="33"/>
      <c r="H34" s="33"/>
      <c r="I34" s="33"/>
      <c r="J34" s="33"/>
      <c r="K34" s="33"/>
      <c r="L34" s="33"/>
      <c r="M34" s="33"/>
      <c r="N34" s="33"/>
      <c r="O34" s="33"/>
      <c r="P34" s="33"/>
    </row>
    <row r="35" spans="1:16" x14ac:dyDescent="0.25">
      <c r="C35" s="43">
        <f>SUM(C3:C34)</f>
        <v>316</v>
      </c>
      <c r="D35" s="44">
        <f>SUM(D3:D34)</f>
        <v>147</v>
      </c>
    </row>
    <row r="36" spans="1:16" x14ac:dyDescent="0.25">
      <c r="C36" s="45"/>
      <c r="D36" s="9">
        <f>D35/C35</f>
        <v>0.4651898734177215</v>
      </c>
    </row>
    <row r="45" spans="1:16" ht="15.75" x14ac:dyDescent="0.25">
      <c r="C45" s="52"/>
    </row>
    <row r="46" spans="1:16" x14ac:dyDescent="0.25">
      <c r="C46" s="8"/>
    </row>
    <row r="47" spans="1:16" x14ac:dyDescent="0.25">
      <c r="C47" s="8"/>
    </row>
    <row r="48" spans="1:16"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row r="55" spans="3:3" x14ac:dyDescent="0.25">
      <c r="C55" s="8"/>
    </row>
    <row r="56" spans="3:3" x14ac:dyDescent="0.25">
      <c r="C56" s="8"/>
    </row>
    <row r="57" spans="3:3" x14ac:dyDescent="0.25">
      <c r="C57" s="8"/>
    </row>
    <row r="58" spans="3:3" x14ac:dyDescent="0.25">
      <c r="C58" s="8"/>
    </row>
    <row r="59" spans="3:3" x14ac:dyDescent="0.25">
      <c r="C59" s="8"/>
    </row>
    <row r="60" spans="3:3" x14ac:dyDescent="0.25">
      <c r="C60" s="8"/>
    </row>
    <row r="61" spans="3:3" x14ac:dyDescent="0.25">
      <c r="C61" s="8"/>
    </row>
  </sheetData>
  <sheetProtection algorithmName="SHA-512" hashValue="Noh5ODGrJvWA2JlZQR7v9OGjcZ1/Aef4jvwAA4xp0rlDX9WWGqZRT8WoxcJ9UCMOktuzScuFT3P9GS7u3FiJFg==" saltValue="K722bYvY7Ku1dewCWVeB0Q==" spinCount="100000" sheet="1" objects="1" scenarios="1" autoFilter="0"/>
  <mergeCells count="2">
    <mergeCell ref="A1:A2"/>
    <mergeCell ref="A7:A34"/>
  </mergeCells>
  <conditionalFormatting sqref="C45">
    <cfRule type="duplicateValues" dxfId="8" priority="1"/>
  </conditionalFormatting>
  <conditionalFormatting sqref="C3:D3 D4:D6">
    <cfRule type="dataBar" priority="47">
      <dataBar>
        <cfvo type="min"/>
        <cfvo type="max"/>
        <color rgb="FF008AEF"/>
      </dataBar>
      <extLst>
        <ext xmlns:x14="http://schemas.microsoft.com/office/spreadsheetml/2009/9/main" uri="{B025F937-C7B1-47D3-B67F-A62EFF666E3E}">
          <x14:id>{1D8B61FE-719E-4DCB-84D9-C814DB6BDB8F}</x14:id>
        </ext>
      </extLst>
    </cfRule>
  </conditionalFormatting>
  <conditionalFormatting sqref="C4:D4">
    <cfRule type="dataBar" priority="7">
      <dataBar>
        <cfvo type="min"/>
        <cfvo type="max"/>
        <color rgb="FF008AEF"/>
      </dataBar>
      <extLst>
        <ext xmlns:x14="http://schemas.microsoft.com/office/spreadsheetml/2009/9/main" uri="{B025F937-C7B1-47D3-B67F-A62EFF666E3E}">
          <x14:id>{EC5D88EB-819A-4AEC-AAE7-4A766F13178C}</x14:id>
        </ext>
      </extLst>
    </cfRule>
  </conditionalFormatting>
  <conditionalFormatting sqref="C5:D5">
    <cfRule type="dataBar" priority="8">
      <dataBar>
        <cfvo type="min"/>
        <cfvo type="max"/>
        <color rgb="FF008AEF"/>
      </dataBar>
      <extLst>
        <ext xmlns:x14="http://schemas.microsoft.com/office/spreadsheetml/2009/9/main" uri="{B025F937-C7B1-47D3-B67F-A62EFF666E3E}">
          <x14:id>{E0ACB6F7-C2D1-4E2E-89E6-A12C63B23A4C}</x14:id>
        </ext>
      </extLst>
    </cfRule>
  </conditionalFormatting>
  <conditionalFormatting sqref="C6:D6">
    <cfRule type="dataBar" priority="9">
      <dataBar>
        <cfvo type="min"/>
        <cfvo type="max"/>
        <color rgb="FF008AEF"/>
      </dataBar>
      <extLst>
        <ext xmlns:x14="http://schemas.microsoft.com/office/spreadsheetml/2009/9/main" uri="{B025F937-C7B1-47D3-B67F-A62EFF666E3E}">
          <x14:id>{6188E0A5-9CEE-4743-AF68-18F1F3EAA720}</x14:id>
        </ext>
      </extLst>
    </cfRule>
  </conditionalFormatting>
  <conditionalFormatting sqref="C7:D7">
    <cfRule type="dataBar" priority="15">
      <dataBar>
        <cfvo type="min"/>
        <cfvo type="max"/>
        <color rgb="FF008AEF"/>
      </dataBar>
      <extLst>
        <ext xmlns:x14="http://schemas.microsoft.com/office/spreadsheetml/2009/9/main" uri="{B025F937-C7B1-47D3-B67F-A62EFF666E3E}">
          <x14:id>{7FDFDEA1-F1CF-4AEB-A89B-DEF9D013E1BE}</x14:id>
        </ext>
      </extLst>
    </cfRule>
  </conditionalFormatting>
  <conditionalFormatting sqref="C8:D8">
    <cfRule type="dataBar" priority="42">
      <dataBar>
        <cfvo type="min"/>
        <cfvo type="max"/>
        <color rgb="FF008AEF"/>
      </dataBar>
      <extLst>
        <ext xmlns:x14="http://schemas.microsoft.com/office/spreadsheetml/2009/9/main" uri="{B025F937-C7B1-47D3-B67F-A62EFF666E3E}">
          <x14:id>{5FD5F007-50B5-42C6-BA34-2204800D8F49}</x14:id>
        </ext>
      </extLst>
    </cfRule>
  </conditionalFormatting>
  <conditionalFormatting sqref="C9:D9">
    <cfRule type="dataBar" priority="41">
      <dataBar>
        <cfvo type="min"/>
        <cfvo type="max"/>
        <color rgb="FF008AEF"/>
      </dataBar>
      <extLst>
        <ext xmlns:x14="http://schemas.microsoft.com/office/spreadsheetml/2009/9/main" uri="{B025F937-C7B1-47D3-B67F-A62EFF666E3E}">
          <x14:id>{8DB892BC-A991-4D92-9F7B-42AD13B1C716}</x14:id>
        </ext>
      </extLst>
    </cfRule>
  </conditionalFormatting>
  <conditionalFormatting sqref="C10:D10">
    <cfRule type="dataBar" priority="40">
      <dataBar>
        <cfvo type="min"/>
        <cfvo type="max"/>
        <color rgb="FF008AEF"/>
      </dataBar>
      <extLst>
        <ext xmlns:x14="http://schemas.microsoft.com/office/spreadsheetml/2009/9/main" uri="{B025F937-C7B1-47D3-B67F-A62EFF666E3E}">
          <x14:id>{FE5B7455-1F81-4445-BA7D-B76C554B4AF5}</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{BE69C4C7-EEA6-4556-A947-4B75CB9E33F5}</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{03C2FF54-2EAB-4C9A-A331-72156042BA1A}</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{0FE85613-75D3-433B-AEC2-A4E434692C54}</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{C570A221-CF40-4901-A6B0-376B52C6F772}</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{46D9A2B7-62C5-4F7F-98D0-CB9BE4BB6BE1}</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{F607E08A-527B-4BEB-9C73-A110DD8C03A3}</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{0541D199-5673-4EB7-AEB9-6CCCEB2D7BEC}</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{39B5ECCC-5E21-473D-80D8-2D3EE6C7D5F0}</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{975FA8DD-B78B-4E86-B680-203F7C58F1E8}</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{E3AF2039-2170-4D90-9CA4-D734C01016A3}</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{1A00602F-77A4-4B7C-8A09-97C8B6FB885E}</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{EF2E4D7A-D50F-450D-A294-E5DFC2EC353A}</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{A96C3AAE-A5B4-4344-BFA6-CEA2E5E22426}</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{6113F436-CBDC-4883-9B9F-D6F3A1681D1E}</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{6E3A88B2-8106-4597-9447-E1A4F5D3FEE0}</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{7F9157C2-98AB-425C-98B4-D92198EB320A}</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{CA09AA81-0C7C-46EC-B85A-FB9A89BBAED7}</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{043D8B5C-10A4-4609-A5CB-D1CB48F85E1A}</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{F913B356-AD9D-4AE4-9E0E-EFC4E5ACCB78}</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{A7FD64BF-BAEC-4352-B558-67E9E0D9D8DB}</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{03406298-440F-4888-8E3F-1F0EB299A537}</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{08102B36-DE83-4445-938B-17FC988D2B11}</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{8353AC4C-95CE-4A92-B5B7-9FA3B8363071}</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{B1B5C6B9-F0DB-40AA-95E6-5063FF96E304}</x14:id>
        </ext>
      </extLst>
    </cfRule>
  </conditionalFormatting>
  <conditionalFormatting sqref="E3:P34">
    <cfRule type="cellIs" dxfId="7" priority="4"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1D8B61FE-719E-4DCB-84D9-C814DB6BDB8F}">
            <x14:dataBar minLength="0" maxLength="100" gradient="0">
              <x14:cfvo type="autoMin"/>
              <x14:cfvo type="autoMax"/>
              <x14:negativeFillColor rgb="FFFF0000"/>
              <x14:axisColor rgb="FF000000"/>
            </x14:dataBar>
          </x14:cfRule>
          <xm:sqref>C3:D3 D4:D6</xm:sqref>
        </x14:conditionalFormatting>
        <x14:conditionalFormatting xmlns:xm="http://schemas.microsoft.com/office/excel/2006/main">
          <x14:cfRule type="dataBar" id="{EC5D88EB-819A-4AEC-AAE7-4A766F13178C}">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E0ACB6F7-C2D1-4E2E-89E6-A12C63B23A4C}">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6188E0A5-9CEE-4743-AF68-18F1F3EAA720}">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7FDFDEA1-F1CF-4AEB-A89B-DEF9D013E1BE}">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5FD5F007-50B5-42C6-BA34-2204800D8F49}">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8DB892BC-A991-4D92-9F7B-42AD13B1C71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FE5B7455-1F81-4445-BA7D-B76C554B4AF5}">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BE69C4C7-EEA6-4556-A947-4B75CB9E33F5}">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03C2FF54-2EAB-4C9A-A331-72156042BA1A}">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0FE85613-75D3-433B-AEC2-A4E434692C54}">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C570A221-CF40-4901-A6B0-376B52C6F772}">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46D9A2B7-62C5-4F7F-98D0-CB9BE4BB6BE1}">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F607E08A-527B-4BEB-9C73-A110DD8C03A3}">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0541D199-5673-4EB7-AEB9-6CCCEB2D7BEC}">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39B5ECCC-5E21-473D-80D8-2D3EE6C7D5F0}">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975FA8DD-B78B-4E86-B680-203F7C58F1E8}">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E3AF2039-2170-4D90-9CA4-D734C01016A3}">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1A00602F-77A4-4B7C-8A09-97C8B6FB885E}">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EF2E4D7A-D50F-450D-A294-E5DFC2EC353A}">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A96C3AAE-A5B4-4344-BFA6-CEA2E5E22426}">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6113F436-CBDC-4883-9B9F-D6F3A1681D1E}">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6E3A88B2-8106-4597-9447-E1A4F5D3FEE0}">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7F9157C2-98AB-425C-98B4-D92198EB320A}">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A09AA81-0C7C-46EC-B85A-FB9A89BBAED7}">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043D8B5C-10A4-4609-A5CB-D1CB48F85E1A}">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F913B356-AD9D-4AE4-9E0E-EFC4E5ACCB78}">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A7FD64BF-BAEC-4352-B558-67E9E0D9D8DB}">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03406298-440F-4888-8E3F-1F0EB299A537}">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08102B36-DE83-4445-938B-17FC988D2B11}">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8353AC4C-95CE-4A92-B5B7-9FA3B8363071}">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B1B5C6B9-F0DB-40AA-95E6-5063FF96E304}">
            <x14:dataBar minLength="0" maxLength="100" gradient="0">
              <x14:cfvo type="autoMin"/>
              <x14:cfvo type="autoMax"/>
              <x14:negativeFillColor rgb="FFFF0000"/>
              <x14:axisColor rgb="FF000000"/>
            </x14:dataBar>
          </x14:cfRule>
          <xm:sqref>C34:D34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P54"/>
  <sheetViews>
    <sheetView zoomScale="70" zoomScaleNormal="70" zoomScaleSheetLayoutView="100" workbookViewId="0">
      <selection activeCell="H12" sqref="H12"/>
    </sheetView>
  </sheetViews>
  <sheetFormatPr baseColWidth="10" defaultColWidth="13.140625" defaultRowHeight="15" x14ac:dyDescent="0.25"/>
  <cols>
    <col min="1" max="1" width="8.140625" style="2" customWidth="1"/>
    <col min="2" max="2" width="67.85546875" style="2" customWidth="1"/>
    <col min="3" max="3" width="13.140625" style="2"/>
    <col min="4" max="4" width="25.7109375" style="2" customWidth="1"/>
    <col min="5" max="8" width="19.7109375" style="2" customWidth="1"/>
    <col min="9" max="255" width="13.140625" style="2"/>
    <col min="256" max="256" width="103.5703125" style="2" customWidth="1"/>
    <col min="257" max="257" width="26.85546875" style="2" customWidth="1"/>
    <col min="258" max="258" width="13.140625" style="2"/>
    <col min="259" max="259" width="25.7109375" style="2" customWidth="1"/>
    <col min="260" max="264" width="19.7109375" style="2" customWidth="1"/>
    <col min="265" max="511" width="13.140625" style="2"/>
    <col min="512" max="512" width="103.5703125" style="2" customWidth="1"/>
    <col min="513" max="513" width="26.85546875" style="2" customWidth="1"/>
    <col min="514" max="514" width="13.140625" style="2"/>
    <col min="515" max="515" width="25.7109375" style="2" customWidth="1"/>
    <col min="516" max="520" width="19.7109375" style="2" customWidth="1"/>
    <col min="521" max="767" width="13.140625" style="2"/>
    <col min="768" max="768" width="103.5703125" style="2" customWidth="1"/>
    <col min="769" max="769" width="26.85546875" style="2" customWidth="1"/>
    <col min="770" max="770" width="13.140625" style="2"/>
    <col min="771" max="771" width="25.7109375" style="2" customWidth="1"/>
    <col min="772" max="776" width="19.7109375" style="2" customWidth="1"/>
    <col min="777" max="1023" width="13.140625" style="2"/>
    <col min="1024" max="1024" width="103.5703125" style="2" customWidth="1"/>
    <col min="1025" max="1025" width="26.85546875" style="2" customWidth="1"/>
    <col min="1026" max="1026" width="13.140625" style="2"/>
    <col min="1027" max="1027" width="25.7109375" style="2" customWidth="1"/>
    <col min="1028" max="1032" width="19.7109375" style="2" customWidth="1"/>
    <col min="1033" max="1279" width="13.140625" style="2"/>
    <col min="1280" max="1280" width="103.5703125" style="2" customWidth="1"/>
    <col min="1281" max="1281" width="26.85546875" style="2" customWidth="1"/>
    <col min="1282" max="1282" width="13.140625" style="2"/>
    <col min="1283" max="1283" width="25.7109375" style="2" customWidth="1"/>
    <col min="1284" max="1288" width="19.7109375" style="2" customWidth="1"/>
    <col min="1289" max="1535" width="13.140625" style="2"/>
    <col min="1536" max="1536" width="103.5703125" style="2" customWidth="1"/>
    <col min="1537" max="1537" width="26.85546875" style="2" customWidth="1"/>
    <col min="1538" max="1538" width="13.140625" style="2"/>
    <col min="1539" max="1539" width="25.7109375" style="2" customWidth="1"/>
    <col min="1540" max="1544" width="19.7109375" style="2" customWidth="1"/>
    <col min="1545" max="1791" width="13.140625" style="2"/>
    <col min="1792" max="1792" width="103.5703125" style="2" customWidth="1"/>
    <col min="1793" max="1793" width="26.85546875" style="2" customWidth="1"/>
    <col min="1794" max="1794" width="13.140625" style="2"/>
    <col min="1795" max="1795" width="25.7109375" style="2" customWidth="1"/>
    <col min="1796" max="1800" width="19.7109375" style="2" customWidth="1"/>
    <col min="1801" max="2047" width="13.140625" style="2"/>
    <col min="2048" max="2048" width="103.5703125" style="2" customWidth="1"/>
    <col min="2049" max="2049" width="26.85546875" style="2" customWidth="1"/>
    <col min="2050" max="2050" width="13.140625" style="2"/>
    <col min="2051" max="2051" width="25.7109375" style="2" customWidth="1"/>
    <col min="2052" max="2056" width="19.7109375" style="2" customWidth="1"/>
    <col min="2057" max="2303" width="13.140625" style="2"/>
    <col min="2304" max="2304" width="103.5703125" style="2" customWidth="1"/>
    <col min="2305" max="2305" width="26.85546875" style="2" customWidth="1"/>
    <col min="2306" max="2306" width="13.140625" style="2"/>
    <col min="2307" max="2307" width="25.7109375" style="2" customWidth="1"/>
    <col min="2308" max="2312" width="19.7109375" style="2" customWidth="1"/>
    <col min="2313" max="2559" width="13.140625" style="2"/>
    <col min="2560" max="2560" width="103.5703125" style="2" customWidth="1"/>
    <col min="2561" max="2561" width="26.85546875" style="2" customWidth="1"/>
    <col min="2562" max="2562" width="13.140625" style="2"/>
    <col min="2563" max="2563" width="25.7109375" style="2" customWidth="1"/>
    <col min="2564" max="2568" width="19.7109375" style="2" customWidth="1"/>
    <col min="2569" max="2815" width="13.140625" style="2"/>
    <col min="2816" max="2816" width="103.5703125" style="2" customWidth="1"/>
    <col min="2817" max="2817" width="26.85546875" style="2" customWidth="1"/>
    <col min="2818" max="2818" width="13.140625" style="2"/>
    <col min="2819" max="2819" width="25.7109375" style="2" customWidth="1"/>
    <col min="2820" max="2824" width="19.7109375" style="2" customWidth="1"/>
    <col min="2825" max="3071" width="13.140625" style="2"/>
    <col min="3072" max="3072" width="103.5703125" style="2" customWidth="1"/>
    <col min="3073" max="3073" width="26.85546875" style="2" customWidth="1"/>
    <col min="3074" max="3074" width="13.140625" style="2"/>
    <col min="3075" max="3075" width="25.7109375" style="2" customWidth="1"/>
    <col min="3076" max="3080" width="19.7109375" style="2" customWidth="1"/>
    <col min="3081" max="3327" width="13.140625" style="2"/>
    <col min="3328" max="3328" width="103.5703125" style="2" customWidth="1"/>
    <col min="3329" max="3329" width="26.85546875" style="2" customWidth="1"/>
    <col min="3330" max="3330" width="13.140625" style="2"/>
    <col min="3331" max="3331" width="25.7109375" style="2" customWidth="1"/>
    <col min="3332" max="3336" width="19.7109375" style="2" customWidth="1"/>
    <col min="3337" max="3583" width="13.140625" style="2"/>
    <col min="3584" max="3584" width="103.5703125" style="2" customWidth="1"/>
    <col min="3585" max="3585" width="26.85546875" style="2" customWidth="1"/>
    <col min="3586" max="3586" width="13.140625" style="2"/>
    <col min="3587" max="3587" width="25.7109375" style="2" customWidth="1"/>
    <col min="3588" max="3592" width="19.7109375" style="2" customWidth="1"/>
    <col min="3593" max="3839" width="13.140625" style="2"/>
    <col min="3840" max="3840" width="103.5703125" style="2" customWidth="1"/>
    <col min="3841" max="3841" width="26.85546875" style="2" customWidth="1"/>
    <col min="3842" max="3842" width="13.140625" style="2"/>
    <col min="3843" max="3843" width="25.7109375" style="2" customWidth="1"/>
    <col min="3844" max="3848" width="19.7109375" style="2" customWidth="1"/>
    <col min="3849" max="4095" width="13.140625" style="2"/>
    <col min="4096" max="4096" width="103.5703125" style="2" customWidth="1"/>
    <col min="4097" max="4097" width="26.85546875" style="2" customWidth="1"/>
    <col min="4098" max="4098" width="13.140625" style="2"/>
    <col min="4099" max="4099" width="25.7109375" style="2" customWidth="1"/>
    <col min="4100" max="4104" width="19.7109375" style="2" customWidth="1"/>
    <col min="4105" max="4351" width="13.140625" style="2"/>
    <col min="4352" max="4352" width="103.5703125" style="2" customWidth="1"/>
    <col min="4353" max="4353" width="26.85546875" style="2" customWidth="1"/>
    <col min="4354" max="4354" width="13.140625" style="2"/>
    <col min="4355" max="4355" width="25.7109375" style="2" customWidth="1"/>
    <col min="4356" max="4360" width="19.7109375" style="2" customWidth="1"/>
    <col min="4361" max="4607" width="13.140625" style="2"/>
    <col min="4608" max="4608" width="103.5703125" style="2" customWidth="1"/>
    <col min="4609" max="4609" width="26.85546875" style="2" customWidth="1"/>
    <col min="4610" max="4610" width="13.140625" style="2"/>
    <col min="4611" max="4611" width="25.7109375" style="2" customWidth="1"/>
    <col min="4612" max="4616" width="19.7109375" style="2" customWidth="1"/>
    <col min="4617" max="4863" width="13.140625" style="2"/>
    <col min="4864" max="4864" width="103.5703125" style="2" customWidth="1"/>
    <col min="4865" max="4865" width="26.85546875" style="2" customWidth="1"/>
    <col min="4866" max="4866" width="13.140625" style="2"/>
    <col min="4867" max="4867" width="25.7109375" style="2" customWidth="1"/>
    <col min="4868" max="4872" width="19.7109375" style="2" customWidth="1"/>
    <col min="4873" max="5119" width="13.140625" style="2"/>
    <col min="5120" max="5120" width="103.5703125" style="2" customWidth="1"/>
    <col min="5121" max="5121" width="26.85546875" style="2" customWidth="1"/>
    <col min="5122" max="5122" width="13.140625" style="2"/>
    <col min="5123" max="5123" width="25.7109375" style="2" customWidth="1"/>
    <col min="5124" max="5128" width="19.7109375" style="2" customWidth="1"/>
    <col min="5129" max="5375" width="13.140625" style="2"/>
    <col min="5376" max="5376" width="103.5703125" style="2" customWidth="1"/>
    <col min="5377" max="5377" width="26.85546875" style="2" customWidth="1"/>
    <col min="5378" max="5378" width="13.140625" style="2"/>
    <col min="5379" max="5379" width="25.7109375" style="2" customWidth="1"/>
    <col min="5380" max="5384" width="19.7109375" style="2" customWidth="1"/>
    <col min="5385" max="5631" width="13.140625" style="2"/>
    <col min="5632" max="5632" width="103.5703125" style="2" customWidth="1"/>
    <col min="5633" max="5633" width="26.85546875" style="2" customWidth="1"/>
    <col min="5634" max="5634" width="13.140625" style="2"/>
    <col min="5635" max="5635" width="25.7109375" style="2" customWidth="1"/>
    <col min="5636" max="5640" width="19.7109375" style="2" customWidth="1"/>
    <col min="5641" max="5887" width="13.140625" style="2"/>
    <col min="5888" max="5888" width="103.5703125" style="2" customWidth="1"/>
    <col min="5889" max="5889" width="26.85546875" style="2" customWidth="1"/>
    <col min="5890" max="5890" width="13.140625" style="2"/>
    <col min="5891" max="5891" width="25.7109375" style="2" customWidth="1"/>
    <col min="5892" max="5896" width="19.7109375" style="2" customWidth="1"/>
    <col min="5897" max="6143" width="13.140625" style="2"/>
    <col min="6144" max="6144" width="103.5703125" style="2" customWidth="1"/>
    <col min="6145" max="6145" width="26.85546875" style="2" customWidth="1"/>
    <col min="6146" max="6146" width="13.140625" style="2"/>
    <col min="6147" max="6147" width="25.7109375" style="2" customWidth="1"/>
    <col min="6148" max="6152" width="19.7109375" style="2" customWidth="1"/>
    <col min="6153" max="6399" width="13.140625" style="2"/>
    <col min="6400" max="6400" width="103.5703125" style="2" customWidth="1"/>
    <col min="6401" max="6401" width="26.85546875" style="2" customWidth="1"/>
    <col min="6402" max="6402" width="13.140625" style="2"/>
    <col min="6403" max="6403" width="25.7109375" style="2" customWidth="1"/>
    <col min="6404" max="6408" width="19.7109375" style="2" customWidth="1"/>
    <col min="6409" max="6655" width="13.140625" style="2"/>
    <col min="6656" max="6656" width="103.5703125" style="2" customWidth="1"/>
    <col min="6657" max="6657" width="26.85546875" style="2" customWidth="1"/>
    <col min="6658" max="6658" width="13.140625" style="2"/>
    <col min="6659" max="6659" width="25.7109375" style="2" customWidth="1"/>
    <col min="6660" max="6664" width="19.7109375" style="2" customWidth="1"/>
    <col min="6665" max="6911" width="13.140625" style="2"/>
    <col min="6912" max="6912" width="103.5703125" style="2" customWidth="1"/>
    <col min="6913" max="6913" width="26.85546875" style="2" customWidth="1"/>
    <col min="6914" max="6914" width="13.140625" style="2"/>
    <col min="6915" max="6915" width="25.7109375" style="2" customWidth="1"/>
    <col min="6916" max="6920" width="19.7109375" style="2" customWidth="1"/>
    <col min="6921" max="7167" width="13.140625" style="2"/>
    <col min="7168" max="7168" width="103.5703125" style="2" customWidth="1"/>
    <col min="7169" max="7169" width="26.85546875" style="2" customWidth="1"/>
    <col min="7170" max="7170" width="13.140625" style="2"/>
    <col min="7171" max="7171" width="25.7109375" style="2" customWidth="1"/>
    <col min="7172" max="7176" width="19.7109375" style="2" customWidth="1"/>
    <col min="7177" max="7423" width="13.140625" style="2"/>
    <col min="7424" max="7424" width="103.5703125" style="2" customWidth="1"/>
    <col min="7425" max="7425" width="26.85546875" style="2" customWidth="1"/>
    <col min="7426" max="7426" width="13.140625" style="2"/>
    <col min="7427" max="7427" width="25.7109375" style="2" customWidth="1"/>
    <col min="7428" max="7432" width="19.7109375" style="2" customWidth="1"/>
    <col min="7433" max="7679" width="13.140625" style="2"/>
    <col min="7680" max="7680" width="103.5703125" style="2" customWidth="1"/>
    <col min="7681" max="7681" width="26.85546875" style="2" customWidth="1"/>
    <col min="7682" max="7682" width="13.140625" style="2"/>
    <col min="7683" max="7683" width="25.7109375" style="2" customWidth="1"/>
    <col min="7684" max="7688" width="19.7109375" style="2" customWidth="1"/>
    <col min="7689" max="7935" width="13.140625" style="2"/>
    <col min="7936" max="7936" width="103.5703125" style="2" customWidth="1"/>
    <col min="7937" max="7937" width="26.85546875" style="2" customWidth="1"/>
    <col min="7938" max="7938" width="13.140625" style="2"/>
    <col min="7939" max="7939" width="25.7109375" style="2" customWidth="1"/>
    <col min="7940" max="7944" width="19.7109375" style="2" customWidth="1"/>
    <col min="7945" max="8191" width="13.140625" style="2"/>
    <col min="8192" max="8192" width="103.5703125" style="2" customWidth="1"/>
    <col min="8193" max="8193" width="26.85546875" style="2" customWidth="1"/>
    <col min="8194" max="8194" width="13.140625" style="2"/>
    <col min="8195" max="8195" width="25.7109375" style="2" customWidth="1"/>
    <col min="8196" max="8200" width="19.7109375" style="2" customWidth="1"/>
    <col min="8201" max="8447" width="13.140625" style="2"/>
    <col min="8448" max="8448" width="103.5703125" style="2" customWidth="1"/>
    <col min="8449" max="8449" width="26.85546875" style="2" customWidth="1"/>
    <col min="8450" max="8450" width="13.140625" style="2"/>
    <col min="8451" max="8451" width="25.7109375" style="2" customWidth="1"/>
    <col min="8452" max="8456" width="19.7109375" style="2" customWidth="1"/>
    <col min="8457" max="8703" width="13.140625" style="2"/>
    <col min="8704" max="8704" width="103.5703125" style="2" customWidth="1"/>
    <col min="8705" max="8705" width="26.85546875" style="2" customWidth="1"/>
    <col min="8706" max="8706" width="13.140625" style="2"/>
    <col min="8707" max="8707" width="25.7109375" style="2" customWidth="1"/>
    <col min="8708" max="8712" width="19.7109375" style="2" customWidth="1"/>
    <col min="8713" max="8959" width="13.140625" style="2"/>
    <col min="8960" max="8960" width="103.5703125" style="2" customWidth="1"/>
    <col min="8961" max="8961" width="26.85546875" style="2" customWidth="1"/>
    <col min="8962" max="8962" width="13.140625" style="2"/>
    <col min="8963" max="8963" width="25.7109375" style="2" customWidth="1"/>
    <col min="8964" max="8968" width="19.7109375" style="2" customWidth="1"/>
    <col min="8969" max="9215" width="13.140625" style="2"/>
    <col min="9216" max="9216" width="103.5703125" style="2" customWidth="1"/>
    <col min="9217" max="9217" width="26.85546875" style="2" customWidth="1"/>
    <col min="9218" max="9218" width="13.140625" style="2"/>
    <col min="9219" max="9219" width="25.7109375" style="2" customWidth="1"/>
    <col min="9220" max="9224" width="19.7109375" style="2" customWidth="1"/>
    <col min="9225" max="9471" width="13.140625" style="2"/>
    <col min="9472" max="9472" width="103.5703125" style="2" customWidth="1"/>
    <col min="9473" max="9473" width="26.85546875" style="2" customWidth="1"/>
    <col min="9474" max="9474" width="13.140625" style="2"/>
    <col min="9475" max="9475" width="25.7109375" style="2" customWidth="1"/>
    <col min="9476" max="9480" width="19.7109375" style="2" customWidth="1"/>
    <col min="9481" max="9727" width="13.140625" style="2"/>
    <col min="9728" max="9728" width="103.5703125" style="2" customWidth="1"/>
    <col min="9729" max="9729" width="26.85546875" style="2" customWidth="1"/>
    <col min="9730" max="9730" width="13.140625" style="2"/>
    <col min="9731" max="9731" width="25.7109375" style="2" customWidth="1"/>
    <col min="9732" max="9736" width="19.7109375" style="2" customWidth="1"/>
    <col min="9737" max="9983" width="13.140625" style="2"/>
    <col min="9984" max="9984" width="103.5703125" style="2" customWidth="1"/>
    <col min="9985" max="9985" width="26.85546875" style="2" customWidth="1"/>
    <col min="9986" max="9986" width="13.140625" style="2"/>
    <col min="9987" max="9987" width="25.7109375" style="2" customWidth="1"/>
    <col min="9988" max="9992" width="19.7109375" style="2" customWidth="1"/>
    <col min="9993" max="10239" width="13.140625" style="2"/>
    <col min="10240" max="10240" width="103.5703125" style="2" customWidth="1"/>
    <col min="10241" max="10241" width="26.85546875" style="2" customWidth="1"/>
    <col min="10242" max="10242" width="13.140625" style="2"/>
    <col min="10243" max="10243" width="25.7109375" style="2" customWidth="1"/>
    <col min="10244" max="10248" width="19.7109375" style="2" customWidth="1"/>
    <col min="10249" max="10495" width="13.140625" style="2"/>
    <col min="10496" max="10496" width="103.5703125" style="2" customWidth="1"/>
    <col min="10497" max="10497" width="26.85546875" style="2" customWidth="1"/>
    <col min="10498" max="10498" width="13.140625" style="2"/>
    <col min="10499" max="10499" width="25.7109375" style="2" customWidth="1"/>
    <col min="10500" max="10504" width="19.7109375" style="2" customWidth="1"/>
    <col min="10505" max="10751" width="13.140625" style="2"/>
    <col min="10752" max="10752" width="103.5703125" style="2" customWidth="1"/>
    <col min="10753" max="10753" width="26.85546875" style="2" customWidth="1"/>
    <col min="10754" max="10754" width="13.140625" style="2"/>
    <col min="10755" max="10755" width="25.7109375" style="2" customWidth="1"/>
    <col min="10756" max="10760" width="19.7109375" style="2" customWidth="1"/>
    <col min="10761" max="11007" width="13.140625" style="2"/>
    <col min="11008" max="11008" width="103.5703125" style="2" customWidth="1"/>
    <col min="11009" max="11009" width="26.85546875" style="2" customWidth="1"/>
    <col min="11010" max="11010" width="13.140625" style="2"/>
    <col min="11011" max="11011" width="25.7109375" style="2" customWidth="1"/>
    <col min="11012" max="11016" width="19.7109375" style="2" customWidth="1"/>
    <col min="11017" max="11263" width="13.140625" style="2"/>
    <col min="11264" max="11264" width="103.5703125" style="2" customWidth="1"/>
    <col min="11265" max="11265" width="26.85546875" style="2" customWidth="1"/>
    <col min="11266" max="11266" width="13.140625" style="2"/>
    <col min="11267" max="11267" width="25.7109375" style="2" customWidth="1"/>
    <col min="11268" max="11272" width="19.7109375" style="2" customWidth="1"/>
    <col min="11273" max="11519" width="13.140625" style="2"/>
    <col min="11520" max="11520" width="103.5703125" style="2" customWidth="1"/>
    <col min="11521" max="11521" width="26.85546875" style="2" customWidth="1"/>
    <col min="11522" max="11522" width="13.140625" style="2"/>
    <col min="11523" max="11523" width="25.7109375" style="2" customWidth="1"/>
    <col min="11524" max="11528" width="19.7109375" style="2" customWidth="1"/>
    <col min="11529" max="11775" width="13.140625" style="2"/>
    <col min="11776" max="11776" width="103.5703125" style="2" customWidth="1"/>
    <col min="11777" max="11777" width="26.85546875" style="2" customWidth="1"/>
    <col min="11778" max="11778" width="13.140625" style="2"/>
    <col min="11779" max="11779" width="25.7109375" style="2" customWidth="1"/>
    <col min="11780" max="11784" width="19.7109375" style="2" customWidth="1"/>
    <col min="11785" max="12031" width="13.140625" style="2"/>
    <col min="12032" max="12032" width="103.5703125" style="2" customWidth="1"/>
    <col min="12033" max="12033" width="26.85546875" style="2" customWidth="1"/>
    <col min="12034" max="12034" width="13.140625" style="2"/>
    <col min="12035" max="12035" width="25.7109375" style="2" customWidth="1"/>
    <col min="12036" max="12040" width="19.7109375" style="2" customWidth="1"/>
    <col min="12041" max="12287" width="13.140625" style="2"/>
    <col min="12288" max="12288" width="103.5703125" style="2" customWidth="1"/>
    <col min="12289" max="12289" width="26.85546875" style="2" customWidth="1"/>
    <col min="12290" max="12290" width="13.140625" style="2"/>
    <col min="12291" max="12291" width="25.7109375" style="2" customWidth="1"/>
    <col min="12292" max="12296" width="19.7109375" style="2" customWidth="1"/>
    <col min="12297" max="12543" width="13.140625" style="2"/>
    <col min="12544" max="12544" width="103.5703125" style="2" customWidth="1"/>
    <col min="12545" max="12545" width="26.85546875" style="2" customWidth="1"/>
    <col min="12546" max="12546" width="13.140625" style="2"/>
    <col min="12547" max="12547" width="25.7109375" style="2" customWidth="1"/>
    <col min="12548" max="12552" width="19.7109375" style="2" customWidth="1"/>
    <col min="12553" max="12799" width="13.140625" style="2"/>
    <col min="12800" max="12800" width="103.5703125" style="2" customWidth="1"/>
    <col min="12801" max="12801" width="26.85546875" style="2" customWidth="1"/>
    <col min="12802" max="12802" width="13.140625" style="2"/>
    <col min="12803" max="12803" width="25.7109375" style="2" customWidth="1"/>
    <col min="12804" max="12808" width="19.7109375" style="2" customWidth="1"/>
    <col min="12809" max="13055" width="13.140625" style="2"/>
    <col min="13056" max="13056" width="103.5703125" style="2" customWidth="1"/>
    <col min="13057" max="13057" width="26.85546875" style="2" customWidth="1"/>
    <col min="13058" max="13058" width="13.140625" style="2"/>
    <col min="13059" max="13059" width="25.7109375" style="2" customWidth="1"/>
    <col min="13060" max="13064" width="19.7109375" style="2" customWidth="1"/>
    <col min="13065" max="13311" width="13.140625" style="2"/>
    <col min="13312" max="13312" width="103.5703125" style="2" customWidth="1"/>
    <col min="13313" max="13313" width="26.85546875" style="2" customWidth="1"/>
    <col min="13314" max="13314" width="13.140625" style="2"/>
    <col min="13315" max="13315" width="25.7109375" style="2" customWidth="1"/>
    <col min="13316" max="13320" width="19.7109375" style="2" customWidth="1"/>
    <col min="13321" max="13567" width="13.140625" style="2"/>
    <col min="13568" max="13568" width="103.5703125" style="2" customWidth="1"/>
    <col min="13569" max="13569" width="26.85546875" style="2" customWidth="1"/>
    <col min="13570" max="13570" width="13.140625" style="2"/>
    <col min="13571" max="13571" width="25.7109375" style="2" customWidth="1"/>
    <col min="13572" max="13576" width="19.7109375" style="2" customWidth="1"/>
    <col min="13577" max="13823" width="13.140625" style="2"/>
    <col min="13824" max="13824" width="103.5703125" style="2" customWidth="1"/>
    <col min="13825" max="13825" width="26.85546875" style="2" customWidth="1"/>
    <col min="13826" max="13826" width="13.140625" style="2"/>
    <col min="13827" max="13827" width="25.7109375" style="2" customWidth="1"/>
    <col min="13828" max="13832" width="19.7109375" style="2" customWidth="1"/>
    <col min="13833" max="14079" width="13.140625" style="2"/>
    <col min="14080" max="14080" width="103.5703125" style="2" customWidth="1"/>
    <col min="14081" max="14081" width="26.85546875" style="2" customWidth="1"/>
    <col min="14082" max="14082" width="13.140625" style="2"/>
    <col min="14083" max="14083" width="25.7109375" style="2" customWidth="1"/>
    <col min="14084" max="14088" width="19.7109375" style="2" customWidth="1"/>
    <col min="14089" max="14335" width="13.140625" style="2"/>
    <col min="14336" max="14336" width="103.5703125" style="2" customWidth="1"/>
    <col min="14337" max="14337" width="26.85546875" style="2" customWidth="1"/>
    <col min="14338" max="14338" width="13.140625" style="2"/>
    <col min="14339" max="14339" width="25.7109375" style="2" customWidth="1"/>
    <col min="14340" max="14344" width="19.7109375" style="2" customWidth="1"/>
    <col min="14345" max="14591" width="13.140625" style="2"/>
    <col min="14592" max="14592" width="103.5703125" style="2" customWidth="1"/>
    <col min="14593" max="14593" width="26.85546875" style="2" customWidth="1"/>
    <col min="14594" max="14594" width="13.140625" style="2"/>
    <col min="14595" max="14595" width="25.7109375" style="2" customWidth="1"/>
    <col min="14596" max="14600" width="19.7109375" style="2" customWidth="1"/>
    <col min="14601" max="14847" width="13.140625" style="2"/>
    <col min="14848" max="14848" width="103.5703125" style="2" customWidth="1"/>
    <col min="14849" max="14849" width="26.85546875" style="2" customWidth="1"/>
    <col min="14850" max="14850" width="13.140625" style="2"/>
    <col min="14851" max="14851" width="25.7109375" style="2" customWidth="1"/>
    <col min="14852" max="14856" width="19.7109375" style="2" customWidth="1"/>
    <col min="14857" max="15103" width="13.140625" style="2"/>
    <col min="15104" max="15104" width="103.5703125" style="2" customWidth="1"/>
    <col min="15105" max="15105" width="26.85546875" style="2" customWidth="1"/>
    <col min="15106" max="15106" width="13.140625" style="2"/>
    <col min="15107" max="15107" width="25.7109375" style="2" customWidth="1"/>
    <col min="15108" max="15112" width="19.7109375" style="2" customWidth="1"/>
    <col min="15113" max="15359" width="13.140625" style="2"/>
    <col min="15360" max="15360" width="103.5703125" style="2" customWidth="1"/>
    <col min="15361" max="15361" width="26.85546875" style="2" customWidth="1"/>
    <col min="15362" max="15362" width="13.140625" style="2"/>
    <col min="15363" max="15363" width="25.7109375" style="2" customWidth="1"/>
    <col min="15364" max="15368" width="19.7109375" style="2" customWidth="1"/>
    <col min="15369" max="15615" width="13.140625" style="2"/>
    <col min="15616" max="15616" width="103.5703125" style="2" customWidth="1"/>
    <col min="15617" max="15617" width="26.85546875" style="2" customWidth="1"/>
    <col min="15618" max="15618" width="13.140625" style="2"/>
    <col min="15619" max="15619" width="25.7109375" style="2" customWidth="1"/>
    <col min="15620" max="15624" width="19.7109375" style="2" customWidth="1"/>
    <col min="15625" max="15871" width="13.140625" style="2"/>
    <col min="15872" max="15872" width="103.5703125" style="2" customWidth="1"/>
    <col min="15873" max="15873" width="26.85546875" style="2" customWidth="1"/>
    <col min="15874" max="15874" width="13.140625" style="2"/>
    <col min="15875" max="15875" width="25.7109375" style="2" customWidth="1"/>
    <col min="15876" max="15880" width="19.7109375" style="2" customWidth="1"/>
    <col min="15881" max="16127" width="13.140625" style="2"/>
    <col min="16128" max="16128" width="103.5703125" style="2" customWidth="1"/>
    <col min="16129" max="16129" width="26.85546875" style="2" customWidth="1"/>
    <col min="16130" max="16130" width="13.140625" style="2"/>
    <col min="16131" max="16131" width="25.7109375" style="2" customWidth="1"/>
    <col min="16132" max="16136" width="19.7109375" style="2" customWidth="1"/>
    <col min="16137" max="16384" width="13.140625" style="2"/>
  </cols>
  <sheetData>
    <row r="1" spans="1:16" ht="61.5" customHeight="1" x14ac:dyDescent="0.25">
      <c r="A1" s="56" t="s">
        <v>1</v>
      </c>
      <c r="B1" s="29" t="s">
        <v>30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7"/>
      <c r="B2" s="29"/>
      <c r="C2" s="3">
        <v>2026</v>
      </c>
      <c r="D2" s="3" t="s">
        <v>16</v>
      </c>
      <c r="E2" s="30"/>
      <c r="F2" s="30"/>
      <c r="G2" s="30"/>
      <c r="H2" s="30"/>
      <c r="I2" s="30"/>
      <c r="J2" s="30"/>
      <c r="K2" s="30"/>
      <c r="L2" s="30"/>
      <c r="M2" s="30"/>
      <c r="N2" s="30"/>
      <c r="O2" s="30"/>
      <c r="P2" s="30"/>
    </row>
    <row r="3" spans="1:16" ht="81" customHeight="1" x14ac:dyDescent="0.25">
      <c r="A3" s="47" t="s">
        <v>20</v>
      </c>
      <c r="B3" s="13" t="s">
        <v>19</v>
      </c>
      <c r="C3" s="7">
        <v>2</v>
      </c>
      <c r="D3" s="28">
        <f>SUM(E3:P3)</f>
        <v>0</v>
      </c>
      <c r="E3" s="33">
        <v>0</v>
      </c>
      <c r="F3" s="33">
        <v>0</v>
      </c>
      <c r="G3" s="33">
        <v>0</v>
      </c>
      <c r="H3" s="33">
        <v>0</v>
      </c>
      <c r="I3" s="33"/>
      <c r="J3" s="33"/>
      <c r="K3" s="33"/>
      <c r="L3" s="33"/>
      <c r="M3" s="33"/>
      <c r="N3" s="33"/>
      <c r="O3" s="33"/>
      <c r="P3" s="33"/>
    </row>
    <row r="4" spans="1:16" ht="28.5" customHeight="1" x14ac:dyDescent="0.25">
      <c r="A4" s="58" t="s">
        <v>52</v>
      </c>
      <c r="B4" s="39" t="s">
        <v>53</v>
      </c>
      <c r="C4" s="7">
        <v>3</v>
      </c>
      <c r="D4" s="28">
        <f t="shared" ref="D4:D31" si="0">SUM(E4:O4)</f>
        <v>0</v>
      </c>
      <c r="E4" s="33"/>
      <c r="F4" s="33"/>
      <c r="G4" s="33"/>
      <c r="H4" s="33"/>
      <c r="I4" s="33"/>
      <c r="J4" s="33"/>
      <c r="K4" s="33"/>
      <c r="L4" s="33"/>
      <c r="M4" s="33"/>
      <c r="N4" s="33"/>
      <c r="O4" s="33"/>
      <c r="P4" s="40"/>
    </row>
    <row r="5" spans="1:16" ht="28.5" customHeight="1" x14ac:dyDescent="0.25">
      <c r="A5" s="59"/>
      <c r="B5" s="39" t="s">
        <v>54</v>
      </c>
      <c r="C5" s="7">
        <v>3</v>
      </c>
      <c r="D5" s="28">
        <f t="shared" si="0"/>
        <v>0</v>
      </c>
      <c r="E5" s="33"/>
      <c r="F5" s="33"/>
      <c r="G5" s="33"/>
      <c r="H5" s="33"/>
      <c r="I5" s="33"/>
      <c r="J5" s="33"/>
      <c r="K5" s="33"/>
      <c r="L5" s="33"/>
      <c r="M5" s="33"/>
      <c r="N5" s="33"/>
      <c r="O5" s="33"/>
      <c r="P5" s="40"/>
    </row>
    <row r="6" spans="1:16" ht="28.5" customHeight="1" x14ac:dyDescent="0.25">
      <c r="A6" s="59"/>
      <c r="B6" s="39" t="s">
        <v>55</v>
      </c>
      <c r="C6" s="7">
        <v>56</v>
      </c>
      <c r="D6" s="28">
        <f t="shared" si="0"/>
        <v>17</v>
      </c>
      <c r="E6" s="33">
        <v>5</v>
      </c>
      <c r="F6" s="33"/>
      <c r="G6" s="33">
        <v>4</v>
      </c>
      <c r="H6" s="33">
        <v>5</v>
      </c>
      <c r="I6" s="33">
        <v>3</v>
      </c>
      <c r="J6" s="33"/>
      <c r="K6" s="33"/>
      <c r="L6" s="33"/>
      <c r="M6" s="33"/>
      <c r="N6" s="33"/>
      <c r="O6" s="33"/>
      <c r="P6" s="40"/>
    </row>
    <row r="7" spans="1:16" ht="28.5" customHeight="1" x14ac:dyDescent="0.25">
      <c r="A7" s="59"/>
      <c r="B7" s="39" t="s">
        <v>56</v>
      </c>
      <c r="C7" s="7">
        <v>171</v>
      </c>
      <c r="D7" s="28">
        <f t="shared" si="0"/>
        <v>0</v>
      </c>
      <c r="E7" s="33"/>
      <c r="F7" s="33"/>
      <c r="G7" s="33"/>
      <c r="H7" s="33"/>
      <c r="I7" s="33"/>
      <c r="J7" s="33"/>
      <c r="K7" s="33"/>
      <c r="L7" s="33"/>
      <c r="M7" s="33"/>
      <c r="N7" s="33"/>
      <c r="O7" s="33"/>
      <c r="P7" s="40"/>
    </row>
    <row r="8" spans="1:16" ht="28.5" customHeight="1" x14ac:dyDescent="0.25">
      <c r="A8" s="59"/>
      <c r="B8" s="39" t="s">
        <v>57</v>
      </c>
      <c r="C8" s="7">
        <v>0</v>
      </c>
      <c r="D8" s="28">
        <f t="shared" si="0"/>
        <v>0</v>
      </c>
      <c r="E8" s="33"/>
      <c r="F8" s="33"/>
      <c r="G8" s="33"/>
      <c r="H8" s="33"/>
      <c r="I8" s="33"/>
      <c r="J8" s="33"/>
      <c r="K8" s="33"/>
      <c r="L8" s="33"/>
      <c r="M8" s="33"/>
      <c r="N8" s="33"/>
      <c r="O8" s="33"/>
      <c r="P8" s="40"/>
    </row>
    <row r="9" spans="1:16" ht="28.5" customHeight="1" x14ac:dyDescent="0.25">
      <c r="A9" s="59"/>
      <c r="B9" s="39" t="s">
        <v>58</v>
      </c>
      <c r="C9" s="7">
        <v>0</v>
      </c>
      <c r="D9" s="28">
        <f t="shared" si="0"/>
        <v>0</v>
      </c>
      <c r="E9" s="33"/>
      <c r="F9" s="33"/>
      <c r="G9" s="33"/>
      <c r="H9" s="33"/>
      <c r="I9" s="33"/>
      <c r="J9" s="33"/>
      <c r="K9" s="33"/>
      <c r="L9" s="33"/>
      <c r="M9" s="33"/>
      <c r="N9" s="33"/>
      <c r="O9" s="33"/>
      <c r="P9" s="40"/>
    </row>
    <row r="10" spans="1:16" ht="28.5" customHeight="1" x14ac:dyDescent="0.25">
      <c r="A10" s="59"/>
      <c r="B10" s="39" t="s">
        <v>59</v>
      </c>
      <c r="C10" s="7">
        <v>0</v>
      </c>
      <c r="D10" s="28">
        <f t="shared" si="0"/>
        <v>0</v>
      </c>
      <c r="E10" s="33"/>
      <c r="F10" s="33"/>
      <c r="G10" s="33"/>
      <c r="H10" s="33"/>
      <c r="I10" s="33"/>
      <c r="J10" s="33"/>
      <c r="K10" s="33"/>
      <c r="L10" s="33"/>
      <c r="M10" s="33"/>
      <c r="N10" s="33"/>
      <c r="O10" s="33"/>
      <c r="P10" s="40"/>
    </row>
    <row r="11" spans="1:16" ht="28.5" customHeight="1" x14ac:dyDescent="0.25">
      <c r="A11" s="59"/>
      <c r="B11" s="39" t="s">
        <v>60</v>
      </c>
      <c r="C11" s="7">
        <v>0</v>
      </c>
      <c r="D11" s="28">
        <f t="shared" si="0"/>
        <v>0</v>
      </c>
      <c r="E11" s="33"/>
      <c r="F11" s="33"/>
      <c r="G11" s="33"/>
      <c r="H11" s="33"/>
      <c r="I11" s="33"/>
      <c r="J11" s="33"/>
      <c r="K11" s="33"/>
      <c r="L11" s="33"/>
      <c r="M11" s="33"/>
      <c r="N11" s="33"/>
      <c r="O11" s="33"/>
      <c r="P11" s="40"/>
    </row>
    <row r="12" spans="1:16" ht="28.5" customHeight="1" x14ac:dyDescent="0.25">
      <c r="A12" s="59"/>
      <c r="B12" s="39" t="s">
        <v>61</v>
      </c>
      <c r="C12" s="7">
        <v>0</v>
      </c>
      <c r="D12" s="28">
        <f t="shared" si="0"/>
        <v>0</v>
      </c>
      <c r="E12" s="33"/>
      <c r="F12" s="33"/>
      <c r="G12" s="33"/>
      <c r="H12" s="33"/>
      <c r="I12" s="33"/>
      <c r="J12" s="33"/>
      <c r="K12" s="33"/>
      <c r="L12" s="33"/>
      <c r="M12" s="33"/>
      <c r="N12" s="33"/>
      <c r="O12" s="33"/>
      <c r="P12" s="40"/>
    </row>
    <row r="13" spans="1:16" ht="28.5" customHeight="1" x14ac:dyDescent="0.25">
      <c r="A13" s="59"/>
      <c r="B13" s="39" t="s">
        <v>62</v>
      </c>
      <c r="C13" s="7">
        <v>0</v>
      </c>
      <c r="D13" s="28">
        <f t="shared" si="0"/>
        <v>0</v>
      </c>
      <c r="E13" s="33"/>
      <c r="F13" s="33"/>
      <c r="G13" s="33"/>
      <c r="H13" s="33"/>
      <c r="I13" s="33"/>
      <c r="J13" s="33"/>
      <c r="K13" s="33"/>
      <c r="L13" s="33"/>
      <c r="M13" s="33"/>
      <c r="N13" s="33"/>
      <c r="O13" s="33"/>
      <c r="P13" s="40"/>
    </row>
    <row r="14" spans="1:16" ht="28.5" customHeight="1" x14ac:dyDescent="0.25">
      <c r="A14" s="59"/>
      <c r="B14" s="39" t="s">
        <v>63</v>
      </c>
      <c r="C14" s="7">
        <v>0</v>
      </c>
      <c r="D14" s="28">
        <f t="shared" si="0"/>
        <v>0</v>
      </c>
      <c r="E14" s="33"/>
      <c r="F14" s="33"/>
      <c r="G14" s="33"/>
      <c r="H14" s="33"/>
      <c r="I14" s="33"/>
      <c r="J14" s="33"/>
      <c r="K14" s="33"/>
      <c r="L14" s="33"/>
      <c r="M14" s="33"/>
      <c r="N14" s="33"/>
      <c r="O14" s="33"/>
      <c r="P14" s="40"/>
    </row>
    <row r="15" spans="1:16" ht="28.5" customHeight="1" x14ac:dyDescent="0.25">
      <c r="A15" s="59"/>
      <c r="B15" s="39" t="s">
        <v>64</v>
      </c>
      <c r="C15" s="7">
        <v>0</v>
      </c>
      <c r="D15" s="28">
        <f t="shared" si="0"/>
        <v>0</v>
      </c>
      <c r="E15" s="33"/>
      <c r="F15" s="33"/>
      <c r="G15" s="33"/>
      <c r="H15" s="33"/>
      <c r="I15" s="33"/>
      <c r="J15" s="33"/>
      <c r="K15" s="33"/>
      <c r="L15" s="33"/>
      <c r="M15" s="33"/>
      <c r="N15" s="33"/>
      <c r="O15" s="33"/>
      <c r="P15" s="40"/>
    </row>
    <row r="16" spans="1:16" ht="28.5" customHeight="1" x14ac:dyDescent="0.25">
      <c r="A16" s="59"/>
      <c r="B16" s="39" t="s">
        <v>65</v>
      </c>
      <c r="C16" s="7">
        <v>0</v>
      </c>
      <c r="D16" s="28">
        <f t="shared" si="0"/>
        <v>0</v>
      </c>
      <c r="E16" s="33"/>
      <c r="F16" s="33"/>
      <c r="G16" s="33"/>
      <c r="H16" s="33"/>
      <c r="I16" s="33"/>
      <c r="J16" s="33"/>
      <c r="K16" s="33"/>
      <c r="L16" s="33"/>
      <c r="M16" s="33"/>
      <c r="N16" s="33"/>
      <c r="O16" s="33"/>
      <c r="P16" s="40"/>
    </row>
    <row r="17" spans="1:16" ht="28.5" customHeight="1" x14ac:dyDescent="0.25">
      <c r="A17" s="59"/>
      <c r="B17" s="39" t="s">
        <v>66</v>
      </c>
      <c r="C17" s="7">
        <v>0</v>
      </c>
      <c r="D17" s="28">
        <f t="shared" si="0"/>
        <v>0</v>
      </c>
      <c r="E17" s="33"/>
      <c r="F17" s="33"/>
      <c r="G17" s="33"/>
      <c r="H17" s="33"/>
      <c r="I17" s="33"/>
      <c r="J17" s="33"/>
      <c r="K17" s="33"/>
      <c r="L17" s="33"/>
      <c r="M17" s="33"/>
      <c r="N17" s="33"/>
      <c r="O17" s="33"/>
      <c r="P17" s="40"/>
    </row>
    <row r="18" spans="1:16" ht="28.5" customHeight="1" x14ac:dyDescent="0.25">
      <c r="A18" s="59"/>
      <c r="B18" s="39" t="s">
        <v>67</v>
      </c>
      <c r="C18" s="7">
        <v>172</v>
      </c>
      <c r="D18" s="28">
        <f t="shared" si="0"/>
        <v>67</v>
      </c>
      <c r="E18" s="33">
        <v>13</v>
      </c>
      <c r="F18" s="33">
        <v>7</v>
      </c>
      <c r="G18" s="33">
        <v>10</v>
      </c>
      <c r="H18" s="33">
        <v>13</v>
      </c>
      <c r="I18" s="33">
        <v>9</v>
      </c>
      <c r="J18" s="33">
        <v>15</v>
      </c>
      <c r="K18" s="33"/>
      <c r="L18" s="33"/>
      <c r="M18" s="33"/>
      <c r="N18" s="33"/>
      <c r="O18" s="33"/>
      <c r="P18" s="40"/>
    </row>
    <row r="19" spans="1:16" ht="28.5" customHeight="1" x14ac:dyDescent="0.25">
      <c r="A19" s="59"/>
      <c r="B19" s="39" t="s">
        <v>68</v>
      </c>
      <c r="C19" s="7">
        <v>0</v>
      </c>
      <c r="D19" s="28">
        <f t="shared" si="0"/>
        <v>0</v>
      </c>
      <c r="E19" s="33"/>
      <c r="F19" s="33"/>
      <c r="G19" s="33"/>
      <c r="H19" s="33"/>
      <c r="I19" s="33"/>
      <c r="J19" s="33"/>
      <c r="K19" s="33"/>
      <c r="L19" s="33"/>
      <c r="M19" s="33"/>
      <c r="N19" s="33"/>
      <c r="O19" s="33"/>
      <c r="P19" s="40"/>
    </row>
    <row r="20" spans="1:16" ht="24" customHeight="1" x14ac:dyDescent="0.25">
      <c r="A20" s="59"/>
      <c r="B20" s="49" t="s">
        <v>69</v>
      </c>
      <c r="C20" s="7">
        <v>4</v>
      </c>
      <c r="D20" s="28">
        <f t="shared" si="0"/>
        <v>3</v>
      </c>
      <c r="E20" s="33"/>
      <c r="F20" s="33"/>
      <c r="G20" s="33">
        <v>3</v>
      </c>
      <c r="H20" s="33"/>
      <c r="I20" s="33"/>
      <c r="J20" s="33"/>
      <c r="K20" s="33"/>
      <c r="L20" s="33"/>
      <c r="M20" s="33"/>
      <c r="N20" s="33"/>
      <c r="O20" s="33"/>
      <c r="P20" s="40"/>
    </row>
    <row r="21" spans="1:16" ht="24" customHeight="1" x14ac:dyDescent="0.25">
      <c r="A21" s="59"/>
      <c r="B21" s="49" t="s">
        <v>70</v>
      </c>
      <c r="C21" s="7">
        <v>4</v>
      </c>
      <c r="D21" s="28">
        <f t="shared" si="0"/>
        <v>4</v>
      </c>
      <c r="E21" s="33"/>
      <c r="F21" s="33"/>
      <c r="G21" s="33"/>
      <c r="H21" s="33">
        <v>4</v>
      </c>
      <c r="I21" s="33"/>
      <c r="J21" s="33"/>
      <c r="K21" s="33"/>
      <c r="L21" s="33"/>
      <c r="M21" s="33"/>
      <c r="N21" s="33"/>
      <c r="O21" s="33"/>
      <c r="P21" s="40"/>
    </row>
    <row r="22" spans="1:16" ht="24" customHeight="1" x14ac:dyDescent="0.25">
      <c r="A22" s="59"/>
      <c r="B22" s="49" t="s">
        <v>71</v>
      </c>
      <c r="C22" s="7">
        <v>4</v>
      </c>
      <c r="D22" s="28">
        <f t="shared" si="0"/>
        <v>4</v>
      </c>
      <c r="E22" s="33"/>
      <c r="F22" s="33"/>
      <c r="G22" s="33"/>
      <c r="H22" s="33"/>
      <c r="I22" s="33">
        <v>4</v>
      </c>
      <c r="J22" s="33"/>
      <c r="K22" s="33"/>
      <c r="L22" s="33"/>
      <c r="M22" s="33"/>
      <c r="N22" s="33"/>
      <c r="O22" s="33"/>
      <c r="P22" s="40"/>
    </row>
    <row r="23" spans="1:16" ht="24" customHeight="1" x14ac:dyDescent="0.25">
      <c r="A23" s="59"/>
      <c r="B23" s="49" t="s">
        <v>72</v>
      </c>
      <c r="C23" s="7">
        <v>4</v>
      </c>
      <c r="D23" s="28">
        <f t="shared" si="0"/>
        <v>0</v>
      </c>
      <c r="E23" s="33"/>
      <c r="F23" s="33"/>
      <c r="G23" s="33"/>
      <c r="H23" s="33"/>
      <c r="I23" s="33"/>
      <c r="J23" s="33"/>
      <c r="K23" s="33"/>
      <c r="L23" s="33"/>
      <c r="M23" s="33"/>
      <c r="N23" s="33"/>
      <c r="O23" s="33"/>
      <c r="P23" s="40"/>
    </row>
    <row r="24" spans="1:16" ht="24" customHeight="1" x14ac:dyDescent="0.25">
      <c r="A24" s="59"/>
      <c r="B24" s="49" t="s">
        <v>73</v>
      </c>
      <c r="C24" s="7">
        <v>4</v>
      </c>
      <c r="D24" s="28">
        <f t="shared" si="0"/>
        <v>0</v>
      </c>
      <c r="E24" s="33"/>
      <c r="F24" s="33"/>
      <c r="G24" s="33"/>
      <c r="H24" s="33"/>
      <c r="I24" s="33"/>
      <c r="J24" s="33"/>
      <c r="K24" s="33"/>
      <c r="L24" s="33"/>
      <c r="M24" s="33"/>
      <c r="N24" s="33"/>
      <c r="O24" s="33"/>
      <c r="P24" s="40"/>
    </row>
    <row r="25" spans="1:16" ht="24" customHeight="1" x14ac:dyDescent="0.25">
      <c r="A25" s="59"/>
      <c r="B25" s="49" t="s">
        <v>74</v>
      </c>
      <c r="C25" s="7">
        <v>1</v>
      </c>
      <c r="D25" s="28">
        <f t="shared" si="0"/>
        <v>0</v>
      </c>
      <c r="E25" s="33"/>
      <c r="F25" s="33"/>
      <c r="G25" s="33"/>
      <c r="H25" s="33"/>
      <c r="I25" s="33"/>
      <c r="J25" s="33"/>
      <c r="K25" s="33"/>
      <c r="L25" s="33"/>
      <c r="M25" s="33"/>
      <c r="N25" s="33"/>
      <c r="O25" s="33"/>
      <c r="P25" s="40"/>
    </row>
    <row r="26" spans="1:16" ht="24" customHeight="1" x14ac:dyDescent="0.25">
      <c r="A26" s="59"/>
      <c r="B26" s="49" t="s">
        <v>75</v>
      </c>
      <c r="C26" s="7">
        <v>1</v>
      </c>
      <c r="D26" s="28">
        <f t="shared" si="0"/>
        <v>0</v>
      </c>
      <c r="E26" s="33"/>
      <c r="F26" s="33"/>
      <c r="G26" s="33"/>
      <c r="H26" s="33"/>
      <c r="I26" s="33"/>
      <c r="J26" s="33"/>
      <c r="K26" s="33"/>
      <c r="L26" s="33"/>
      <c r="M26" s="33"/>
      <c r="N26" s="33"/>
      <c r="O26" s="33"/>
      <c r="P26" s="40"/>
    </row>
    <row r="27" spans="1:16" ht="24" customHeight="1" x14ac:dyDescent="0.25">
      <c r="A27" s="59"/>
      <c r="B27" s="49" t="s">
        <v>76</v>
      </c>
      <c r="C27" s="7">
        <v>1</v>
      </c>
      <c r="D27" s="28">
        <f t="shared" si="0"/>
        <v>0</v>
      </c>
      <c r="E27" s="33"/>
      <c r="F27" s="33"/>
      <c r="G27" s="33"/>
      <c r="H27" s="33"/>
      <c r="I27" s="33"/>
      <c r="J27" s="33"/>
      <c r="K27" s="33"/>
      <c r="L27" s="33"/>
      <c r="M27" s="33"/>
      <c r="N27" s="33"/>
      <c r="O27" s="33"/>
      <c r="P27" s="40"/>
    </row>
    <row r="28" spans="1:16" ht="24" customHeight="1" x14ac:dyDescent="0.25">
      <c r="A28" s="59"/>
      <c r="B28" s="49" t="s">
        <v>77</v>
      </c>
      <c r="C28" s="7">
        <v>1</v>
      </c>
      <c r="D28" s="28">
        <f t="shared" si="0"/>
        <v>0</v>
      </c>
      <c r="E28" s="33"/>
      <c r="F28" s="33"/>
      <c r="G28" s="33"/>
      <c r="H28" s="33"/>
      <c r="I28" s="33"/>
      <c r="J28" s="33"/>
      <c r="K28" s="33"/>
      <c r="L28" s="33"/>
      <c r="M28" s="33"/>
      <c r="N28" s="33"/>
      <c r="O28" s="33"/>
      <c r="P28" s="40"/>
    </row>
    <row r="29" spans="1:16" ht="24" customHeight="1" x14ac:dyDescent="0.25">
      <c r="A29" s="59"/>
      <c r="B29" s="49" t="s">
        <v>78</v>
      </c>
      <c r="C29" s="7">
        <v>1</v>
      </c>
      <c r="D29" s="28">
        <f t="shared" si="0"/>
        <v>0</v>
      </c>
      <c r="E29" s="33"/>
      <c r="F29" s="33"/>
      <c r="G29" s="33"/>
      <c r="H29" s="33"/>
      <c r="I29" s="33"/>
      <c r="J29" s="33"/>
      <c r="K29" s="33"/>
      <c r="L29" s="33"/>
      <c r="M29" s="33"/>
      <c r="N29" s="33"/>
      <c r="O29" s="33"/>
      <c r="P29" s="40"/>
    </row>
    <row r="30" spans="1:16" ht="24" customHeight="1" x14ac:dyDescent="0.25">
      <c r="A30" s="59"/>
      <c r="B30" s="49" t="s">
        <v>79</v>
      </c>
      <c r="C30" s="7">
        <v>1</v>
      </c>
      <c r="D30" s="28">
        <f t="shared" si="0"/>
        <v>0</v>
      </c>
      <c r="E30" s="33"/>
      <c r="F30" s="33"/>
      <c r="G30" s="33"/>
      <c r="H30" s="33"/>
      <c r="I30" s="33"/>
      <c r="J30" s="33"/>
      <c r="K30" s="33"/>
      <c r="L30" s="33"/>
      <c r="M30" s="33"/>
      <c r="N30" s="33"/>
      <c r="O30" s="33"/>
      <c r="P30" s="40"/>
    </row>
    <row r="31" spans="1:16" ht="24" customHeight="1" thickBot="1" x14ac:dyDescent="0.3">
      <c r="A31" s="60"/>
      <c r="B31" s="50" t="s">
        <v>80</v>
      </c>
      <c r="C31" s="7">
        <v>1</v>
      </c>
      <c r="D31" s="28">
        <f t="shared" si="0"/>
        <v>0</v>
      </c>
      <c r="E31" s="33"/>
      <c r="F31" s="33"/>
      <c r="G31" s="33"/>
      <c r="H31" s="33"/>
      <c r="I31" s="33"/>
      <c r="J31" s="33"/>
      <c r="K31" s="33"/>
      <c r="L31" s="33"/>
      <c r="M31" s="33"/>
      <c r="N31" s="33"/>
      <c r="O31" s="33"/>
      <c r="P31" s="40"/>
    </row>
    <row r="32" spans="1:16" x14ac:dyDescent="0.25">
      <c r="C32" s="43">
        <f>SUM(C3:C31)</f>
        <v>434</v>
      </c>
      <c r="D32" s="43">
        <f>SUM(D3:D31)</f>
        <v>95</v>
      </c>
    </row>
    <row r="33" spans="3:4" x14ac:dyDescent="0.25">
      <c r="C33" s="45"/>
      <c r="D33" s="9">
        <f>D32/C32</f>
        <v>0.21889400921658986</v>
      </c>
    </row>
    <row r="39" spans="3:4" x14ac:dyDescent="0.25">
      <c r="C39" s="8"/>
    </row>
    <row r="40" spans="3:4" x14ac:dyDescent="0.25">
      <c r="C40" s="8"/>
    </row>
    <row r="41" spans="3:4" x14ac:dyDescent="0.25">
      <c r="C41" s="8"/>
    </row>
    <row r="42" spans="3:4" x14ac:dyDescent="0.25">
      <c r="C42" s="8"/>
    </row>
    <row r="43" spans="3:4" x14ac:dyDescent="0.25">
      <c r="C43" s="8"/>
    </row>
    <row r="44" spans="3:4" x14ac:dyDescent="0.25">
      <c r="C44" s="8"/>
    </row>
    <row r="45" spans="3:4" x14ac:dyDescent="0.25">
      <c r="C45" s="8"/>
    </row>
    <row r="46" spans="3:4" x14ac:dyDescent="0.25">
      <c r="C46" s="8"/>
    </row>
    <row r="47" spans="3:4" x14ac:dyDescent="0.25">
      <c r="C47" s="8"/>
    </row>
    <row r="48" spans="3:4"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sheetData>
  <sheetProtection algorithmName="SHA-512" hashValue="ZIpP7dze8AG38711wM/yL194CWCr45MDccVFKEDBeUkZhAAK85Fb9UlLV24dxFRtLmae6YBF+jFSoGlHnEgODw==" saltValue="iu1zwOtoIqaBJYo2bx6nRw==" spinCount="100000" sheet="1" objects="1" scenarios="1" autoFilter="0"/>
  <mergeCells count="2">
    <mergeCell ref="A4:A31"/>
    <mergeCell ref="A1:A2"/>
  </mergeCells>
  <conditionalFormatting sqref="C3:D3">
    <cfRule type="dataBar" priority="4">
      <dataBar>
        <cfvo type="min"/>
        <cfvo type="max"/>
        <color rgb="FF008AEF"/>
      </dataBar>
      <extLst>
        <ext xmlns:x14="http://schemas.microsoft.com/office/spreadsheetml/2009/9/main" uri="{B025F937-C7B1-47D3-B67F-A62EFF666E3E}">
          <x14:id>{D03A25DB-682F-4E6B-8AF6-E6820051D6FE}</x14:id>
        </ext>
      </extLst>
    </cfRule>
  </conditionalFormatting>
  <conditionalFormatting sqref="C4:D4">
    <cfRule type="dataBar" priority="6">
      <dataBar>
        <cfvo type="min"/>
        <cfvo type="max"/>
        <color rgb="FF008AEF"/>
      </dataBar>
      <extLst>
        <ext xmlns:x14="http://schemas.microsoft.com/office/spreadsheetml/2009/9/main" uri="{B025F937-C7B1-47D3-B67F-A62EFF666E3E}">
          <x14:id>{DF448FCC-ABAF-4E5A-BDC0-79E8E29096A9}</x14:id>
        </ext>
      </extLst>
    </cfRule>
  </conditionalFormatting>
  <conditionalFormatting sqref="C5:D5">
    <cfRule type="dataBar" priority="33">
      <dataBar>
        <cfvo type="min"/>
        <cfvo type="max"/>
        <color rgb="FF008AEF"/>
      </dataBar>
      <extLst>
        <ext xmlns:x14="http://schemas.microsoft.com/office/spreadsheetml/2009/9/main" uri="{B025F937-C7B1-47D3-B67F-A62EFF666E3E}">
          <x14:id>{8169B555-E2D4-4FAF-B162-077AA605F603}</x14:id>
        </ext>
      </extLst>
    </cfRule>
  </conditionalFormatting>
  <conditionalFormatting sqref="C6:D6">
    <cfRule type="dataBar" priority="32">
      <dataBar>
        <cfvo type="min"/>
        <cfvo type="max"/>
        <color rgb="FF008AEF"/>
      </dataBar>
      <extLst>
        <ext xmlns:x14="http://schemas.microsoft.com/office/spreadsheetml/2009/9/main" uri="{B025F937-C7B1-47D3-B67F-A62EFF666E3E}">
          <x14:id>{6B65E83B-F3CE-480C-9CC5-FDE5829DECF3}</x14:id>
        </ext>
      </extLst>
    </cfRule>
  </conditionalFormatting>
  <conditionalFormatting sqref="C7:D7">
    <cfRule type="dataBar" priority="31">
      <dataBar>
        <cfvo type="min"/>
        <cfvo type="max"/>
        <color rgb="FF008AEF"/>
      </dataBar>
      <extLst>
        <ext xmlns:x14="http://schemas.microsoft.com/office/spreadsheetml/2009/9/main" uri="{B025F937-C7B1-47D3-B67F-A62EFF666E3E}">
          <x14:id>{F79CA278-30F5-43C7-900A-DA9E9756488D}</x14:id>
        </ext>
      </extLst>
    </cfRule>
  </conditionalFormatting>
  <conditionalFormatting sqref="C8:D8">
    <cfRule type="dataBar" priority="30">
      <dataBar>
        <cfvo type="min"/>
        <cfvo type="max"/>
        <color rgb="FF008AEF"/>
      </dataBar>
      <extLst>
        <ext xmlns:x14="http://schemas.microsoft.com/office/spreadsheetml/2009/9/main" uri="{B025F937-C7B1-47D3-B67F-A62EFF666E3E}">
          <x14:id>{2B9DDC16-6F5B-4348-A3A4-29C497B61873}</x14:id>
        </ext>
      </extLst>
    </cfRule>
  </conditionalFormatting>
  <conditionalFormatting sqref="C9:D9">
    <cfRule type="dataBar" priority="29">
      <dataBar>
        <cfvo type="min"/>
        <cfvo type="max"/>
        <color rgb="FF008AEF"/>
      </dataBar>
      <extLst>
        <ext xmlns:x14="http://schemas.microsoft.com/office/spreadsheetml/2009/9/main" uri="{B025F937-C7B1-47D3-B67F-A62EFF666E3E}">
          <x14:id>{47357323-1697-438F-B1AC-25D2C3B38C8C}</x14:id>
        </ext>
      </extLst>
    </cfRule>
  </conditionalFormatting>
  <conditionalFormatting sqref="C10:D10">
    <cfRule type="dataBar" priority="28">
      <dataBar>
        <cfvo type="min"/>
        <cfvo type="max"/>
        <color rgb="FF008AEF"/>
      </dataBar>
      <extLst>
        <ext xmlns:x14="http://schemas.microsoft.com/office/spreadsheetml/2009/9/main" uri="{B025F937-C7B1-47D3-B67F-A62EFF666E3E}">
          <x14:id>{E4F20949-65FD-4748-85FE-12913BCC9561}</x14:id>
        </ext>
      </extLst>
    </cfRule>
  </conditionalFormatting>
  <conditionalFormatting sqref="C11:D11">
    <cfRule type="dataBar" priority="27">
      <dataBar>
        <cfvo type="min"/>
        <cfvo type="max"/>
        <color rgb="FF008AEF"/>
      </dataBar>
      <extLst>
        <ext xmlns:x14="http://schemas.microsoft.com/office/spreadsheetml/2009/9/main" uri="{B025F937-C7B1-47D3-B67F-A62EFF666E3E}">
          <x14:id>{70A69F8E-36C0-447A-91F7-D8CB004559FC}</x14:id>
        </ext>
      </extLst>
    </cfRule>
  </conditionalFormatting>
  <conditionalFormatting sqref="C12:D12">
    <cfRule type="dataBar" priority="26">
      <dataBar>
        <cfvo type="min"/>
        <cfvo type="max"/>
        <color rgb="FF008AEF"/>
      </dataBar>
      <extLst>
        <ext xmlns:x14="http://schemas.microsoft.com/office/spreadsheetml/2009/9/main" uri="{B025F937-C7B1-47D3-B67F-A62EFF666E3E}">
          <x14:id>{8161BEAD-6683-4548-8F2E-2F80E2F68660}</x14:id>
        </ext>
      </extLst>
    </cfRule>
  </conditionalFormatting>
  <conditionalFormatting sqref="C13:D13">
    <cfRule type="dataBar" priority="25">
      <dataBar>
        <cfvo type="min"/>
        <cfvo type="max"/>
        <color rgb="FF008AEF"/>
      </dataBar>
      <extLst>
        <ext xmlns:x14="http://schemas.microsoft.com/office/spreadsheetml/2009/9/main" uri="{B025F937-C7B1-47D3-B67F-A62EFF666E3E}">
          <x14:id>{A57EBA4A-85AD-4826-A49F-AB6D2BB57B56}</x14:id>
        </ext>
      </extLst>
    </cfRule>
  </conditionalFormatting>
  <conditionalFormatting sqref="C14:D14">
    <cfRule type="dataBar" priority="24">
      <dataBar>
        <cfvo type="min"/>
        <cfvo type="max"/>
        <color rgb="FF008AEF"/>
      </dataBar>
      <extLst>
        <ext xmlns:x14="http://schemas.microsoft.com/office/spreadsheetml/2009/9/main" uri="{B025F937-C7B1-47D3-B67F-A62EFF666E3E}">
          <x14:id>{36953D8D-3039-444A-86C2-9D5BD2A4E3DC}</x14:id>
        </ext>
      </extLst>
    </cfRule>
  </conditionalFormatting>
  <conditionalFormatting sqref="C15:D15">
    <cfRule type="dataBar" priority="23">
      <dataBar>
        <cfvo type="min"/>
        <cfvo type="max"/>
        <color rgb="FF008AEF"/>
      </dataBar>
      <extLst>
        <ext xmlns:x14="http://schemas.microsoft.com/office/spreadsheetml/2009/9/main" uri="{B025F937-C7B1-47D3-B67F-A62EFF666E3E}">
          <x14:id>{BF46DC6F-BDB5-44C3-B221-965451274190}</x14:id>
        </ext>
      </extLst>
    </cfRule>
  </conditionalFormatting>
  <conditionalFormatting sqref="C16:D16">
    <cfRule type="dataBar" priority="22">
      <dataBar>
        <cfvo type="min"/>
        <cfvo type="max"/>
        <color rgb="FF008AEF"/>
      </dataBar>
      <extLst>
        <ext xmlns:x14="http://schemas.microsoft.com/office/spreadsheetml/2009/9/main" uri="{B025F937-C7B1-47D3-B67F-A62EFF666E3E}">
          <x14:id>{5EC59203-7E4F-40AD-A8A8-C1CADA20DE83}</x14:id>
        </ext>
      </extLst>
    </cfRule>
  </conditionalFormatting>
  <conditionalFormatting sqref="C17:D17">
    <cfRule type="dataBar" priority="21">
      <dataBar>
        <cfvo type="min"/>
        <cfvo type="max"/>
        <color rgb="FF008AEF"/>
      </dataBar>
      <extLst>
        <ext xmlns:x14="http://schemas.microsoft.com/office/spreadsheetml/2009/9/main" uri="{B025F937-C7B1-47D3-B67F-A62EFF666E3E}">
          <x14:id>{FBA16B34-DF06-4397-9896-D8D5DB1DC39B}</x14:id>
        </ext>
      </extLst>
    </cfRule>
  </conditionalFormatting>
  <conditionalFormatting sqref="C18:D18">
    <cfRule type="dataBar" priority="20">
      <dataBar>
        <cfvo type="min"/>
        <cfvo type="max"/>
        <color rgb="FF008AEF"/>
      </dataBar>
      <extLst>
        <ext xmlns:x14="http://schemas.microsoft.com/office/spreadsheetml/2009/9/main" uri="{B025F937-C7B1-47D3-B67F-A62EFF666E3E}">
          <x14:id>{6651A297-036F-4FE7-9396-B56ADB8B327A}</x14:id>
        </ext>
      </extLst>
    </cfRule>
  </conditionalFormatting>
  <conditionalFormatting sqref="C19:D19">
    <cfRule type="dataBar" priority="19">
      <dataBar>
        <cfvo type="min"/>
        <cfvo type="max"/>
        <color rgb="FF008AEF"/>
      </dataBar>
      <extLst>
        <ext xmlns:x14="http://schemas.microsoft.com/office/spreadsheetml/2009/9/main" uri="{B025F937-C7B1-47D3-B67F-A62EFF666E3E}">
          <x14:id>{344F26CB-56B8-4590-B2CA-27171D0693FF}</x14:id>
        </ext>
      </extLst>
    </cfRule>
  </conditionalFormatting>
  <conditionalFormatting sqref="C20:D20">
    <cfRule type="dataBar" priority="18">
      <dataBar>
        <cfvo type="min"/>
        <cfvo type="max"/>
        <color rgb="FF008AEF"/>
      </dataBar>
      <extLst>
        <ext xmlns:x14="http://schemas.microsoft.com/office/spreadsheetml/2009/9/main" uri="{B025F937-C7B1-47D3-B67F-A62EFF666E3E}">
          <x14:id>{3BCE1A30-AE32-4DBE-8672-CFB71B4977B8}</x14:id>
        </ext>
      </extLst>
    </cfRule>
  </conditionalFormatting>
  <conditionalFormatting sqref="C21:D21">
    <cfRule type="dataBar" priority="17">
      <dataBar>
        <cfvo type="min"/>
        <cfvo type="max"/>
        <color rgb="FF008AEF"/>
      </dataBar>
      <extLst>
        <ext xmlns:x14="http://schemas.microsoft.com/office/spreadsheetml/2009/9/main" uri="{B025F937-C7B1-47D3-B67F-A62EFF666E3E}">
          <x14:id>{ACC88912-F2BB-448D-ADE2-E29CD99C3A73}</x14:id>
        </ext>
      </extLst>
    </cfRule>
  </conditionalFormatting>
  <conditionalFormatting sqref="C22:D22">
    <cfRule type="dataBar" priority="16">
      <dataBar>
        <cfvo type="min"/>
        <cfvo type="max"/>
        <color rgb="FF008AEF"/>
      </dataBar>
      <extLst>
        <ext xmlns:x14="http://schemas.microsoft.com/office/spreadsheetml/2009/9/main" uri="{B025F937-C7B1-47D3-B67F-A62EFF666E3E}">
          <x14:id>{9BA7DA5E-EA4F-4848-9A1F-A079EBC5CB99}</x14:id>
        </ext>
      </extLst>
    </cfRule>
  </conditionalFormatting>
  <conditionalFormatting sqref="C23:D23">
    <cfRule type="dataBar" priority="15">
      <dataBar>
        <cfvo type="min"/>
        <cfvo type="max"/>
        <color rgb="FF008AEF"/>
      </dataBar>
      <extLst>
        <ext xmlns:x14="http://schemas.microsoft.com/office/spreadsheetml/2009/9/main" uri="{B025F937-C7B1-47D3-B67F-A62EFF666E3E}">
          <x14:id>{4450D468-8DEE-4F97-90B3-CA9EF33A3986}</x14:id>
        </ext>
      </extLst>
    </cfRule>
  </conditionalFormatting>
  <conditionalFormatting sqref="C24:D24">
    <cfRule type="dataBar" priority="14">
      <dataBar>
        <cfvo type="min"/>
        <cfvo type="max"/>
        <color rgb="FF008AEF"/>
      </dataBar>
      <extLst>
        <ext xmlns:x14="http://schemas.microsoft.com/office/spreadsheetml/2009/9/main" uri="{B025F937-C7B1-47D3-B67F-A62EFF666E3E}">
          <x14:id>{CB603A4A-C8F7-42F4-9A32-F2F464BC99E7}</x14:id>
        </ext>
      </extLst>
    </cfRule>
  </conditionalFormatting>
  <conditionalFormatting sqref="C25:D25">
    <cfRule type="dataBar" priority="13">
      <dataBar>
        <cfvo type="min"/>
        <cfvo type="max"/>
        <color rgb="FF008AEF"/>
      </dataBar>
      <extLst>
        <ext xmlns:x14="http://schemas.microsoft.com/office/spreadsheetml/2009/9/main" uri="{B025F937-C7B1-47D3-B67F-A62EFF666E3E}">
          <x14:id>{8ABC0269-9DB0-42D3-A578-A202D812EEEF}</x14:id>
        </ext>
      </extLst>
    </cfRule>
  </conditionalFormatting>
  <conditionalFormatting sqref="C26:D26">
    <cfRule type="dataBar" priority="12">
      <dataBar>
        <cfvo type="min"/>
        <cfvo type="max"/>
        <color rgb="FF008AEF"/>
      </dataBar>
      <extLst>
        <ext xmlns:x14="http://schemas.microsoft.com/office/spreadsheetml/2009/9/main" uri="{B025F937-C7B1-47D3-B67F-A62EFF666E3E}">
          <x14:id>{6470B50F-2462-4A54-A4CD-947EE036C63E}</x14:id>
        </ext>
      </extLst>
    </cfRule>
  </conditionalFormatting>
  <conditionalFormatting sqref="C27:D27">
    <cfRule type="dataBar" priority="11">
      <dataBar>
        <cfvo type="min"/>
        <cfvo type="max"/>
        <color rgb="FF008AEF"/>
      </dataBar>
      <extLst>
        <ext xmlns:x14="http://schemas.microsoft.com/office/spreadsheetml/2009/9/main" uri="{B025F937-C7B1-47D3-B67F-A62EFF666E3E}">
          <x14:id>{80C1691F-597B-4697-A367-108CA6B00C6E}</x14:id>
        </ext>
      </extLst>
    </cfRule>
  </conditionalFormatting>
  <conditionalFormatting sqref="C28:D28">
    <cfRule type="dataBar" priority="10">
      <dataBar>
        <cfvo type="min"/>
        <cfvo type="max"/>
        <color rgb="FF008AEF"/>
      </dataBar>
      <extLst>
        <ext xmlns:x14="http://schemas.microsoft.com/office/spreadsheetml/2009/9/main" uri="{B025F937-C7B1-47D3-B67F-A62EFF666E3E}">
          <x14:id>{CD9DB01C-66D8-4C35-99D1-5F6863B5B196}</x14:id>
        </ext>
      </extLst>
    </cfRule>
  </conditionalFormatting>
  <conditionalFormatting sqref="C29:D29">
    <cfRule type="dataBar" priority="9">
      <dataBar>
        <cfvo type="min"/>
        <cfvo type="max"/>
        <color rgb="FF008AEF"/>
      </dataBar>
      <extLst>
        <ext xmlns:x14="http://schemas.microsoft.com/office/spreadsheetml/2009/9/main" uri="{B025F937-C7B1-47D3-B67F-A62EFF666E3E}">
          <x14:id>{F6674499-7FE8-4FFA-841B-0C538D32E2D1}</x14:id>
        </ext>
      </extLst>
    </cfRule>
  </conditionalFormatting>
  <conditionalFormatting sqref="C30:D30">
    <cfRule type="dataBar" priority="8">
      <dataBar>
        <cfvo type="min"/>
        <cfvo type="max"/>
        <color rgb="FF008AEF"/>
      </dataBar>
      <extLst>
        <ext xmlns:x14="http://schemas.microsoft.com/office/spreadsheetml/2009/9/main" uri="{B025F937-C7B1-47D3-B67F-A62EFF666E3E}">
          <x14:id>{E8FC8CE3-1250-4569-99B3-1AB89699268B}</x14:id>
        </ext>
      </extLst>
    </cfRule>
  </conditionalFormatting>
  <conditionalFormatting sqref="C31:D31">
    <cfRule type="dataBar" priority="7">
      <dataBar>
        <cfvo type="min"/>
        <cfvo type="max"/>
        <color rgb="FF008AEF"/>
      </dataBar>
      <extLst>
        <ext xmlns:x14="http://schemas.microsoft.com/office/spreadsheetml/2009/9/main" uri="{B025F937-C7B1-47D3-B67F-A62EFF666E3E}">
          <x14:id>{75EBAD84-10D1-4FFB-A8B6-901523A37B17}</x14:id>
        </ext>
      </extLst>
    </cfRule>
  </conditionalFormatting>
  <conditionalFormatting sqref="D3">
    <cfRule type="dataBar" priority="3">
      <dataBar>
        <cfvo type="min"/>
        <cfvo type="max"/>
        <color rgb="FF008AEF"/>
      </dataBar>
      <extLst>
        <ext xmlns:x14="http://schemas.microsoft.com/office/spreadsheetml/2009/9/main" uri="{B025F937-C7B1-47D3-B67F-A62EFF666E3E}">
          <x14:id>{829B845A-FE3C-4F1B-B468-7F2899EB7DF8}</x14:id>
        </ext>
      </extLst>
    </cfRule>
  </conditionalFormatting>
  <conditionalFormatting sqref="E3:F27 E28:O31">
    <cfRule type="cellIs" dxfId="6" priority="1" operator="greaterThan">
      <formula>0</formula>
    </cfRule>
  </conditionalFormatting>
  <conditionalFormatting sqref="G4:O27">
    <cfRule type="cellIs" dxfId="5" priority="5" operator="greaterThan">
      <formula>0</formula>
    </cfRule>
  </conditionalFormatting>
  <conditionalFormatting sqref="G3:P3">
    <cfRule type="cellIs" dxfId="4" priority="2" operator="greaterThan">
      <formula>0</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D03A25DB-682F-4E6B-8AF6-E6820051D6FE}">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DF448FCC-ABAF-4E5A-BDC0-79E8E29096A9}">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8169B555-E2D4-4FAF-B162-077AA605F603}">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6B65E83B-F3CE-480C-9CC5-FDE5829DECF3}">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F79CA278-30F5-43C7-900A-DA9E9756488D}">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2B9DDC16-6F5B-4348-A3A4-29C497B61873}">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47357323-1697-438F-B1AC-25D2C3B38C8C}">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E4F20949-65FD-4748-85FE-12913BCC9561}">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70A69F8E-36C0-447A-91F7-D8CB004559F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8161BEAD-6683-4548-8F2E-2F80E2F68660}">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A57EBA4A-85AD-4826-A49F-AB6D2BB57B56}">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36953D8D-3039-444A-86C2-9D5BD2A4E3DC}">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BF46DC6F-BDB5-44C3-B221-965451274190}">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5EC59203-7E4F-40AD-A8A8-C1CADA20DE83}">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FBA16B34-DF06-4397-9896-D8D5DB1DC39B}">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6651A297-036F-4FE7-9396-B56ADB8B327A}">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344F26CB-56B8-4590-B2CA-27171D0693FF}">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3BCE1A30-AE32-4DBE-8672-CFB71B4977B8}">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ACC88912-F2BB-448D-ADE2-E29CD99C3A73}">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9BA7DA5E-EA4F-4848-9A1F-A079EBC5CB99}">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4450D468-8DEE-4F97-90B3-CA9EF33A3986}">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CB603A4A-C8F7-42F4-9A32-F2F464BC99E7}">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8ABC0269-9DB0-42D3-A578-A202D812EEEF}">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6470B50F-2462-4A54-A4CD-947EE036C63E}">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80C1691F-597B-4697-A367-108CA6B00C6E}">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CD9DB01C-66D8-4C35-99D1-5F6863B5B196}">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F6674499-7FE8-4FFA-841B-0C538D32E2D1}">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E8FC8CE3-1250-4569-99B3-1AB89699268B}">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75EBAD84-10D1-4FFB-A8B6-901523A37B17}">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829B845A-FE3C-4F1B-B468-7F2899EB7DF8}">
            <x14:dataBar minLength="0" maxLength="100" gradient="0">
              <x14:cfvo type="autoMin"/>
              <x14:cfvo type="autoMax"/>
              <x14:negativeFillColor rgb="FFFF0000"/>
              <x14:axisColor rgb="FF000000"/>
            </x14:dataBar>
          </x14:cfRule>
          <xm:sqref>D3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P58"/>
  <sheetViews>
    <sheetView zoomScale="60" zoomScaleNormal="60" workbookViewId="0">
      <selection activeCell="N7" sqref="N7"/>
    </sheetView>
  </sheetViews>
  <sheetFormatPr baseColWidth="10" defaultColWidth="13.140625" defaultRowHeight="15" x14ac:dyDescent="0.25"/>
  <cols>
    <col min="1" max="1" width="9.85546875" style="2" customWidth="1"/>
    <col min="2" max="2" width="86.85546875" style="2" customWidth="1"/>
    <col min="3" max="3" width="13.140625" style="2"/>
    <col min="4" max="4" width="25.7109375" style="2" customWidth="1"/>
    <col min="5" max="9" width="19.7109375" style="2" customWidth="1"/>
    <col min="10" max="16384" width="13.140625" style="2"/>
  </cols>
  <sheetData>
    <row r="1" spans="1:16" ht="61.5" customHeight="1" x14ac:dyDescent="0.25">
      <c r="A1" s="56" t="s">
        <v>1</v>
      </c>
      <c r="B1" s="29" t="s">
        <v>31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7"/>
      <c r="B2" s="29"/>
      <c r="C2" s="3">
        <v>2026</v>
      </c>
      <c r="D2" s="3" t="s">
        <v>16</v>
      </c>
      <c r="E2" s="30"/>
      <c r="F2" s="30"/>
      <c r="G2" s="30"/>
      <c r="H2" s="30"/>
      <c r="I2" s="30"/>
      <c r="J2" s="30"/>
      <c r="K2" s="30"/>
      <c r="L2" s="30"/>
      <c r="M2" s="30"/>
      <c r="N2" s="30"/>
      <c r="O2" s="30"/>
      <c r="P2" s="30"/>
    </row>
    <row r="3" spans="1:16" ht="81" customHeight="1" x14ac:dyDescent="0.25">
      <c r="A3" s="51" t="s">
        <v>18</v>
      </c>
      <c r="B3" s="14" t="s">
        <v>32</v>
      </c>
      <c r="C3" s="5">
        <v>2</v>
      </c>
      <c r="D3" s="28">
        <f>SUM(E3:P3)</f>
        <v>1</v>
      </c>
      <c r="E3" s="33">
        <v>0</v>
      </c>
      <c r="F3" s="33">
        <v>0</v>
      </c>
      <c r="G3" s="33">
        <v>0</v>
      </c>
      <c r="H3" s="33">
        <v>1</v>
      </c>
      <c r="I3" s="33"/>
      <c r="J3" s="33"/>
      <c r="K3" s="33"/>
      <c r="L3" s="33"/>
      <c r="M3" s="33"/>
      <c r="N3" s="33"/>
      <c r="O3" s="33"/>
      <c r="P3" s="33"/>
    </row>
    <row r="4" spans="1:16" ht="81" customHeight="1" x14ac:dyDescent="0.25">
      <c r="A4" s="47" t="s">
        <v>20</v>
      </c>
      <c r="B4" s="13" t="s">
        <v>19</v>
      </c>
      <c r="C4" s="12">
        <v>2</v>
      </c>
      <c r="D4" s="28">
        <f>SUM(E4:P4)</f>
        <v>1</v>
      </c>
      <c r="E4" s="33">
        <v>0</v>
      </c>
      <c r="F4" s="33">
        <v>0</v>
      </c>
      <c r="G4" s="33">
        <v>0</v>
      </c>
      <c r="H4" s="33">
        <v>0</v>
      </c>
      <c r="I4" s="33">
        <v>1</v>
      </c>
      <c r="J4" s="33"/>
      <c r="K4" s="33"/>
      <c r="L4" s="33"/>
      <c r="M4" s="33"/>
      <c r="N4" s="33"/>
      <c r="O4" s="33"/>
      <c r="P4" s="33"/>
    </row>
    <row r="5" spans="1:16" ht="81" customHeight="1" x14ac:dyDescent="0.25">
      <c r="A5" s="48" t="s">
        <v>18</v>
      </c>
      <c r="B5" s="15" t="s">
        <v>33</v>
      </c>
      <c r="C5" s="36">
        <v>2</v>
      </c>
      <c r="D5" s="28">
        <f>SUM(E5:P5)</f>
        <v>2</v>
      </c>
      <c r="E5" s="33"/>
      <c r="F5" s="33"/>
      <c r="G5" s="33"/>
      <c r="H5" s="33">
        <v>2</v>
      </c>
      <c r="I5" s="33"/>
      <c r="J5" s="33"/>
      <c r="K5" s="33"/>
      <c r="L5" s="33"/>
      <c r="M5" s="33"/>
      <c r="N5" s="33"/>
      <c r="O5" s="33"/>
      <c r="P5" s="33"/>
    </row>
    <row r="6" spans="1:16" ht="81" customHeight="1" x14ac:dyDescent="0.25">
      <c r="A6" s="48" t="s">
        <v>18</v>
      </c>
      <c r="B6" s="15" t="s">
        <v>34</v>
      </c>
      <c r="C6" s="7">
        <v>1</v>
      </c>
      <c r="D6" s="28">
        <f>SUM(E6:P6)</f>
        <v>1</v>
      </c>
      <c r="E6" s="33"/>
      <c r="F6" s="33"/>
      <c r="G6" s="33"/>
      <c r="H6" s="33">
        <v>1</v>
      </c>
      <c r="I6" s="33"/>
      <c r="J6" s="33"/>
      <c r="K6" s="33"/>
      <c r="L6" s="33"/>
      <c r="M6" s="33"/>
      <c r="N6" s="33"/>
      <c r="O6" s="33"/>
      <c r="P6" s="33"/>
    </row>
    <row r="7" spans="1:16" ht="28.5" customHeight="1" x14ac:dyDescent="0.25">
      <c r="A7" s="58" t="s">
        <v>52</v>
      </c>
      <c r="B7" s="39" t="s">
        <v>53</v>
      </c>
      <c r="C7" s="7">
        <v>3</v>
      </c>
      <c r="D7" s="28">
        <f t="shared" ref="D7:D34" si="0">SUM(E7:P7)</f>
        <v>1</v>
      </c>
      <c r="E7" s="33"/>
      <c r="F7" s="33"/>
      <c r="G7" s="33">
        <v>1</v>
      </c>
      <c r="H7" s="33"/>
      <c r="I7" s="33"/>
      <c r="J7" s="33"/>
      <c r="K7" s="33"/>
      <c r="L7" s="33"/>
      <c r="M7" s="33"/>
      <c r="N7" s="33"/>
      <c r="O7" s="33"/>
      <c r="P7" s="33"/>
    </row>
    <row r="8" spans="1:16" ht="28.5" customHeight="1" x14ac:dyDescent="0.25">
      <c r="A8" s="59"/>
      <c r="B8" s="39" t="s">
        <v>54</v>
      </c>
      <c r="C8" s="7">
        <v>3</v>
      </c>
      <c r="D8" s="28">
        <f t="shared" si="0"/>
        <v>0</v>
      </c>
      <c r="E8" s="33"/>
      <c r="F8" s="33"/>
      <c r="G8" s="33"/>
      <c r="H8" s="33"/>
      <c r="I8" s="33"/>
      <c r="J8" s="33"/>
      <c r="K8" s="33"/>
      <c r="L8" s="33"/>
      <c r="M8" s="33"/>
      <c r="N8" s="33"/>
      <c r="O8" s="33"/>
      <c r="P8" s="33"/>
    </row>
    <row r="9" spans="1:16" ht="28.5" customHeight="1" x14ac:dyDescent="0.25">
      <c r="A9" s="59"/>
      <c r="B9" s="39" t="s">
        <v>55</v>
      </c>
      <c r="C9" s="7">
        <v>52</v>
      </c>
      <c r="D9" s="28">
        <f t="shared" si="0"/>
        <v>14</v>
      </c>
      <c r="E9" s="33">
        <v>2</v>
      </c>
      <c r="F9" s="33">
        <v>7</v>
      </c>
      <c r="G9" s="33">
        <v>2</v>
      </c>
      <c r="H9" s="33">
        <v>2</v>
      </c>
      <c r="I9" s="33">
        <v>1</v>
      </c>
      <c r="J9" s="33"/>
      <c r="K9" s="33"/>
      <c r="L9" s="33"/>
      <c r="M9" s="33"/>
      <c r="N9" s="33"/>
      <c r="O9" s="33"/>
      <c r="P9" s="33"/>
    </row>
    <row r="10" spans="1:16" ht="28.5" customHeight="1" x14ac:dyDescent="0.25">
      <c r="A10" s="59"/>
      <c r="B10" s="39" t="s">
        <v>56</v>
      </c>
      <c r="C10" s="7">
        <v>33</v>
      </c>
      <c r="D10" s="28">
        <f t="shared" si="0"/>
        <v>11</v>
      </c>
      <c r="E10" s="33"/>
      <c r="F10" s="33"/>
      <c r="G10" s="33">
        <v>11</v>
      </c>
      <c r="H10" s="33"/>
      <c r="I10" s="33"/>
      <c r="J10" s="33"/>
      <c r="K10" s="33"/>
      <c r="L10" s="33"/>
      <c r="M10" s="33"/>
      <c r="N10" s="33"/>
      <c r="O10" s="33"/>
      <c r="P10" s="33"/>
    </row>
    <row r="11" spans="1:16" ht="28.5" customHeight="1" x14ac:dyDescent="0.25">
      <c r="A11" s="59"/>
      <c r="B11" s="39" t="s">
        <v>57</v>
      </c>
      <c r="C11" s="7">
        <v>0</v>
      </c>
      <c r="D11" s="28">
        <f t="shared" si="0"/>
        <v>0</v>
      </c>
      <c r="E11" s="33"/>
      <c r="F11" s="33"/>
      <c r="G11" s="33"/>
      <c r="H11" s="33"/>
      <c r="I11" s="33"/>
      <c r="J11" s="33"/>
      <c r="K11" s="33"/>
      <c r="L11" s="33"/>
      <c r="M11" s="33"/>
      <c r="N11" s="33"/>
      <c r="O11" s="33"/>
      <c r="P11" s="33"/>
    </row>
    <row r="12" spans="1:16" ht="28.5" customHeight="1" x14ac:dyDescent="0.25">
      <c r="A12" s="59"/>
      <c r="B12" s="39" t="s">
        <v>58</v>
      </c>
      <c r="C12" s="7">
        <v>3</v>
      </c>
      <c r="D12" s="28">
        <f t="shared" si="0"/>
        <v>0</v>
      </c>
      <c r="E12" s="33"/>
      <c r="F12" s="33"/>
      <c r="G12" s="33"/>
      <c r="H12" s="33"/>
      <c r="I12" s="33"/>
      <c r="J12" s="33"/>
      <c r="K12" s="33"/>
      <c r="L12" s="33"/>
      <c r="M12" s="33"/>
      <c r="N12" s="33"/>
      <c r="O12" s="33"/>
      <c r="P12" s="33"/>
    </row>
    <row r="13" spans="1:16" ht="28.5" customHeight="1" x14ac:dyDescent="0.25">
      <c r="A13" s="59"/>
      <c r="B13" s="39" t="s">
        <v>59</v>
      </c>
      <c r="C13" s="7">
        <v>0</v>
      </c>
      <c r="D13" s="28">
        <f t="shared" si="0"/>
        <v>0</v>
      </c>
      <c r="E13" s="33"/>
      <c r="F13" s="33"/>
      <c r="G13" s="33"/>
      <c r="H13" s="33"/>
      <c r="I13" s="33"/>
      <c r="J13" s="33"/>
      <c r="K13" s="33"/>
      <c r="L13" s="33"/>
      <c r="M13" s="33"/>
      <c r="N13" s="33"/>
      <c r="O13" s="33"/>
      <c r="P13" s="33"/>
    </row>
    <row r="14" spans="1:16" ht="28.5" customHeight="1" x14ac:dyDescent="0.25">
      <c r="A14" s="59"/>
      <c r="B14" s="39" t="s">
        <v>60</v>
      </c>
      <c r="C14" s="7">
        <v>0</v>
      </c>
      <c r="D14" s="28">
        <f t="shared" si="0"/>
        <v>0</v>
      </c>
      <c r="E14" s="33"/>
      <c r="F14" s="33"/>
      <c r="G14" s="33"/>
      <c r="H14" s="33"/>
      <c r="I14" s="33"/>
      <c r="J14" s="33"/>
      <c r="K14" s="33"/>
      <c r="L14" s="33"/>
      <c r="M14" s="33"/>
      <c r="N14" s="33"/>
      <c r="O14" s="33"/>
      <c r="P14" s="33"/>
    </row>
    <row r="15" spans="1:16" ht="28.5" customHeight="1" x14ac:dyDescent="0.25">
      <c r="A15" s="59"/>
      <c r="B15" s="39" t="s">
        <v>61</v>
      </c>
      <c r="C15" s="7">
        <v>4</v>
      </c>
      <c r="D15" s="28">
        <f t="shared" si="0"/>
        <v>0</v>
      </c>
      <c r="E15" s="33"/>
      <c r="F15" s="33"/>
      <c r="G15" s="33"/>
      <c r="H15" s="33"/>
      <c r="I15" s="33"/>
      <c r="J15" s="33"/>
      <c r="K15" s="33"/>
      <c r="L15" s="33"/>
      <c r="M15" s="33"/>
      <c r="N15" s="33"/>
      <c r="O15" s="33"/>
      <c r="P15" s="33"/>
    </row>
    <row r="16" spans="1:16" ht="28.5" customHeight="1" x14ac:dyDescent="0.25">
      <c r="A16" s="59"/>
      <c r="B16" s="39" t="s">
        <v>62</v>
      </c>
      <c r="C16" s="7">
        <v>2</v>
      </c>
      <c r="D16" s="28">
        <f t="shared" si="0"/>
        <v>0</v>
      </c>
      <c r="E16" s="33"/>
      <c r="F16" s="33"/>
      <c r="G16" s="33"/>
      <c r="H16" s="33"/>
      <c r="I16" s="33"/>
      <c r="J16" s="33"/>
      <c r="K16" s="33"/>
      <c r="L16" s="33"/>
      <c r="M16" s="33"/>
      <c r="N16" s="33"/>
      <c r="O16" s="33"/>
      <c r="P16" s="33"/>
    </row>
    <row r="17" spans="1:16" ht="28.5" customHeight="1" x14ac:dyDescent="0.25">
      <c r="A17" s="59"/>
      <c r="B17" s="39" t="s">
        <v>63</v>
      </c>
      <c r="C17" s="7">
        <v>2</v>
      </c>
      <c r="D17" s="28">
        <f t="shared" si="0"/>
        <v>0</v>
      </c>
      <c r="E17" s="33"/>
      <c r="F17" s="33"/>
      <c r="G17" s="33"/>
      <c r="H17" s="33"/>
      <c r="I17" s="33"/>
      <c r="J17" s="33"/>
      <c r="K17" s="33"/>
      <c r="L17" s="33"/>
      <c r="M17" s="33"/>
      <c r="N17" s="33"/>
      <c r="O17" s="33"/>
      <c r="P17" s="33"/>
    </row>
    <row r="18" spans="1:16" ht="28.5" customHeight="1" x14ac:dyDescent="0.25">
      <c r="A18" s="59"/>
      <c r="B18" s="39" t="s">
        <v>64</v>
      </c>
      <c r="C18" s="7">
        <v>0</v>
      </c>
      <c r="D18" s="28">
        <f t="shared" si="0"/>
        <v>0</v>
      </c>
      <c r="E18" s="33"/>
      <c r="F18" s="33"/>
      <c r="G18" s="33"/>
      <c r="H18" s="33"/>
      <c r="I18" s="33"/>
      <c r="J18" s="33"/>
      <c r="K18" s="33"/>
      <c r="L18" s="33"/>
      <c r="M18" s="33"/>
      <c r="N18" s="33"/>
      <c r="O18" s="33"/>
      <c r="P18" s="33"/>
    </row>
    <row r="19" spans="1:16" ht="28.5" customHeight="1" x14ac:dyDescent="0.25">
      <c r="A19" s="59"/>
      <c r="B19" s="39" t="s">
        <v>65</v>
      </c>
      <c r="C19" s="7">
        <v>0</v>
      </c>
      <c r="D19" s="28">
        <f t="shared" si="0"/>
        <v>0</v>
      </c>
      <c r="E19" s="33"/>
      <c r="F19" s="33"/>
      <c r="G19" s="33"/>
      <c r="H19" s="33"/>
      <c r="I19" s="33"/>
      <c r="J19" s="33"/>
      <c r="K19" s="33"/>
      <c r="L19" s="33"/>
      <c r="M19" s="33"/>
      <c r="N19" s="33"/>
      <c r="O19" s="33"/>
      <c r="P19" s="33"/>
    </row>
    <row r="20" spans="1:16" ht="28.5" customHeight="1" x14ac:dyDescent="0.25">
      <c r="A20" s="59"/>
      <c r="B20" s="39" t="s">
        <v>66</v>
      </c>
      <c r="C20" s="7">
        <v>0</v>
      </c>
      <c r="D20" s="28">
        <f t="shared" si="0"/>
        <v>0</v>
      </c>
      <c r="E20" s="33"/>
      <c r="F20" s="33"/>
      <c r="G20" s="33"/>
      <c r="H20" s="33"/>
      <c r="I20" s="33"/>
      <c r="J20" s="33"/>
      <c r="K20" s="33"/>
      <c r="L20" s="33"/>
      <c r="M20" s="33"/>
      <c r="N20" s="33"/>
      <c r="O20" s="33"/>
      <c r="P20" s="33"/>
    </row>
    <row r="21" spans="1:16" ht="28.5" customHeight="1" x14ac:dyDescent="0.25">
      <c r="A21" s="59"/>
      <c r="B21" s="39" t="s">
        <v>67</v>
      </c>
      <c r="C21" s="7">
        <v>105</v>
      </c>
      <c r="D21" s="28">
        <f t="shared" si="0"/>
        <v>32</v>
      </c>
      <c r="E21" s="33"/>
      <c r="F21" s="33">
        <v>16</v>
      </c>
      <c r="G21" s="33"/>
      <c r="H21" s="33"/>
      <c r="I21" s="33">
        <v>16</v>
      </c>
      <c r="J21" s="33"/>
      <c r="K21" s="33"/>
      <c r="L21" s="33"/>
      <c r="M21" s="33"/>
      <c r="N21" s="33"/>
      <c r="O21" s="33"/>
      <c r="P21" s="33"/>
    </row>
    <row r="22" spans="1:16" ht="28.5" customHeight="1" x14ac:dyDescent="0.25">
      <c r="A22" s="59"/>
      <c r="B22" s="39" t="s">
        <v>68</v>
      </c>
      <c r="C22" s="7">
        <v>3</v>
      </c>
      <c r="D22" s="28">
        <f t="shared" si="0"/>
        <v>0</v>
      </c>
      <c r="E22" s="33"/>
      <c r="F22" s="33"/>
      <c r="G22" s="33"/>
      <c r="H22" s="33"/>
      <c r="I22" s="33"/>
      <c r="J22" s="33"/>
      <c r="K22" s="33"/>
      <c r="L22" s="33"/>
      <c r="M22" s="33"/>
      <c r="N22" s="33"/>
      <c r="O22" s="33"/>
      <c r="P22" s="33"/>
    </row>
    <row r="23" spans="1:16" ht="24" customHeight="1" x14ac:dyDescent="0.25">
      <c r="A23" s="59"/>
      <c r="B23" s="49" t="s">
        <v>69</v>
      </c>
      <c r="C23" s="7">
        <v>5</v>
      </c>
      <c r="D23" s="28">
        <f t="shared" si="0"/>
        <v>3</v>
      </c>
      <c r="E23" s="33">
        <v>2</v>
      </c>
      <c r="F23" s="33">
        <v>1</v>
      </c>
      <c r="G23" s="33"/>
      <c r="H23" s="33"/>
      <c r="I23" s="33"/>
      <c r="J23" s="33"/>
      <c r="K23" s="33"/>
      <c r="L23" s="33"/>
      <c r="M23" s="33"/>
      <c r="N23" s="33"/>
      <c r="O23" s="33"/>
      <c r="P23" s="33"/>
    </row>
    <row r="24" spans="1:16" ht="24" customHeight="1" x14ac:dyDescent="0.25">
      <c r="A24" s="59"/>
      <c r="B24" s="49" t="s">
        <v>70</v>
      </c>
      <c r="C24" s="7">
        <v>5</v>
      </c>
      <c r="D24" s="28">
        <f t="shared" si="0"/>
        <v>5</v>
      </c>
      <c r="E24" s="33"/>
      <c r="F24" s="33">
        <v>5</v>
      </c>
      <c r="G24" s="33"/>
      <c r="H24" s="33"/>
      <c r="I24" s="33"/>
      <c r="J24" s="33"/>
      <c r="K24" s="33"/>
      <c r="L24" s="33"/>
      <c r="M24" s="33"/>
      <c r="N24" s="33"/>
      <c r="O24" s="33"/>
      <c r="P24" s="33"/>
    </row>
    <row r="25" spans="1:16" ht="24" customHeight="1" x14ac:dyDescent="0.25">
      <c r="A25" s="59"/>
      <c r="B25" s="49" t="s">
        <v>71</v>
      </c>
      <c r="C25" s="7">
        <v>5</v>
      </c>
      <c r="D25" s="28">
        <f t="shared" si="0"/>
        <v>5</v>
      </c>
      <c r="E25" s="33"/>
      <c r="F25" s="33"/>
      <c r="G25" s="33"/>
      <c r="H25" s="33">
        <v>5</v>
      </c>
      <c r="I25" s="33"/>
      <c r="J25" s="33"/>
      <c r="K25" s="33"/>
      <c r="L25" s="33"/>
      <c r="M25" s="33"/>
      <c r="N25" s="33"/>
      <c r="O25" s="33"/>
      <c r="P25" s="33"/>
    </row>
    <row r="26" spans="1:16" ht="24" customHeight="1" x14ac:dyDescent="0.25">
      <c r="A26" s="59"/>
      <c r="B26" s="49" t="s">
        <v>72</v>
      </c>
      <c r="C26" s="7">
        <v>5</v>
      </c>
      <c r="D26" s="28">
        <f t="shared" si="0"/>
        <v>0</v>
      </c>
      <c r="E26" s="33"/>
      <c r="F26" s="33"/>
      <c r="G26" s="33"/>
      <c r="H26" s="33"/>
      <c r="I26" s="33"/>
      <c r="J26" s="33"/>
      <c r="K26" s="33"/>
      <c r="L26" s="33"/>
      <c r="M26" s="33"/>
      <c r="N26" s="33"/>
      <c r="O26" s="33"/>
      <c r="P26" s="33"/>
    </row>
    <row r="27" spans="1:16" ht="24" customHeight="1" x14ac:dyDescent="0.25">
      <c r="A27" s="59"/>
      <c r="B27" s="49" t="s">
        <v>73</v>
      </c>
      <c r="C27" s="7">
        <v>5</v>
      </c>
      <c r="D27" s="28">
        <f t="shared" si="0"/>
        <v>0</v>
      </c>
      <c r="E27" s="33"/>
      <c r="F27" s="33"/>
      <c r="G27" s="33"/>
      <c r="H27" s="33"/>
      <c r="I27" s="33"/>
      <c r="J27" s="33"/>
      <c r="K27" s="33"/>
      <c r="L27" s="33"/>
      <c r="M27" s="33"/>
      <c r="N27" s="33"/>
      <c r="O27" s="33"/>
      <c r="P27" s="33"/>
    </row>
    <row r="28" spans="1:16" ht="24" customHeight="1" x14ac:dyDescent="0.25">
      <c r="A28" s="59"/>
      <c r="B28" s="49" t="s">
        <v>74</v>
      </c>
      <c r="C28" s="7">
        <v>1</v>
      </c>
      <c r="D28" s="28">
        <f t="shared" si="0"/>
        <v>0</v>
      </c>
      <c r="E28" s="33"/>
      <c r="F28" s="33"/>
      <c r="G28" s="33"/>
      <c r="H28" s="33"/>
      <c r="I28" s="33"/>
      <c r="J28" s="33"/>
      <c r="K28" s="33"/>
      <c r="L28" s="33"/>
      <c r="M28" s="33"/>
      <c r="N28" s="33"/>
      <c r="O28" s="33"/>
      <c r="P28" s="33"/>
    </row>
    <row r="29" spans="1:16" ht="24" customHeight="1" x14ac:dyDescent="0.25">
      <c r="A29" s="59"/>
      <c r="B29" s="49" t="s">
        <v>75</v>
      </c>
      <c r="C29" s="7">
        <v>1</v>
      </c>
      <c r="D29" s="28">
        <f t="shared" si="0"/>
        <v>0</v>
      </c>
      <c r="E29" s="33"/>
      <c r="F29" s="33"/>
      <c r="G29" s="33"/>
      <c r="H29" s="33"/>
      <c r="I29" s="33"/>
      <c r="J29" s="33"/>
      <c r="K29" s="33"/>
      <c r="L29" s="33"/>
      <c r="M29" s="33"/>
      <c r="N29" s="33"/>
      <c r="O29" s="33"/>
      <c r="P29" s="33"/>
    </row>
    <row r="30" spans="1:16" ht="24" customHeight="1" x14ac:dyDescent="0.25">
      <c r="A30" s="59"/>
      <c r="B30" s="49" t="s">
        <v>76</v>
      </c>
      <c r="C30" s="7">
        <v>1</v>
      </c>
      <c r="D30" s="28">
        <f t="shared" si="0"/>
        <v>0</v>
      </c>
      <c r="E30" s="33"/>
      <c r="F30" s="33"/>
      <c r="G30" s="33"/>
      <c r="H30" s="33"/>
      <c r="I30" s="33"/>
      <c r="J30" s="33"/>
      <c r="K30" s="33"/>
      <c r="L30" s="33"/>
      <c r="M30" s="33"/>
      <c r="N30" s="33"/>
      <c r="O30" s="33"/>
      <c r="P30" s="33"/>
    </row>
    <row r="31" spans="1:16" ht="24" customHeight="1" x14ac:dyDescent="0.25">
      <c r="A31" s="59"/>
      <c r="B31" s="49" t="s">
        <v>77</v>
      </c>
      <c r="C31" s="7">
        <v>1</v>
      </c>
      <c r="D31" s="28">
        <f t="shared" si="0"/>
        <v>0</v>
      </c>
      <c r="E31" s="33"/>
      <c r="F31" s="33"/>
      <c r="G31" s="33"/>
      <c r="H31" s="33"/>
      <c r="I31" s="33"/>
      <c r="J31" s="33"/>
      <c r="K31" s="33"/>
      <c r="L31" s="33"/>
      <c r="M31" s="33"/>
      <c r="N31" s="33"/>
      <c r="O31" s="33"/>
      <c r="P31" s="33"/>
    </row>
    <row r="32" spans="1:16" ht="24" customHeight="1" x14ac:dyDescent="0.25">
      <c r="A32" s="59"/>
      <c r="B32" s="49" t="s">
        <v>78</v>
      </c>
      <c r="C32" s="7">
        <v>1</v>
      </c>
      <c r="D32" s="28">
        <f t="shared" si="0"/>
        <v>0</v>
      </c>
      <c r="E32" s="33"/>
      <c r="F32" s="33"/>
      <c r="G32" s="33"/>
      <c r="H32" s="33"/>
      <c r="I32" s="33"/>
      <c r="J32" s="33"/>
      <c r="K32" s="33"/>
      <c r="L32" s="33"/>
      <c r="M32" s="33"/>
      <c r="N32" s="33"/>
      <c r="O32" s="33"/>
      <c r="P32" s="33"/>
    </row>
    <row r="33" spans="1:16" ht="24" customHeight="1" x14ac:dyDescent="0.25">
      <c r="A33" s="59"/>
      <c r="B33" s="49" t="s">
        <v>79</v>
      </c>
      <c r="C33" s="7">
        <v>1</v>
      </c>
      <c r="D33" s="28">
        <f t="shared" si="0"/>
        <v>0</v>
      </c>
      <c r="E33" s="33"/>
      <c r="F33" s="33"/>
      <c r="G33" s="33"/>
      <c r="H33" s="33"/>
      <c r="I33" s="33"/>
      <c r="J33" s="33"/>
      <c r="K33" s="33"/>
      <c r="L33" s="33"/>
      <c r="M33" s="33"/>
      <c r="N33" s="33"/>
      <c r="O33" s="33"/>
      <c r="P33" s="33"/>
    </row>
    <row r="34" spans="1:16" ht="24" customHeight="1" thickBot="1" x14ac:dyDescent="0.3">
      <c r="A34" s="60"/>
      <c r="B34" s="50" t="s">
        <v>80</v>
      </c>
      <c r="C34" s="7">
        <v>1</v>
      </c>
      <c r="D34" s="28">
        <f t="shared" si="0"/>
        <v>0</v>
      </c>
      <c r="E34" s="33"/>
      <c r="F34" s="33"/>
      <c r="G34" s="33"/>
      <c r="H34" s="33"/>
      <c r="I34" s="33"/>
      <c r="J34" s="33"/>
      <c r="K34" s="33"/>
      <c r="L34" s="33"/>
      <c r="M34" s="33"/>
      <c r="N34" s="33"/>
      <c r="O34" s="33"/>
      <c r="P34" s="33"/>
    </row>
    <row r="35" spans="1:16" x14ac:dyDescent="0.25">
      <c r="C35" s="43">
        <f>SUM(C3:C34)</f>
        <v>249</v>
      </c>
      <c r="D35" s="44">
        <f>SUM(D3:D34)</f>
        <v>76</v>
      </c>
    </row>
    <row r="36" spans="1:16" x14ac:dyDescent="0.25">
      <c r="C36" s="45"/>
      <c r="D36" s="9">
        <f>D35/C35</f>
        <v>0.30522088353413657</v>
      </c>
    </row>
    <row r="43" spans="1:16" x14ac:dyDescent="0.25">
      <c r="C43" s="8">
        <v>3</v>
      </c>
    </row>
    <row r="44" spans="1:16" x14ac:dyDescent="0.25">
      <c r="C44" s="8">
        <v>3</v>
      </c>
    </row>
    <row r="45" spans="1:16" x14ac:dyDescent="0.25">
      <c r="C45" s="8">
        <v>52</v>
      </c>
    </row>
    <row r="46" spans="1:16" x14ac:dyDescent="0.25">
      <c r="C46" s="8">
        <v>33</v>
      </c>
    </row>
    <row r="47" spans="1:16" x14ac:dyDescent="0.25">
      <c r="C47" s="8">
        <v>0</v>
      </c>
    </row>
    <row r="48" spans="1:16" x14ac:dyDescent="0.25">
      <c r="C48" s="8">
        <v>3</v>
      </c>
    </row>
    <row r="49" spans="3:3" x14ac:dyDescent="0.25">
      <c r="C49" s="8">
        <v>0</v>
      </c>
    </row>
    <row r="50" spans="3:3" x14ac:dyDescent="0.25">
      <c r="C50" s="8">
        <v>0</v>
      </c>
    </row>
    <row r="51" spans="3:3" x14ac:dyDescent="0.25">
      <c r="C51" s="8">
        <v>4</v>
      </c>
    </row>
    <row r="52" spans="3:3" x14ac:dyDescent="0.25">
      <c r="C52" s="8">
        <v>2</v>
      </c>
    </row>
    <row r="53" spans="3:3" x14ac:dyDescent="0.25">
      <c r="C53" s="8">
        <v>2</v>
      </c>
    </row>
    <row r="54" spans="3:3" x14ac:dyDescent="0.25">
      <c r="C54" s="8">
        <v>0</v>
      </c>
    </row>
    <row r="55" spans="3:3" x14ac:dyDescent="0.25">
      <c r="C55" s="8">
        <v>0</v>
      </c>
    </row>
    <row r="56" spans="3:3" x14ac:dyDescent="0.25">
      <c r="C56" s="8">
        <v>0</v>
      </c>
    </row>
    <row r="57" spans="3:3" x14ac:dyDescent="0.25">
      <c r="C57" s="8">
        <v>105</v>
      </c>
    </row>
    <row r="58" spans="3:3" x14ac:dyDescent="0.25">
      <c r="C58" s="8">
        <v>3</v>
      </c>
    </row>
  </sheetData>
  <sheetProtection algorithmName="SHA-512" hashValue="ZmRpw+pkD8lGB387YkDdcKhuGwNwZliEmLFbO4CemnrzG8K0QmzjN+gLTglxnw5QU/E6bRR+rURGw2X+ksGqAQ==" saltValue="5arAPCqlPNYYnKpBcniLAA==" spinCount="100000" sheet="1" objects="1" scenarios="1" autoFilter="0"/>
  <mergeCells count="2">
    <mergeCell ref="A1:A2"/>
    <mergeCell ref="A7:A34"/>
  </mergeCells>
  <conditionalFormatting sqref="C3:D3 D4:D6">
    <cfRule type="dataBar" priority="45">
      <dataBar>
        <cfvo type="min"/>
        <cfvo type="max"/>
        <color rgb="FF008AEF"/>
      </dataBar>
      <extLst>
        <ext xmlns:x14="http://schemas.microsoft.com/office/spreadsheetml/2009/9/main" uri="{B025F937-C7B1-47D3-B67F-A62EFF666E3E}">
          <x14:id>{7C13E021-522A-48E5-B3A6-170CBE7F5970}</x14:id>
        </ext>
      </extLst>
    </cfRule>
  </conditionalFormatting>
  <conditionalFormatting sqref="C4:D4">
    <cfRule type="dataBar" priority="4">
      <dataBar>
        <cfvo type="min"/>
        <cfvo type="max"/>
        <color rgb="FF008AEF"/>
      </dataBar>
      <extLst>
        <ext xmlns:x14="http://schemas.microsoft.com/office/spreadsheetml/2009/9/main" uri="{B025F937-C7B1-47D3-B67F-A62EFF666E3E}">
          <x14:id>{0893A6D6-ADAF-4EB4-9632-31C40324414F}</x14:id>
        </ext>
      </extLst>
    </cfRule>
  </conditionalFormatting>
  <conditionalFormatting sqref="C5:D5">
    <cfRule type="dataBar" priority="5">
      <dataBar>
        <cfvo type="min"/>
        <cfvo type="max"/>
        <color rgb="FF008AEF"/>
      </dataBar>
      <extLst>
        <ext xmlns:x14="http://schemas.microsoft.com/office/spreadsheetml/2009/9/main" uri="{B025F937-C7B1-47D3-B67F-A62EFF666E3E}">
          <x14:id>{7F9778BB-8B71-4C2A-A407-3FC6DD7D6F8E}</x14:id>
        </ext>
      </extLst>
    </cfRule>
  </conditionalFormatting>
  <conditionalFormatting sqref="C6:D6">
    <cfRule type="dataBar" priority="6">
      <dataBar>
        <cfvo type="min"/>
        <cfvo type="max"/>
        <color rgb="FF008AEF"/>
      </dataBar>
      <extLst>
        <ext xmlns:x14="http://schemas.microsoft.com/office/spreadsheetml/2009/9/main" uri="{B025F937-C7B1-47D3-B67F-A62EFF666E3E}">
          <x14:id>{2B23CB9D-5A75-4623-90E1-D1CAC440191D}</x14:id>
        </ext>
      </extLst>
    </cfRule>
  </conditionalFormatting>
  <conditionalFormatting sqref="C7:D7">
    <cfRule type="dataBar" priority="12">
      <dataBar>
        <cfvo type="min"/>
        <cfvo type="max"/>
        <color rgb="FF008AEF"/>
      </dataBar>
      <extLst>
        <ext xmlns:x14="http://schemas.microsoft.com/office/spreadsheetml/2009/9/main" uri="{B025F937-C7B1-47D3-B67F-A62EFF666E3E}">
          <x14:id>{156A2F0A-47E2-47C5-88FF-7200A41A2269}</x14:id>
        </ext>
      </extLst>
    </cfRule>
  </conditionalFormatting>
  <conditionalFormatting sqref="C8:D8">
    <cfRule type="dataBar" priority="39">
      <dataBar>
        <cfvo type="min"/>
        <cfvo type="max"/>
        <color rgb="FF008AEF"/>
      </dataBar>
      <extLst>
        <ext xmlns:x14="http://schemas.microsoft.com/office/spreadsheetml/2009/9/main" uri="{B025F937-C7B1-47D3-B67F-A62EFF666E3E}">
          <x14:id>{5D785021-A71E-47F5-94E5-410C9D26F0AF}</x14:id>
        </ext>
      </extLst>
    </cfRule>
  </conditionalFormatting>
  <conditionalFormatting sqref="C9:D9">
    <cfRule type="dataBar" priority="38">
      <dataBar>
        <cfvo type="min"/>
        <cfvo type="max"/>
        <color rgb="FF008AEF"/>
      </dataBar>
      <extLst>
        <ext xmlns:x14="http://schemas.microsoft.com/office/spreadsheetml/2009/9/main" uri="{B025F937-C7B1-47D3-B67F-A62EFF666E3E}">
          <x14:id>{E4CE83F2-08BF-4B40-A485-E4664AEBEE36}</x14:id>
        </ext>
      </extLst>
    </cfRule>
  </conditionalFormatting>
  <conditionalFormatting sqref="C10:D10">
    <cfRule type="dataBar" priority="37">
      <dataBar>
        <cfvo type="min"/>
        <cfvo type="max"/>
        <color rgb="FF008AEF"/>
      </dataBar>
      <extLst>
        <ext xmlns:x14="http://schemas.microsoft.com/office/spreadsheetml/2009/9/main" uri="{B025F937-C7B1-47D3-B67F-A62EFF666E3E}">
          <x14:id>{D2B3D991-979F-42C9-B6C6-B9F603BF86F1}</x14:id>
        </ext>
      </extLst>
    </cfRule>
  </conditionalFormatting>
  <conditionalFormatting sqref="C11:D11">
    <cfRule type="dataBar" priority="36">
      <dataBar>
        <cfvo type="min"/>
        <cfvo type="max"/>
        <color rgb="FF008AEF"/>
      </dataBar>
      <extLst>
        <ext xmlns:x14="http://schemas.microsoft.com/office/spreadsheetml/2009/9/main" uri="{B025F937-C7B1-47D3-B67F-A62EFF666E3E}">
          <x14:id>{806269E9-9462-4D0E-8A52-636897D2DB9C}</x14:id>
        </ext>
      </extLst>
    </cfRule>
  </conditionalFormatting>
  <conditionalFormatting sqref="C12:D12">
    <cfRule type="dataBar" priority="35">
      <dataBar>
        <cfvo type="min"/>
        <cfvo type="max"/>
        <color rgb="FF008AEF"/>
      </dataBar>
      <extLst>
        <ext xmlns:x14="http://schemas.microsoft.com/office/spreadsheetml/2009/9/main" uri="{B025F937-C7B1-47D3-B67F-A62EFF666E3E}">
          <x14:id>{82CD12A6-BCF0-474B-A2DE-1BED0F29704E}</x14:id>
        </ext>
      </extLst>
    </cfRule>
  </conditionalFormatting>
  <conditionalFormatting sqref="C13:D13">
    <cfRule type="dataBar" priority="34">
      <dataBar>
        <cfvo type="min"/>
        <cfvo type="max"/>
        <color rgb="FF008AEF"/>
      </dataBar>
      <extLst>
        <ext xmlns:x14="http://schemas.microsoft.com/office/spreadsheetml/2009/9/main" uri="{B025F937-C7B1-47D3-B67F-A62EFF666E3E}">
          <x14:id>{BAEC4EE0-4190-4BD2-B03A-35281D558372}</x14:id>
        </ext>
      </extLst>
    </cfRule>
  </conditionalFormatting>
  <conditionalFormatting sqref="C14:D14">
    <cfRule type="dataBar" priority="33">
      <dataBar>
        <cfvo type="min"/>
        <cfvo type="max"/>
        <color rgb="FF008AEF"/>
      </dataBar>
      <extLst>
        <ext xmlns:x14="http://schemas.microsoft.com/office/spreadsheetml/2009/9/main" uri="{B025F937-C7B1-47D3-B67F-A62EFF666E3E}">
          <x14:id>{971C836D-BEB2-4C66-8669-358CBD70B30D}</x14:id>
        </ext>
      </extLst>
    </cfRule>
  </conditionalFormatting>
  <conditionalFormatting sqref="C15:D15">
    <cfRule type="dataBar" priority="32">
      <dataBar>
        <cfvo type="min"/>
        <cfvo type="max"/>
        <color rgb="FF008AEF"/>
      </dataBar>
      <extLst>
        <ext xmlns:x14="http://schemas.microsoft.com/office/spreadsheetml/2009/9/main" uri="{B025F937-C7B1-47D3-B67F-A62EFF666E3E}">
          <x14:id>{A7C4C556-9768-4626-BD86-D01F1D104221}</x14:id>
        </ext>
      </extLst>
    </cfRule>
  </conditionalFormatting>
  <conditionalFormatting sqref="C16:D16">
    <cfRule type="dataBar" priority="31">
      <dataBar>
        <cfvo type="min"/>
        <cfvo type="max"/>
        <color rgb="FF008AEF"/>
      </dataBar>
      <extLst>
        <ext xmlns:x14="http://schemas.microsoft.com/office/spreadsheetml/2009/9/main" uri="{B025F937-C7B1-47D3-B67F-A62EFF666E3E}">
          <x14:id>{C7C602F2-748B-44C4-86F1-FC5F0CEB146C}</x14:id>
        </ext>
      </extLst>
    </cfRule>
  </conditionalFormatting>
  <conditionalFormatting sqref="C17:D17">
    <cfRule type="dataBar" priority="30">
      <dataBar>
        <cfvo type="min"/>
        <cfvo type="max"/>
        <color rgb="FF008AEF"/>
      </dataBar>
      <extLst>
        <ext xmlns:x14="http://schemas.microsoft.com/office/spreadsheetml/2009/9/main" uri="{B025F937-C7B1-47D3-B67F-A62EFF666E3E}">
          <x14:id>{0D21508B-1C6B-4D37-832D-897044E5AEE8}</x14:id>
        </ext>
      </extLst>
    </cfRule>
  </conditionalFormatting>
  <conditionalFormatting sqref="C18:D18">
    <cfRule type="dataBar" priority="29">
      <dataBar>
        <cfvo type="min"/>
        <cfvo type="max"/>
        <color rgb="FF008AEF"/>
      </dataBar>
      <extLst>
        <ext xmlns:x14="http://schemas.microsoft.com/office/spreadsheetml/2009/9/main" uri="{B025F937-C7B1-47D3-B67F-A62EFF666E3E}">
          <x14:id>{5B6F8A76-0946-4369-9CF6-06DCD245339C}</x14:id>
        </ext>
      </extLst>
    </cfRule>
  </conditionalFormatting>
  <conditionalFormatting sqref="C19:D19">
    <cfRule type="dataBar" priority="28">
      <dataBar>
        <cfvo type="min"/>
        <cfvo type="max"/>
        <color rgb="FF008AEF"/>
      </dataBar>
      <extLst>
        <ext xmlns:x14="http://schemas.microsoft.com/office/spreadsheetml/2009/9/main" uri="{B025F937-C7B1-47D3-B67F-A62EFF666E3E}">
          <x14:id>{818FC652-41C8-4284-8F93-058BD1559C1F}</x14:id>
        </ext>
      </extLst>
    </cfRule>
  </conditionalFormatting>
  <conditionalFormatting sqref="C20:D20">
    <cfRule type="dataBar" priority="27">
      <dataBar>
        <cfvo type="min"/>
        <cfvo type="max"/>
        <color rgb="FF008AEF"/>
      </dataBar>
      <extLst>
        <ext xmlns:x14="http://schemas.microsoft.com/office/spreadsheetml/2009/9/main" uri="{B025F937-C7B1-47D3-B67F-A62EFF666E3E}">
          <x14:id>{4B61E177-FC34-4618-883F-DC5584D77DE5}</x14:id>
        </ext>
      </extLst>
    </cfRule>
  </conditionalFormatting>
  <conditionalFormatting sqref="C21:D21">
    <cfRule type="dataBar" priority="26">
      <dataBar>
        <cfvo type="min"/>
        <cfvo type="max"/>
        <color rgb="FF008AEF"/>
      </dataBar>
      <extLst>
        <ext xmlns:x14="http://schemas.microsoft.com/office/spreadsheetml/2009/9/main" uri="{B025F937-C7B1-47D3-B67F-A62EFF666E3E}">
          <x14:id>{E73F8D57-3979-49C5-ABF1-3ADF3097EDC6}</x14:id>
        </ext>
      </extLst>
    </cfRule>
  </conditionalFormatting>
  <conditionalFormatting sqref="C22:D22">
    <cfRule type="dataBar" priority="25">
      <dataBar>
        <cfvo type="min"/>
        <cfvo type="max"/>
        <color rgb="FF008AEF"/>
      </dataBar>
      <extLst>
        <ext xmlns:x14="http://schemas.microsoft.com/office/spreadsheetml/2009/9/main" uri="{B025F937-C7B1-47D3-B67F-A62EFF666E3E}">
          <x14:id>{E920360C-8BED-4249-8E29-E1C7BF222BA2}</x14:id>
        </ext>
      </extLst>
    </cfRule>
  </conditionalFormatting>
  <conditionalFormatting sqref="C23:D23">
    <cfRule type="dataBar" priority="24">
      <dataBar>
        <cfvo type="min"/>
        <cfvo type="max"/>
        <color rgb="FF008AEF"/>
      </dataBar>
      <extLst>
        <ext xmlns:x14="http://schemas.microsoft.com/office/spreadsheetml/2009/9/main" uri="{B025F937-C7B1-47D3-B67F-A62EFF666E3E}">
          <x14:id>{41F19C08-FC37-46DD-A069-E254F9C1EBA8}</x14:id>
        </ext>
      </extLst>
    </cfRule>
  </conditionalFormatting>
  <conditionalFormatting sqref="C24:D24">
    <cfRule type="dataBar" priority="23">
      <dataBar>
        <cfvo type="min"/>
        <cfvo type="max"/>
        <color rgb="FF008AEF"/>
      </dataBar>
      <extLst>
        <ext xmlns:x14="http://schemas.microsoft.com/office/spreadsheetml/2009/9/main" uri="{B025F937-C7B1-47D3-B67F-A62EFF666E3E}">
          <x14:id>{FEAD26C8-A3D1-4AA0-A596-84815780F24B}</x14:id>
        </ext>
      </extLst>
    </cfRule>
  </conditionalFormatting>
  <conditionalFormatting sqref="C25:D25">
    <cfRule type="dataBar" priority="22">
      <dataBar>
        <cfvo type="min"/>
        <cfvo type="max"/>
        <color rgb="FF008AEF"/>
      </dataBar>
      <extLst>
        <ext xmlns:x14="http://schemas.microsoft.com/office/spreadsheetml/2009/9/main" uri="{B025F937-C7B1-47D3-B67F-A62EFF666E3E}">
          <x14:id>{7FA5D88C-389C-4A37-992A-9ACB35450CF1}</x14:id>
        </ext>
      </extLst>
    </cfRule>
  </conditionalFormatting>
  <conditionalFormatting sqref="C26:D26">
    <cfRule type="dataBar" priority="21">
      <dataBar>
        <cfvo type="min"/>
        <cfvo type="max"/>
        <color rgb="FF008AEF"/>
      </dataBar>
      <extLst>
        <ext xmlns:x14="http://schemas.microsoft.com/office/spreadsheetml/2009/9/main" uri="{B025F937-C7B1-47D3-B67F-A62EFF666E3E}">
          <x14:id>{77F94528-4E82-481B-AA27-36EC7E6ABC3A}</x14:id>
        </ext>
      </extLst>
    </cfRule>
  </conditionalFormatting>
  <conditionalFormatting sqref="C27:D27">
    <cfRule type="dataBar" priority="20">
      <dataBar>
        <cfvo type="min"/>
        <cfvo type="max"/>
        <color rgb="FF008AEF"/>
      </dataBar>
      <extLst>
        <ext xmlns:x14="http://schemas.microsoft.com/office/spreadsheetml/2009/9/main" uri="{B025F937-C7B1-47D3-B67F-A62EFF666E3E}">
          <x14:id>{42F05C89-C063-4523-8A56-F5EFADC3D19F}</x14:id>
        </ext>
      </extLst>
    </cfRule>
  </conditionalFormatting>
  <conditionalFormatting sqref="C28:D28">
    <cfRule type="dataBar" priority="19">
      <dataBar>
        <cfvo type="min"/>
        <cfvo type="max"/>
        <color rgb="FF008AEF"/>
      </dataBar>
      <extLst>
        <ext xmlns:x14="http://schemas.microsoft.com/office/spreadsheetml/2009/9/main" uri="{B025F937-C7B1-47D3-B67F-A62EFF666E3E}">
          <x14:id>{4CF1A583-B9FC-4EA6-8058-843BBE80C859}</x14:id>
        </ext>
      </extLst>
    </cfRule>
  </conditionalFormatting>
  <conditionalFormatting sqref="C29:D29">
    <cfRule type="dataBar" priority="18">
      <dataBar>
        <cfvo type="min"/>
        <cfvo type="max"/>
        <color rgb="FF008AEF"/>
      </dataBar>
      <extLst>
        <ext xmlns:x14="http://schemas.microsoft.com/office/spreadsheetml/2009/9/main" uri="{B025F937-C7B1-47D3-B67F-A62EFF666E3E}">
          <x14:id>{12C7021C-B57A-4478-928F-43B73815FBC7}</x14:id>
        </ext>
      </extLst>
    </cfRule>
  </conditionalFormatting>
  <conditionalFormatting sqref="C30:D30">
    <cfRule type="dataBar" priority="17">
      <dataBar>
        <cfvo type="min"/>
        <cfvo type="max"/>
        <color rgb="FF008AEF"/>
      </dataBar>
      <extLst>
        <ext xmlns:x14="http://schemas.microsoft.com/office/spreadsheetml/2009/9/main" uri="{B025F937-C7B1-47D3-B67F-A62EFF666E3E}">
          <x14:id>{881BDF6D-ACEA-463F-BD03-8AC224D29840}</x14:id>
        </ext>
      </extLst>
    </cfRule>
  </conditionalFormatting>
  <conditionalFormatting sqref="C31:D31">
    <cfRule type="dataBar" priority="16">
      <dataBar>
        <cfvo type="min"/>
        <cfvo type="max"/>
        <color rgb="FF008AEF"/>
      </dataBar>
      <extLst>
        <ext xmlns:x14="http://schemas.microsoft.com/office/spreadsheetml/2009/9/main" uri="{B025F937-C7B1-47D3-B67F-A62EFF666E3E}">
          <x14:id>{321A8F90-E7B2-4C60-8BC3-5E9908C5D462}</x14:id>
        </ext>
      </extLst>
    </cfRule>
  </conditionalFormatting>
  <conditionalFormatting sqref="C32:D32">
    <cfRule type="dataBar" priority="15">
      <dataBar>
        <cfvo type="min"/>
        <cfvo type="max"/>
        <color rgb="FF008AEF"/>
      </dataBar>
      <extLst>
        <ext xmlns:x14="http://schemas.microsoft.com/office/spreadsheetml/2009/9/main" uri="{B025F937-C7B1-47D3-B67F-A62EFF666E3E}">
          <x14:id>{A20A1014-A393-4775-BFE2-19D61DE7CD10}</x14:id>
        </ext>
      </extLst>
    </cfRule>
  </conditionalFormatting>
  <conditionalFormatting sqref="C33:D33">
    <cfRule type="dataBar" priority="14">
      <dataBar>
        <cfvo type="min"/>
        <cfvo type="max"/>
        <color rgb="FF008AEF"/>
      </dataBar>
      <extLst>
        <ext xmlns:x14="http://schemas.microsoft.com/office/spreadsheetml/2009/9/main" uri="{B025F937-C7B1-47D3-B67F-A62EFF666E3E}">
          <x14:id>{441A299E-B11C-43FD-8DAB-B48F802F9C24}</x14:id>
        </ext>
      </extLst>
    </cfRule>
  </conditionalFormatting>
  <conditionalFormatting sqref="C34:D34">
    <cfRule type="dataBar" priority="13">
      <dataBar>
        <cfvo type="min"/>
        <cfvo type="max"/>
        <color rgb="FF008AEF"/>
      </dataBar>
      <extLst>
        <ext xmlns:x14="http://schemas.microsoft.com/office/spreadsheetml/2009/9/main" uri="{B025F937-C7B1-47D3-B67F-A62EFF666E3E}">
          <x14:id>{0661D4F1-FDCA-4B86-9923-225692FCE5CA}</x14:id>
        </ext>
      </extLst>
    </cfRule>
  </conditionalFormatting>
  <conditionalFormatting sqref="E3:P34">
    <cfRule type="cellIs" dxfId="3"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C13E021-522A-48E5-B3A6-170CBE7F5970}">
            <x14:dataBar minLength="0" maxLength="100" gradient="0">
              <x14:cfvo type="autoMin"/>
              <x14:cfvo type="autoMax"/>
              <x14:negativeFillColor rgb="FFFF0000"/>
              <x14:axisColor rgb="FF000000"/>
            </x14:dataBar>
          </x14:cfRule>
          <xm:sqref>C3:D3 D4:D6</xm:sqref>
        </x14:conditionalFormatting>
        <x14:conditionalFormatting xmlns:xm="http://schemas.microsoft.com/office/excel/2006/main">
          <x14:cfRule type="dataBar" id="{0893A6D6-ADAF-4EB4-9632-31C40324414F}">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7F9778BB-8B71-4C2A-A407-3FC6DD7D6F8E}">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2B23CB9D-5A75-4623-90E1-D1CAC440191D}">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156A2F0A-47E2-47C5-88FF-7200A41A2269}">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5D785021-A71E-47F5-94E5-410C9D26F0AF}">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E4CE83F2-08BF-4B40-A485-E4664AEBEE3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D2B3D991-979F-42C9-B6C6-B9F603BF86F1}">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806269E9-9462-4D0E-8A52-636897D2DB9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82CD12A6-BCF0-474B-A2DE-1BED0F29704E}">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BAEC4EE0-4190-4BD2-B03A-35281D558372}">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971C836D-BEB2-4C66-8669-358CBD70B30D}">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A7C4C556-9768-4626-BD86-D01F1D104221}">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C7C602F2-748B-44C4-86F1-FC5F0CEB146C}">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0D21508B-1C6B-4D37-832D-897044E5AEE8}">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5B6F8A76-0946-4369-9CF6-06DCD245339C}">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818FC652-41C8-4284-8F93-058BD1559C1F}">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4B61E177-FC34-4618-883F-DC5584D77DE5}">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E73F8D57-3979-49C5-ABF1-3ADF3097EDC6}">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E920360C-8BED-4249-8E29-E1C7BF222BA2}">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41F19C08-FC37-46DD-A069-E254F9C1EBA8}">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FEAD26C8-A3D1-4AA0-A596-84815780F24B}">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7FA5D88C-389C-4A37-992A-9ACB35450CF1}">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77F94528-4E82-481B-AA27-36EC7E6ABC3A}">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42F05C89-C063-4523-8A56-F5EFADC3D19F}">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4CF1A583-B9FC-4EA6-8058-843BBE80C859}">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12C7021C-B57A-4478-928F-43B73815FBC7}">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881BDF6D-ACEA-463F-BD03-8AC224D29840}">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321A8F90-E7B2-4C60-8BC3-5E9908C5D462}">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A20A1014-A393-4775-BFE2-19D61DE7CD10}">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441A299E-B11C-43FD-8DAB-B48F802F9C24}">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0661D4F1-FDCA-4B86-9923-225692FCE5CA}">
            <x14:dataBar minLength="0" maxLength="100" gradient="0">
              <x14:cfvo type="autoMin"/>
              <x14:cfvo type="autoMax"/>
              <x14:negativeFillColor rgb="FFFF0000"/>
              <x14:axisColor rgb="FF000000"/>
            </x14:dataBar>
          </x14:cfRule>
          <xm:sqref>C34:D34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P57"/>
  <sheetViews>
    <sheetView topLeftCell="B1" zoomScale="70" zoomScaleNormal="70" workbookViewId="0">
      <selection activeCell="L14" sqref="L14"/>
    </sheetView>
  </sheetViews>
  <sheetFormatPr baseColWidth="10" defaultColWidth="13.140625" defaultRowHeight="15" x14ac:dyDescent="0.25"/>
  <cols>
    <col min="1" max="1" width="7.85546875" style="2" customWidth="1"/>
    <col min="2" max="2" width="80.85546875" style="2" customWidth="1"/>
    <col min="3" max="3" width="13.140625" style="2"/>
    <col min="4" max="4" width="25.7109375" style="2" customWidth="1"/>
    <col min="5" max="9" width="19.7109375" style="2" customWidth="1"/>
    <col min="10" max="16384" width="13.140625" style="2"/>
  </cols>
  <sheetData>
    <row r="1" spans="1:16" ht="61.5" customHeight="1" x14ac:dyDescent="0.25">
      <c r="A1" s="56" t="s">
        <v>1</v>
      </c>
      <c r="B1" s="29" t="s">
        <v>81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7"/>
      <c r="B2" s="29"/>
      <c r="C2" s="3">
        <v>2026</v>
      </c>
      <c r="D2" s="3" t="s">
        <v>16</v>
      </c>
      <c r="E2" s="30"/>
      <c r="F2" s="30"/>
      <c r="G2" s="30"/>
      <c r="H2" s="30"/>
      <c r="I2" s="30"/>
      <c r="J2" s="30"/>
      <c r="K2" s="30"/>
      <c r="L2" s="30"/>
      <c r="M2" s="30"/>
      <c r="N2" s="30"/>
      <c r="O2" s="30"/>
      <c r="P2" s="30"/>
    </row>
    <row r="3" spans="1:16" ht="81" customHeight="1" x14ac:dyDescent="0.25">
      <c r="A3" s="31" t="s">
        <v>18</v>
      </c>
      <c r="B3" s="11" t="s">
        <v>35</v>
      </c>
      <c r="C3" s="5">
        <v>1</v>
      </c>
      <c r="D3" s="28">
        <f>SUM(E3:P3)</f>
        <v>1</v>
      </c>
      <c r="E3" s="33"/>
      <c r="F3" s="33"/>
      <c r="G3" s="33">
        <v>1</v>
      </c>
      <c r="H3" s="33"/>
      <c r="I3" s="33"/>
      <c r="J3" s="33"/>
      <c r="K3" s="33"/>
      <c r="L3" s="33"/>
      <c r="M3" s="33"/>
      <c r="N3" s="33"/>
      <c r="O3" s="33"/>
      <c r="P3" s="33"/>
    </row>
    <row r="4" spans="1:16" ht="81" customHeight="1" x14ac:dyDescent="0.25">
      <c r="A4" s="34" t="s">
        <v>20</v>
      </c>
      <c r="B4" s="16" t="s">
        <v>19</v>
      </c>
      <c r="C4" s="12">
        <v>2</v>
      </c>
      <c r="D4" s="28">
        <f>SUM(E4:P4)</f>
        <v>0</v>
      </c>
      <c r="E4" s="33">
        <v>0</v>
      </c>
      <c r="F4" s="33">
        <v>0</v>
      </c>
      <c r="G4" s="33">
        <v>0</v>
      </c>
      <c r="H4" s="33">
        <v>0</v>
      </c>
      <c r="I4" s="33"/>
      <c r="J4" s="33"/>
      <c r="K4" s="33"/>
      <c r="L4" s="33"/>
      <c r="M4" s="33"/>
      <c r="N4" s="33"/>
      <c r="O4" s="33"/>
      <c r="P4" s="33"/>
    </row>
    <row r="5" spans="1:16" ht="81" customHeight="1" thickBot="1" x14ac:dyDescent="0.3">
      <c r="A5" s="35" t="s">
        <v>22</v>
      </c>
      <c r="B5" s="17" t="s">
        <v>36</v>
      </c>
      <c r="C5" s="36">
        <v>1</v>
      </c>
      <c r="D5" s="28">
        <f>SUM(E5:P5)</f>
        <v>0</v>
      </c>
      <c r="E5" s="33">
        <v>0</v>
      </c>
      <c r="F5" s="33">
        <v>0</v>
      </c>
      <c r="G5" s="33">
        <v>0</v>
      </c>
      <c r="H5" s="33">
        <v>0</v>
      </c>
      <c r="I5" s="33"/>
      <c r="J5" s="33"/>
      <c r="K5" s="33"/>
      <c r="L5" s="33"/>
      <c r="M5" s="33"/>
      <c r="N5" s="33"/>
      <c r="O5" s="33"/>
      <c r="P5" s="33"/>
    </row>
    <row r="6" spans="1:16" ht="28.5" customHeight="1" x14ac:dyDescent="0.25">
      <c r="A6" s="58" t="s">
        <v>52</v>
      </c>
      <c r="B6" s="39" t="s">
        <v>53</v>
      </c>
      <c r="C6" s="7">
        <v>3</v>
      </c>
      <c r="D6" s="28">
        <f t="shared" ref="D6:D33" si="0">SUM(E6:P6)</f>
        <v>3</v>
      </c>
      <c r="E6" s="33"/>
      <c r="F6" s="33">
        <v>1</v>
      </c>
      <c r="G6" s="33">
        <v>1</v>
      </c>
      <c r="H6" s="33">
        <v>1</v>
      </c>
      <c r="I6" s="33"/>
      <c r="J6" s="33"/>
      <c r="K6" s="33"/>
      <c r="L6" s="33"/>
      <c r="M6" s="33"/>
      <c r="N6" s="33"/>
      <c r="O6" s="33"/>
      <c r="P6" s="33"/>
    </row>
    <row r="7" spans="1:16" ht="28.5" customHeight="1" x14ac:dyDescent="0.25">
      <c r="A7" s="59"/>
      <c r="B7" s="39" t="s">
        <v>54</v>
      </c>
      <c r="C7" s="7">
        <v>3</v>
      </c>
      <c r="D7" s="28">
        <f t="shared" si="0"/>
        <v>0</v>
      </c>
      <c r="E7" s="33"/>
      <c r="F7" s="33"/>
      <c r="G7" s="33"/>
      <c r="H7" s="33"/>
      <c r="I7" s="33"/>
      <c r="J7" s="33"/>
      <c r="K7" s="33"/>
      <c r="L7" s="33"/>
      <c r="M7" s="33"/>
      <c r="N7" s="33"/>
      <c r="O7" s="33"/>
      <c r="P7" s="33"/>
    </row>
    <row r="8" spans="1:16" ht="28.5" customHeight="1" x14ac:dyDescent="0.25">
      <c r="A8" s="59"/>
      <c r="B8" s="39" t="s">
        <v>55</v>
      </c>
      <c r="C8" s="7">
        <v>52</v>
      </c>
      <c r="D8" s="28">
        <f t="shared" si="0"/>
        <v>23</v>
      </c>
      <c r="E8" s="33">
        <v>4</v>
      </c>
      <c r="F8" s="33">
        <v>6</v>
      </c>
      <c r="G8" s="33">
        <v>3</v>
      </c>
      <c r="H8" s="33">
        <v>2</v>
      </c>
      <c r="I8" s="33">
        <v>5</v>
      </c>
      <c r="J8" s="33">
        <v>3</v>
      </c>
      <c r="K8" s="33"/>
      <c r="L8" s="33"/>
      <c r="M8" s="33"/>
      <c r="N8" s="33"/>
      <c r="O8" s="33"/>
      <c r="P8" s="33"/>
    </row>
    <row r="9" spans="1:16" ht="28.5" customHeight="1" x14ac:dyDescent="0.25">
      <c r="A9" s="59"/>
      <c r="B9" s="39" t="s">
        <v>56</v>
      </c>
      <c r="C9" s="7">
        <v>33</v>
      </c>
      <c r="D9" s="28">
        <f t="shared" si="0"/>
        <v>29</v>
      </c>
      <c r="E9" s="33"/>
      <c r="F9" s="33"/>
      <c r="G9" s="33">
        <v>7</v>
      </c>
      <c r="H9" s="33">
        <v>22</v>
      </c>
      <c r="I9" s="33"/>
      <c r="J9" s="33"/>
      <c r="K9" s="33"/>
      <c r="L9" s="33"/>
      <c r="M9" s="33"/>
      <c r="N9" s="33"/>
      <c r="O9" s="33"/>
      <c r="P9" s="33"/>
    </row>
    <row r="10" spans="1:16" ht="28.5" customHeight="1" x14ac:dyDescent="0.25">
      <c r="A10" s="59"/>
      <c r="B10" s="39" t="s">
        <v>57</v>
      </c>
      <c r="C10" s="7">
        <v>0</v>
      </c>
      <c r="D10" s="28">
        <f t="shared" si="0"/>
        <v>0</v>
      </c>
      <c r="E10" s="33"/>
      <c r="F10" s="33"/>
      <c r="G10" s="33"/>
      <c r="H10" s="33"/>
      <c r="I10" s="33"/>
      <c r="J10" s="33"/>
      <c r="K10" s="33"/>
      <c r="L10" s="33"/>
      <c r="M10" s="33"/>
      <c r="N10" s="33"/>
      <c r="O10" s="33"/>
      <c r="P10" s="33"/>
    </row>
    <row r="11" spans="1:16" ht="28.5" customHeight="1" x14ac:dyDescent="0.25">
      <c r="A11" s="59"/>
      <c r="B11" s="39" t="s">
        <v>58</v>
      </c>
      <c r="C11" s="7">
        <v>3</v>
      </c>
      <c r="D11" s="28">
        <f t="shared" si="0"/>
        <v>0</v>
      </c>
      <c r="E11" s="33"/>
      <c r="F11" s="33"/>
      <c r="G11" s="33"/>
      <c r="H11" s="33"/>
      <c r="I11" s="33"/>
      <c r="J11" s="33"/>
      <c r="K11" s="33"/>
      <c r="L11" s="33"/>
      <c r="M11" s="33"/>
      <c r="N11" s="33"/>
      <c r="O11" s="33"/>
      <c r="P11" s="33"/>
    </row>
    <row r="12" spans="1:16" ht="28.5" customHeight="1" x14ac:dyDescent="0.25">
      <c r="A12" s="59"/>
      <c r="B12" s="39" t="s">
        <v>59</v>
      </c>
      <c r="C12" s="7">
        <v>0</v>
      </c>
      <c r="D12" s="28">
        <f t="shared" si="0"/>
        <v>0</v>
      </c>
      <c r="E12" s="33"/>
      <c r="F12" s="33"/>
      <c r="G12" s="33"/>
      <c r="H12" s="33"/>
      <c r="I12" s="33"/>
      <c r="J12" s="33"/>
      <c r="K12" s="33"/>
      <c r="L12" s="33"/>
      <c r="M12" s="33"/>
      <c r="N12" s="33"/>
      <c r="O12" s="33"/>
      <c r="P12" s="33"/>
    </row>
    <row r="13" spans="1:16" ht="28.5" customHeight="1" x14ac:dyDescent="0.25">
      <c r="A13" s="59"/>
      <c r="B13" s="39" t="s">
        <v>60</v>
      </c>
      <c r="C13" s="7">
        <v>0</v>
      </c>
      <c r="D13" s="28">
        <f t="shared" si="0"/>
        <v>0</v>
      </c>
      <c r="E13" s="33"/>
      <c r="F13" s="33"/>
      <c r="G13" s="33"/>
      <c r="H13" s="33"/>
      <c r="I13" s="33"/>
      <c r="J13" s="33"/>
      <c r="K13" s="33"/>
      <c r="L13" s="33"/>
      <c r="M13" s="33"/>
      <c r="N13" s="33"/>
      <c r="O13" s="33"/>
      <c r="P13" s="33"/>
    </row>
    <row r="14" spans="1:16" ht="28.5" customHeight="1" x14ac:dyDescent="0.25">
      <c r="A14" s="59"/>
      <c r="B14" s="39" t="s">
        <v>61</v>
      </c>
      <c r="C14" s="7">
        <v>4</v>
      </c>
      <c r="D14" s="28">
        <f t="shared" si="0"/>
        <v>2</v>
      </c>
      <c r="E14" s="33"/>
      <c r="F14" s="33"/>
      <c r="G14" s="33">
        <v>2</v>
      </c>
      <c r="H14" s="33"/>
      <c r="I14" s="33"/>
      <c r="J14" s="33"/>
      <c r="K14" s="33"/>
      <c r="L14" s="33"/>
      <c r="M14" s="33"/>
      <c r="N14" s="33"/>
      <c r="O14" s="33"/>
      <c r="P14" s="33"/>
    </row>
    <row r="15" spans="1:16" ht="28.5" customHeight="1" x14ac:dyDescent="0.25">
      <c r="A15" s="59"/>
      <c r="B15" s="39" t="s">
        <v>62</v>
      </c>
      <c r="C15" s="7">
        <v>2</v>
      </c>
      <c r="D15" s="28">
        <f t="shared" si="0"/>
        <v>1</v>
      </c>
      <c r="E15" s="33">
        <v>1</v>
      </c>
      <c r="F15" s="33"/>
      <c r="G15" s="33"/>
      <c r="H15" s="33"/>
      <c r="I15" s="33"/>
      <c r="J15" s="33"/>
      <c r="K15" s="33"/>
      <c r="L15" s="33"/>
      <c r="M15" s="33"/>
      <c r="N15" s="33"/>
      <c r="O15" s="33"/>
      <c r="P15" s="33"/>
    </row>
    <row r="16" spans="1:16" ht="28.5" customHeight="1" x14ac:dyDescent="0.25">
      <c r="A16" s="59"/>
      <c r="B16" s="39" t="s">
        <v>63</v>
      </c>
      <c r="C16" s="7">
        <v>2</v>
      </c>
      <c r="D16" s="28">
        <f t="shared" si="0"/>
        <v>0</v>
      </c>
      <c r="E16" s="33"/>
      <c r="F16" s="33"/>
      <c r="G16" s="33"/>
      <c r="H16" s="33"/>
      <c r="I16" s="33"/>
      <c r="J16" s="33"/>
      <c r="K16" s="33"/>
      <c r="L16" s="33"/>
      <c r="M16" s="33"/>
      <c r="N16" s="33"/>
      <c r="O16" s="33"/>
      <c r="P16" s="33"/>
    </row>
    <row r="17" spans="1:16" ht="28.5" customHeight="1" x14ac:dyDescent="0.25">
      <c r="A17" s="59"/>
      <c r="B17" s="39" t="s">
        <v>64</v>
      </c>
      <c r="C17" s="7">
        <v>0</v>
      </c>
      <c r="D17" s="28">
        <f t="shared" si="0"/>
        <v>0</v>
      </c>
      <c r="E17" s="33"/>
      <c r="F17" s="33"/>
      <c r="G17" s="33"/>
      <c r="H17" s="33"/>
      <c r="I17" s="33"/>
      <c r="J17" s="33"/>
      <c r="K17" s="33"/>
      <c r="L17" s="33"/>
      <c r="M17" s="33"/>
      <c r="N17" s="33"/>
      <c r="O17" s="33"/>
      <c r="P17" s="33"/>
    </row>
    <row r="18" spans="1:16" ht="28.5" customHeight="1" x14ac:dyDescent="0.25">
      <c r="A18" s="59"/>
      <c r="B18" s="39" t="s">
        <v>65</v>
      </c>
      <c r="C18" s="7">
        <v>0</v>
      </c>
      <c r="D18" s="28">
        <f t="shared" si="0"/>
        <v>0</v>
      </c>
      <c r="E18" s="33"/>
      <c r="F18" s="33"/>
      <c r="G18" s="33"/>
      <c r="H18" s="33"/>
      <c r="I18" s="33"/>
      <c r="J18" s="33"/>
      <c r="K18" s="33"/>
      <c r="L18" s="33"/>
      <c r="M18" s="33"/>
      <c r="N18" s="33"/>
      <c r="O18" s="33"/>
      <c r="P18" s="33"/>
    </row>
    <row r="19" spans="1:16" ht="28.5" customHeight="1" x14ac:dyDescent="0.25">
      <c r="A19" s="59"/>
      <c r="B19" s="39" t="s">
        <v>66</v>
      </c>
      <c r="C19" s="7">
        <v>0</v>
      </c>
      <c r="D19" s="28">
        <f t="shared" si="0"/>
        <v>0</v>
      </c>
      <c r="E19" s="33"/>
      <c r="F19" s="33"/>
      <c r="G19" s="33"/>
      <c r="H19" s="33"/>
      <c r="I19" s="33"/>
      <c r="J19" s="33"/>
      <c r="K19" s="33"/>
      <c r="L19" s="33"/>
      <c r="M19" s="33"/>
      <c r="N19" s="33"/>
      <c r="O19" s="33"/>
      <c r="P19" s="33"/>
    </row>
    <row r="20" spans="1:16" ht="28.5" customHeight="1" x14ac:dyDescent="0.25">
      <c r="A20" s="59"/>
      <c r="B20" s="39" t="s">
        <v>67</v>
      </c>
      <c r="C20" s="7">
        <v>105</v>
      </c>
      <c r="D20" s="28">
        <f t="shared" si="0"/>
        <v>39</v>
      </c>
      <c r="E20" s="33">
        <v>13</v>
      </c>
      <c r="F20" s="33">
        <v>6</v>
      </c>
      <c r="G20" s="33">
        <v>7</v>
      </c>
      <c r="H20" s="33">
        <v>2</v>
      </c>
      <c r="I20" s="33">
        <v>10</v>
      </c>
      <c r="J20" s="33">
        <v>1</v>
      </c>
      <c r="K20" s="33"/>
      <c r="L20" s="33"/>
      <c r="M20" s="33"/>
      <c r="N20" s="33"/>
      <c r="O20" s="33"/>
      <c r="P20" s="33"/>
    </row>
    <row r="21" spans="1:16" ht="28.5" customHeight="1" x14ac:dyDescent="0.25">
      <c r="A21" s="59"/>
      <c r="B21" s="39" t="s">
        <v>68</v>
      </c>
      <c r="C21" s="7">
        <v>3</v>
      </c>
      <c r="D21" s="28">
        <f t="shared" si="0"/>
        <v>1</v>
      </c>
      <c r="E21" s="33"/>
      <c r="F21" s="33"/>
      <c r="G21" s="33">
        <v>1</v>
      </c>
      <c r="H21" s="33"/>
      <c r="I21" s="33"/>
      <c r="J21" s="33"/>
      <c r="K21" s="33"/>
      <c r="L21" s="33"/>
      <c r="M21" s="33"/>
      <c r="N21" s="33"/>
      <c r="O21" s="33"/>
      <c r="P21" s="33"/>
    </row>
    <row r="22" spans="1:16" ht="24" customHeight="1" x14ac:dyDescent="0.25">
      <c r="A22" s="59"/>
      <c r="B22" s="49" t="s">
        <v>69</v>
      </c>
      <c r="C22" s="7">
        <v>5</v>
      </c>
      <c r="D22" s="28">
        <f t="shared" si="0"/>
        <v>2</v>
      </c>
      <c r="E22" s="33"/>
      <c r="F22" s="33"/>
      <c r="G22" s="33">
        <v>2</v>
      </c>
      <c r="H22" s="33"/>
      <c r="I22" s="33"/>
      <c r="J22" s="33"/>
      <c r="K22" s="33"/>
      <c r="L22" s="33"/>
      <c r="M22" s="33"/>
      <c r="N22" s="33"/>
      <c r="O22" s="33"/>
      <c r="P22" s="33"/>
    </row>
    <row r="23" spans="1:16" ht="24" customHeight="1" x14ac:dyDescent="0.25">
      <c r="A23" s="59"/>
      <c r="B23" s="49" t="s">
        <v>70</v>
      </c>
      <c r="C23" s="7">
        <v>5</v>
      </c>
      <c r="D23" s="28">
        <f t="shared" si="0"/>
        <v>5</v>
      </c>
      <c r="E23" s="33"/>
      <c r="F23" s="33"/>
      <c r="G23" s="33"/>
      <c r="H23" s="33">
        <v>5</v>
      </c>
      <c r="I23" s="33"/>
      <c r="J23" s="33"/>
      <c r="K23" s="33"/>
      <c r="L23" s="33"/>
      <c r="M23" s="33"/>
      <c r="N23" s="33"/>
      <c r="O23" s="33"/>
      <c r="P23" s="33"/>
    </row>
    <row r="24" spans="1:16" ht="24" customHeight="1" x14ac:dyDescent="0.25">
      <c r="A24" s="59"/>
      <c r="B24" s="49" t="s">
        <v>71</v>
      </c>
      <c r="C24" s="7">
        <v>5</v>
      </c>
      <c r="D24" s="28">
        <f t="shared" si="0"/>
        <v>5</v>
      </c>
      <c r="E24" s="33"/>
      <c r="F24" s="33"/>
      <c r="G24" s="33"/>
      <c r="H24" s="33"/>
      <c r="I24" s="33">
        <v>5</v>
      </c>
      <c r="J24" s="33"/>
      <c r="K24" s="33"/>
      <c r="L24" s="33"/>
      <c r="M24" s="33"/>
      <c r="N24" s="33"/>
      <c r="O24" s="33"/>
      <c r="P24" s="33"/>
    </row>
    <row r="25" spans="1:16" ht="24" customHeight="1" x14ac:dyDescent="0.25">
      <c r="A25" s="59"/>
      <c r="B25" s="49" t="s">
        <v>72</v>
      </c>
      <c r="C25" s="7">
        <v>5</v>
      </c>
      <c r="D25" s="28">
        <f t="shared" si="0"/>
        <v>0</v>
      </c>
      <c r="E25" s="33"/>
      <c r="F25" s="33"/>
      <c r="G25" s="33"/>
      <c r="H25" s="33"/>
      <c r="I25" s="33"/>
      <c r="J25" s="33"/>
      <c r="K25" s="33"/>
      <c r="L25" s="33"/>
      <c r="M25" s="33"/>
      <c r="N25" s="33"/>
      <c r="O25" s="33"/>
      <c r="P25" s="33"/>
    </row>
    <row r="26" spans="1:16" ht="24" customHeight="1" x14ac:dyDescent="0.25">
      <c r="A26" s="59"/>
      <c r="B26" s="49" t="s">
        <v>73</v>
      </c>
      <c r="C26" s="7">
        <v>5</v>
      </c>
      <c r="D26" s="28">
        <f t="shared" si="0"/>
        <v>0</v>
      </c>
      <c r="E26" s="33"/>
      <c r="F26" s="33"/>
      <c r="G26" s="33"/>
      <c r="H26" s="33"/>
      <c r="I26" s="33"/>
      <c r="J26" s="33"/>
      <c r="K26" s="33"/>
      <c r="L26" s="33"/>
      <c r="M26" s="33"/>
      <c r="N26" s="33"/>
      <c r="O26" s="33"/>
      <c r="P26" s="33"/>
    </row>
    <row r="27" spans="1:16" ht="24" customHeight="1" x14ac:dyDescent="0.25">
      <c r="A27" s="59"/>
      <c r="B27" s="49" t="s">
        <v>74</v>
      </c>
      <c r="C27" s="7">
        <v>1</v>
      </c>
      <c r="D27" s="28">
        <f t="shared" si="0"/>
        <v>0</v>
      </c>
      <c r="E27" s="33"/>
      <c r="F27" s="33"/>
      <c r="G27" s="33"/>
      <c r="H27" s="33"/>
      <c r="I27" s="33"/>
      <c r="J27" s="33"/>
      <c r="K27" s="33"/>
      <c r="L27" s="33"/>
      <c r="M27" s="33"/>
      <c r="N27" s="33"/>
      <c r="O27" s="33"/>
      <c r="P27" s="33"/>
    </row>
    <row r="28" spans="1:16" ht="24" customHeight="1" x14ac:dyDescent="0.25">
      <c r="A28" s="59"/>
      <c r="B28" s="49" t="s">
        <v>75</v>
      </c>
      <c r="C28" s="7">
        <v>1</v>
      </c>
      <c r="D28" s="28">
        <f t="shared" si="0"/>
        <v>0</v>
      </c>
      <c r="E28" s="33"/>
      <c r="F28" s="33"/>
      <c r="G28" s="33"/>
      <c r="H28" s="33"/>
      <c r="I28" s="33"/>
      <c r="J28" s="33"/>
      <c r="K28" s="33"/>
      <c r="L28" s="33"/>
      <c r="M28" s="33"/>
      <c r="N28" s="33"/>
      <c r="O28" s="33"/>
      <c r="P28" s="33"/>
    </row>
    <row r="29" spans="1:16" ht="24" customHeight="1" x14ac:dyDescent="0.25">
      <c r="A29" s="59"/>
      <c r="B29" s="49" t="s">
        <v>76</v>
      </c>
      <c r="C29" s="7">
        <v>1</v>
      </c>
      <c r="D29" s="28">
        <f t="shared" si="0"/>
        <v>0</v>
      </c>
      <c r="E29" s="33"/>
      <c r="F29" s="33"/>
      <c r="G29" s="33"/>
      <c r="H29" s="33"/>
      <c r="I29" s="33"/>
      <c r="J29" s="33"/>
      <c r="K29" s="33"/>
      <c r="L29" s="33"/>
      <c r="M29" s="33"/>
      <c r="N29" s="33"/>
      <c r="O29" s="33"/>
      <c r="P29" s="33"/>
    </row>
    <row r="30" spans="1:16" ht="24" customHeight="1" x14ac:dyDescent="0.25">
      <c r="A30" s="59"/>
      <c r="B30" s="49" t="s">
        <v>77</v>
      </c>
      <c r="C30" s="7">
        <v>1</v>
      </c>
      <c r="D30" s="28">
        <f t="shared" si="0"/>
        <v>0</v>
      </c>
      <c r="E30" s="33"/>
      <c r="F30" s="33"/>
      <c r="G30" s="33"/>
      <c r="H30" s="33"/>
      <c r="I30" s="33"/>
      <c r="J30" s="33"/>
      <c r="K30" s="33"/>
      <c r="L30" s="33"/>
      <c r="M30" s="33"/>
      <c r="N30" s="33"/>
      <c r="O30" s="33"/>
      <c r="P30" s="33"/>
    </row>
    <row r="31" spans="1:16" ht="24" customHeight="1" x14ac:dyDescent="0.25">
      <c r="A31" s="59"/>
      <c r="B31" s="49" t="s">
        <v>78</v>
      </c>
      <c r="C31" s="7">
        <v>1</v>
      </c>
      <c r="D31" s="28">
        <f t="shared" si="0"/>
        <v>0</v>
      </c>
      <c r="E31" s="33"/>
      <c r="F31" s="33"/>
      <c r="G31" s="33"/>
      <c r="H31" s="33"/>
      <c r="I31" s="33"/>
      <c r="J31" s="33"/>
      <c r="K31" s="33"/>
      <c r="L31" s="33"/>
      <c r="M31" s="33"/>
      <c r="N31" s="33"/>
      <c r="O31" s="33"/>
      <c r="P31" s="33"/>
    </row>
    <row r="32" spans="1:16" ht="24" customHeight="1" x14ac:dyDescent="0.25">
      <c r="A32" s="59"/>
      <c r="B32" s="49" t="s">
        <v>79</v>
      </c>
      <c r="C32" s="7">
        <v>1</v>
      </c>
      <c r="D32" s="28">
        <f t="shared" si="0"/>
        <v>0</v>
      </c>
      <c r="E32" s="33"/>
      <c r="F32" s="33"/>
      <c r="G32" s="33"/>
      <c r="H32" s="33"/>
      <c r="I32" s="33"/>
      <c r="J32" s="33"/>
      <c r="K32" s="33"/>
      <c r="L32" s="33"/>
      <c r="M32" s="33"/>
      <c r="N32" s="33"/>
      <c r="O32" s="33"/>
      <c r="P32" s="33"/>
    </row>
    <row r="33" spans="1:16" ht="24" customHeight="1" thickBot="1" x14ac:dyDescent="0.3">
      <c r="A33" s="60"/>
      <c r="B33" s="50" t="s">
        <v>80</v>
      </c>
      <c r="C33" s="7">
        <v>1</v>
      </c>
      <c r="D33" s="28">
        <f t="shared" si="0"/>
        <v>0</v>
      </c>
      <c r="E33" s="33"/>
      <c r="F33" s="33"/>
      <c r="G33" s="33"/>
      <c r="H33" s="33"/>
      <c r="I33" s="33"/>
      <c r="J33" s="33"/>
      <c r="K33" s="33"/>
      <c r="L33" s="33"/>
      <c r="M33" s="33"/>
      <c r="N33" s="33"/>
      <c r="O33" s="33"/>
      <c r="P33" s="33"/>
    </row>
    <row r="34" spans="1:16" x14ac:dyDescent="0.25">
      <c r="C34" s="43">
        <f>SUM(C3:C33)</f>
        <v>246</v>
      </c>
      <c r="D34" s="44">
        <f>SUM(D3:D33)</f>
        <v>111</v>
      </c>
    </row>
    <row r="35" spans="1:16" x14ac:dyDescent="0.25">
      <c r="C35" s="45"/>
      <c r="D35" s="9">
        <f>D34/C34</f>
        <v>0.45121951219512196</v>
      </c>
    </row>
    <row r="42" spans="1:16" x14ac:dyDescent="0.25">
      <c r="C42" s="8"/>
    </row>
    <row r="43" spans="1:16" x14ac:dyDescent="0.25">
      <c r="C43" s="8"/>
    </row>
    <row r="44" spans="1:16" x14ac:dyDescent="0.25">
      <c r="C44" s="8"/>
    </row>
    <row r="45" spans="1:16" x14ac:dyDescent="0.25">
      <c r="C45" s="8"/>
    </row>
    <row r="46" spans="1:16" x14ac:dyDescent="0.25">
      <c r="C46" s="8"/>
    </row>
    <row r="47" spans="1:16" x14ac:dyDescent="0.25">
      <c r="C47" s="8"/>
    </row>
    <row r="48" spans="1:16"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row r="55" spans="3:3" x14ac:dyDescent="0.25">
      <c r="C55" s="8"/>
    </row>
    <row r="56" spans="3:3" x14ac:dyDescent="0.25">
      <c r="C56" s="8"/>
    </row>
    <row r="57" spans="3:3" x14ac:dyDescent="0.25">
      <c r="C57" s="8"/>
    </row>
  </sheetData>
  <sheetProtection algorithmName="SHA-512" hashValue="gbYuv/RJR1S3pBHRuVOI0ro/XFoPrRPc7TM99paMHSa+9O4sxb3pZ95zHfa4jdfoSKyN3rD12sD0l6F2pCiJlw==" saltValue="m1MTtfvAcQq/bjdUPPOE5g==" spinCount="100000" sheet="1" objects="1" scenarios="1" autoFilter="0"/>
  <mergeCells count="2">
    <mergeCell ref="A1:A2"/>
    <mergeCell ref="A6:A33"/>
  </mergeCells>
  <conditionalFormatting sqref="C3:D3 D4:D5">
    <cfRule type="dataBar" priority="46">
      <dataBar>
        <cfvo type="min"/>
        <cfvo type="max"/>
        <color rgb="FF008AEF"/>
      </dataBar>
      <extLst>
        <ext xmlns:x14="http://schemas.microsoft.com/office/spreadsheetml/2009/9/main" uri="{B025F937-C7B1-47D3-B67F-A62EFF666E3E}">
          <x14:id>{51A6CDE3-627A-442E-B5AC-6820ABFF5AE8}</x14:id>
        </ext>
      </extLst>
    </cfRule>
  </conditionalFormatting>
  <conditionalFormatting sqref="C4:D4">
    <cfRule type="dataBar" priority="4">
      <dataBar>
        <cfvo type="min"/>
        <cfvo type="max"/>
        <color rgb="FF008AEF"/>
      </dataBar>
      <extLst>
        <ext xmlns:x14="http://schemas.microsoft.com/office/spreadsheetml/2009/9/main" uri="{B025F937-C7B1-47D3-B67F-A62EFF666E3E}">
          <x14:id>{91840114-2E3D-436D-9994-9A9910F34BAE}</x14:id>
        </ext>
      </extLst>
    </cfRule>
  </conditionalFormatting>
  <conditionalFormatting sqref="C5:D5">
    <cfRule type="dataBar" priority="5">
      <dataBar>
        <cfvo type="min"/>
        <cfvo type="max"/>
        <color rgb="FF008AEF"/>
      </dataBar>
      <extLst>
        <ext xmlns:x14="http://schemas.microsoft.com/office/spreadsheetml/2009/9/main" uri="{B025F937-C7B1-47D3-B67F-A62EFF666E3E}">
          <x14:id>{8CA50E75-E1FB-402C-AD2F-62C2738D98EB}</x14:id>
        </ext>
      </extLst>
    </cfRule>
  </conditionalFormatting>
  <conditionalFormatting sqref="C6:D6">
    <cfRule type="dataBar" priority="12">
      <dataBar>
        <cfvo type="min"/>
        <cfvo type="max"/>
        <color rgb="FF008AEF"/>
      </dataBar>
      <extLst>
        <ext xmlns:x14="http://schemas.microsoft.com/office/spreadsheetml/2009/9/main" uri="{B025F937-C7B1-47D3-B67F-A62EFF666E3E}">
          <x14:id>{3571ECAB-AD93-485F-BC19-25B19BE054FC}</x14:id>
        </ext>
      </extLst>
    </cfRule>
  </conditionalFormatting>
  <conditionalFormatting sqref="C7:D7">
    <cfRule type="dataBar" priority="39">
      <dataBar>
        <cfvo type="min"/>
        <cfvo type="max"/>
        <color rgb="FF008AEF"/>
      </dataBar>
      <extLst>
        <ext xmlns:x14="http://schemas.microsoft.com/office/spreadsheetml/2009/9/main" uri="{B025F937-C7B1-47D3-B67F-A62EFF666E3E}">
          <x14:id>{7A3516A9-4E03-41E8-88A4-6D716B32407A}</x14:id>
        </ext>
      </extLst>
    </cfRule>
  </conditionalFormatting>
  <conditionalFormatting sqref="C8:D8">
    <cfRule type="dataBar" priority="38">
      <dataBar>
        <cfvo type="min"/>
        <cfvo type="max"/>
        <color rgb="FF008AEF"/>
      </dataBar>
      <extLst>
        <ext xmlns:x14="http://schemas.microsoft.com/office/spreadsheetml/2009/9/main" uri="{B025F937-C7B1-47D3-B67F-A62EFF666E3E}">
          <x14:id>{120729F3-E4F5-4929-8B06-9F1CCD8DF1C6}</x14:id>
        </ext>
      </extLst>
    </cfRule>
  </conditionalFormatting>
  <conditionalFormatting sqref="C9:D9">
    <cfRule type="dataBar" priority="37">
      <dataBar>
        <cfvo type="min"/>
        <cfvo type="max"/>
        <color rgb="FF008AEF"/>
      </dataBar>
      <extLst>
        <ext xmlns:x14="http://schemas.microsoft.com/office/spreadsheetml/2009/9/main" uri="{B025F937-C7B1-47D3-B67F-A62EFF666E3E}">
          <x14:id>{4BC8B70F-005A-4126-8474-BB1700B22806}</x14:id>
        </ext>
      </extLst>
    </cfRule>
  </conditionalFormatting>
  <conditionalFormatting sqref="C10:D10">
    <cfRule type="dataBar" priority="36">
      <dataBar>
        <cfvo type="min"/>
        <cfvo type="max"/>
        <color rgb="FF008AEF"/>
      </dataBar>
      <extLst>
        <ext xmlns:x14="http://schemas.microsoft.com/office/spreadsheetml/2009/9/main" uri="{B025F937-C7B1-47D3-B67F-A62EFF666E3E}">
          <x14:id>{BE2B3067-BC55-479D-9950-20FA464986DF}</x14:id>
        </ext>
      </extLst>
    </cfRule>
  </conditionalFormatting>
  <conditionalFormatting sqref="C11:D11">
    <cfRule type="dataBar" priority="35">
      <dataBar>
        <cfvo type="min"/>
        <cfvo type="max"/>
        <color rgb="FF008AEF"/>
      </dataBar>
      <extLst>
        <ext xmlns:x14="http://schemas.microsoft.com/office/spreadsheetml/2009/9/main" uri="{B025F937-C7B1-47D3-B67F-A62EFF666E3E}">
          <x14:id>{F02CD655-FFC3-4642-9E20-8AA16A4F1BED}</x14:id>
        </ext>
      </extLst>
    </cfRule>
  </conditionalFormatting>
  <conditionalFormatting sqref="C12:D12">
    <cfRule type="dataBar" priority="34">
      <dataBar>
        <cfvo type="min"/>
        <cfvo type="max"/>
        <color rgb="FF008AEF"/>
      </dataBar>
      <extLst>
        <ext xmlns:x14="http://schemas.microsoft.com/office/spreadsheetml/2009/9/main" uri="{B025F937-C7B1-47D3-B67F-A62EFF666E3E}">
          <x14:id>{789DFDF6-388C-42E3-B434-4CD57E50F936}</x14:id>
        </ext>
      </extLst>
    </cfRule>
  </conditionalFormatting>
  <conditionalFormatting sqref="C13:D13">
    <cfRule type="dataBar" priority="33">
      <dataBar>
        <cfvo type="min"/>
        <cfvo type="max"/>
        <color rgb="FF008AEF"/>
      </dataBar>
      <extLst>
        <ext xmlns:x14="http://schemas.microsoft.com/office/spreadsheetml/2009/9/main" uri="{B025F937-C7B1-47D3-B67F-A62EFF666E3E}">
          <x14:id>{BC4205BC-D020-44DA-9E4F-A92382B54961}</x14:id>
        </ext>
      </extLst>
    </cfRule>
  </conditionalFormatting>
  <conditionalFormatting sqref="C14:D14">
    <cfRule type="dataBar" priority="32">
      <dataBar>
        <cfvo type="min"/>
        <cfvo type="max"/>
        <color rgb="FF008AEF"/>
      </dataBar>
      <extLst>
        <ext xmlns:x14="http://schemas.microsoft.com/office/spreadsheetml/2009/9/main" uri="{B025F937-C7B1-47D3-B67F-A62EFF666E3E}">
          <x14:id>{D6509D34-C0C2-49FD-A538-A7C7A2B72F8A}</x14:id>
        </ext>
      </extLst>
    </cfRule>
  </conditionalFormatting>
  <conditionalFormatting sqref="C15:D15">
    <cfRule type="dataBar" priority="31">
      <dataBar>
        <cfvo type="min"/>
        <cfvo type="max"/>
        <color rgb="FF008AEF"/>
      </dataBar>
      <extLst>
        <ext xmlns:x14="http://schemas.microsoft.com/office/spreadsheetml/2009/9/main" uri="{B025F937-C7B1-47D3-B67F-A62EFF666E3E}">
          <x14:id>{1B58FA95-F0A5-428B-8F52-DBB6D6E65E8D}</x14:id>
        </ext>
      </extLst>
    </cfRule>
  </conditionalFormatting>
  <conditionalFormatting sqref="C16:D16">
    <cfRule type="dataBar" priority="30">
      <dataBar>
        <cfvo type="min"/>
        <cfvo type="max"/>
        <color rgb="FF008AEF"/>
      </dataBar>
      <extLst>
        <ext xmlns:x14="http://schemas.microsoft.com/office/spreadsheetml/2009/9/main" uri="{B025F937-C7B1-47D3-B67F-A62EFF666E3E}">
          <x14:id>{89630E55-944A-42C2-8504-FBF60940D6F7}</x14:id>
        </ext>
      </extLst>
    </cfRule>
  </conditionalFormatting>
  <conditionalFormatting sqref="C17:D17">
    <cfRule type="dataBar" priority="29">
      <dataBar>
        <cfvo type="min"/>
        <cfvo type="max"/>
        <color rgb="FF008AEF"/>
      </dataBar>
      <extLst>
        <ext xmlns:x14="http://schemas.microsoft.com/office/spreadsheetml/2009/9/main" uri="{B025F937-C7B1-47D3-B67F-A62EFF666E3E}">
          <x14:id>{4FD03D5E-83D9-44CF-97E3-0433A11EF245}</x14:id>
        </ext>
      </extLst>
    </cfRule>
  </conditionalFormatting>
  <conditionalFormatting sqref="C18:D18">
    <cfRule type="dataBar" priority="28">
      <dataBar>
        <cfvo type="min"/>
        <cfvo type="max"/>
        <color rgb="FF008AEF"/>
      </dataBar>
      <extLst>
        <ext xmlns:x14="http://schemas.microsoft.com/office/spreadsheetml/2009/9/main" uri="{B025F937-C7B1-47D3-B67F-A62EFF666E3E}">
          <x14:id>{A00375AF-37A3-4F79-A794-E623C07F88DD}</x14:id>
        </ext>
      </extLst>
    </cfRule>
  </conditionalFormatting>
  <conditionalFormatting sqref="C19:D19">
    <cfRule type="dataBar" priority="27">
      <dataBar>
        <cfvo type="min"/>
        <cfvo type="max"/>
        <color rgb="FF008AEF"/>
      </dataBar>
      <extLst>
        <ext xmlns:x14="http://schemas.microsoft.com/office/spreadsheetml/2009/9/main" uri="{B025F937-C7B1-47D3-B67F-A62EFF666E3E}">
          <x14:id>{18FB4B3B-C1F1-470C-8E7C-AC67879B7753}</x14:id>
        </ext>
      </extLst>
    </cfRule>
  </conditionalFormatting>
  <conditionalFormatting sqref="C20:D20">
    <cfRule type="dataBar" priority="26">
      <dataBar>
        <cfvo type="min"/>
        <cfvo type="max"/>
        <color rgb="FF008AEF"/>
      </dataBar>
      <extLst>
        <ext xmlns:x14="http://schemas.microsoft.com/office/spreadsheetml/2009/9/main" uri="{B025F937-C7B1-47D3-B67F-A62EFF666E3E}">
          <x14:id>{DC3090C8-862D-49DE-BB87-5A9A3F1094E0}</x14:id>
        </ext>
      </extLst>
    </cfRule>
  </conditionalFormatting>
  <conditionalFormatting sqref="C21:D21">
    <cfRule type="dataBar" priority="25">
      <dataBar>
        <cfvo type="min"/>
        <cfvo type="max"/>
        <color rgb="FF008AEF"/>
      </dataBar>
      <extLst>
        <ext xmlns:x14="http://schemas.microsoft.com/office/spreadsheetml/2009/9/main" uri="{B025F937-C7B1-47D3-B67F-A62EFF666E3E}">
          <x14:id>{EFBEB457-B065-4708-8611-1F17628CB81A}</x14:id>
        </ext>
      </extLst>
    </cfRule>
  </conditionalFormatting>
  <conditionalFormatting sqref="C22:D22">
    <cfRule type="dataBar" priority="24">
      <dataBar>
        <cfvo type="min"/>
        <cfvo type="max"/>
        <color rgb="FF008AEF"/>
      </dataBar>
      <extLst>
        <ext xmlns:x14="http://schemas.microsoft.com/office/spreadsheetml/2009/9/main" uri="{B025F937-C7B1-47D3-B67F-A62EFF666E3E}">
          <x14:id>{9D527E26-314C-45E5-8CF6-E1AB847733EF}</x14:id>
        </ext>
      </extLst>
    </cfRule>
  </conditionalFormatting>
  <conditionalFormatting sqref="C23:D23">
    <cfRule type="dataBar" priority="23">
      <dataBar>
        <cfvo type="min"/>
        <cfvo type="max"/>
        <color rgb="FF008AEF"/>
      </dataBar>
      <extLst>
        <ext xmlns:x14="http://schemas.microsoft.com/office/spreadsheetml/2009/9/main" uri="{B025F937-C7B1-47D3-B67F-A62EFF666E3E}">
          <x14:id>{B2BD57DC-471E-4423-8DFD-1CFF88027ADF}</x14:id>
        </ext>
      </extLst>
    </cfRule>
  </conditionalFormatting>
  <conditionalFormatting sqref="C24:D24">
    <cfRule type="dataBar" priority="22">
      <dataBar>
        <cfvo type="min"/>
        <cfvo type="max"/>
        <color rgb="FF008AEF"/>
      </dataBar>
      <extLst>
        <ext xmlns:x14="http://schemas.microsoft.com/office/spreadsheetml/2009/9/main" uri="{B025F937-C7B1-47D3-B67F-A62EFF666E3E}">
          <x14:id>{499891FA-1F4C-4205-A6EA-EDB7EBDD036B}</x14:id>
        </ext>
      </extLst>
    </cfRule>
  </conditionalFormatting>
  <conditionalFormatting sqref="C25:D25">
    <cfRule type="dataBar" priority="21">
      <dataBar>
        <cfvo type="min"/>
        <cfvo type="max"/>
        <color rgb="FF008AEF"/>
      </dataBar>
      <extLst>
        <ext xmlns:x14="http://schemas.microsoft.com/office/spreadsheetml/2009/9/main" uri="{B025F937-C7B1-47D3-B67F-A62EFF666E3E}">
          <x14:id>{41FC0D3C-D60A-4C20-ADE0-2C368FEB1F1C}</x14:id>
        </ext>
      </extLst>
    </cfRule>
  </conditionalFormatting>
  <conditionalFormatting sqref="C26:D26">
    <cfRule type="dataBar" priority="20">
      <dataBar>
        <cfvo type="min"/>
        <cfvo type="max"/>
        <color rgb="FF008AEF"/>
      </dataBar>
      <extLst>
        <ext xmlns:x14="http://schemas.microsoft.com/office/spreadsheetml/2009/9/main" uri="{B025F937-C7B1-47D3-B67F-A62EFF666E3E}">
          <x14:id>{9CAFB0D0-D170-4EE4-8051-3611C08009A5}</x14:id>
        </ext>
      </extLst>
    </cfRule>
  </conditionalFormatting>
  <conditionalFormatting sqref="C27:D27">
    <cfRule type="dataBar" priority="19">
      <dataBar>
        <cfvo type="min"/>
        <cfvo type="max"/>
        <color rgb="FF008AEF"/>
      </dataBar>
      <extLst>
        <ext xmlns:x14="http://schemas.microsoft.com/office/spreadsheetml/2009/9/main" uri="{B025F937-C7B1-47D3-B67F-A62EFF666E3E}">
          <x14:id>{FC59F40A-02F7-4441-99C0-EDD9840CDB30}</x14:id>
        </ext>
      </extLst>
    </cfRule>
  </conditionalFormatting>
  <conditionalFormatting sqref="C28:D28">
    <cfRule type="dataBar" priority="18">
      <dataBar>
        <cfvo type="min"/>
        <cfvo type="max"/>
        <color rgb="FF008AEF"/>
      </dataBar>
      <extLst>
        <ext xmlns:x14="http://schemas.microsoft.com/office/spreadsheetml/2009/9/main" uri="{B025F937-C7B1-47D3-B67F-A62EFF666E3E}">
          <x14:id>{C0108E05-6DDE-4763-98A3-ECC3D4489488}</x14:id>
        </ext>
      </extLst>
    </cfRule>
  </conditionalFormatting>
  <conditionalFormatting sqref="C29:D29">
    <cfRule type="dataBar" priority="17">
      <dataBar>
        <cfvo type="min"/>
        <cfvo type="max"/>
        <color rgb="FF008AEF"/>
      </dataBar>
      <extLst>
        <ext xmlns:x14="http://schemas.microsoft.com/office/spreadsheetml/2009/9/main" uri="{B025F937-C7B1-47D3-B67F-A62EFF666E3E}">
          <x14:id>{72DB09C5-ED1C-4CA6-AAC1-7ABD2052F26C}</x14:id>
        </ext>
      </extLst>
    </cfRule>
  </conditionalFormatting>
  <conditionalFormatting sqref="C30:D30">
    <cfRule type="dataBar" priority="16">
      <dataBar>
        <cfvo type="min"/>
        <cfvo type="max"/>
        <color rgb="FF008AEF"/>
      </dataBar>
      <extLst>
        <ext xmlns:x14="http://schemas.microsoft.com/office/spreadsheetml/2009/9/main" uri="{B025F937-C7B1-47D3-B67F-A62EFF666E3E}">
          <x14:id>{84DB8B7A-F3DE-4177-BEEE-02C314DC8C14}</x14:id>
        </ext>
      </extLst>
    </cfRule>
  </conditionalFormatting>
  <conditionalFormatting sqref="C31:D31">
    <cfRule type="dataBar" priority="15">
      <dataBar>
        <cfvo type="min"/>
        <cfvo type="max"/>
        <color rgb="FF008AEF"/>
      </dataBar>
      <extLst>
        <ext xmlns:x14="http://schemas.microsoft.com/office/spreadsheetml/2009/9/main" uri="{B025F937-C7B1-47D3-B67F-A62EFF666E3E}">
          <x14:id>{29C35379-630D-4FD6-A958-03B4D847C9E7}</x14:id>
        </ext>
      </extLst>
    </cfRule>
  </conditionalFormatting>
  <conditionalFormatting sqref="C32:D32">
    <cfRule type="dataBar" priority="14">
      <dataBar>
        <cfvo type="min"/>
        <cfvo type="max"/>
        <color rgb="FF008AEF"/>
      </dataBar>
      <extLst>
        <ext xmlns:x14="http://schemas.microsoft.com/office/spreadsheetml/2009/9/main" uri="{B025F937-C7B1-47D3-B67F-A62EFF666E3E}">
          <x14:id>{1CACCFA0-9C3A-4687-8C57-4016E2D41B50}</x14:id>
        </ext>
      </extLst>
    </cfRule>
  </conditionalFormatting>
  <conditionalFormatting sqref="C33:D33">
    <cfRule type="dataBar" priority="13">
      <dataBar>
        <cfvo type="min"/>
        <cfvo type="max"/>
        <color rgb="FF008AEF"/>
      </dataBar>
      <extLst>
        <ext xmlns:x14="http://schemas.microsoft.com/office/spreadsheetml/2009/9/main" uri="{B025F937-C7B1-47D3-B67F-A62EFF666E3E}">
          <x14:id>{F104DDCE-A7AE-4B0A-9F33-468C48591565}</x14:id>
        </ext>
      </extLst>
    </cfRule>
  </conditionalFormatting>
  <conditionalFormatting sqref="E3:P33">
    <cfRule type="cellIs" dxfId="2"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1A6CDE3-627A-442E-B5AC-6820ABFF5AE8}">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91840114-2E3D-436D-9994-9A9910F34BAE}">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8CA50E75-E1FB-402C-AD2F-62C2738D98EB}">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3571ECAB-AD93-485F-BC19-25B19BE054FC}">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7A3516A9-4E03-41E8-88A4-6D716B32407A}">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120729F3-E4F5-4929-8B06-9F1CCD8DF1C6}">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4BC8B70F-005A-4126-8474-BB1700B2280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BE2B3067-BC55-479D-9950-20FA464986DF}">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F02CD655-FFC3-4642-9E20-8AA16A4F1BED}">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789DFDF6-388C-42E3-B434-4CD57E50F936}">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BC4205BC-D020-44DA-9E4F-A92382B54961}">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D6509D34-C0C2-49FD-A538-A7C7A2B72F8A}">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1B58FA95-F0A5-428B-8F52-DBB6D6E65E8D}">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89630E55-944A-42C2-8504-FBF60940D6F7}">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4FD03D5E-83D9-44CF-97E3-0433A11EF245}">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A00375AF-37A3-4F79-A794-E623C07F88DD}">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18FB4B3B-C1F1-470C-8E7C-AC67879B7753}">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DC3090C8-862D-49DE-BB87-5A9A3F1094E0}">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EFBEB457-B065-4708-8611-1F17628CB81A}">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9D527E26-314C-45E5-8CF6-E1AB847733EF}">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B2BD57DC-471E-4423-8DFD-1CFF88027ADF}">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499891FA-1F4C-4205-A6EA-EDB7EBDD036B}">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41FC0D3C-D60A-4C20-ADE0-2C368FEB1F1C}">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9CAFB0D0-D170-4EE4-8051-3611C08009A5}">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FC59F40A-02F7-4441-99C0-EDD9840CDB3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C0108E05-6DDE-4763-98A3-ECC3D4489488}">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72DB09C5-ED1C-4CA6-AAC1-7ABD2052F26C}">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84DB8B7A-F3DE-4177-BEEE-02C314DC8C14}">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29C35379-630D-4FD6-A958-03B4D847C9E7}">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1CACCFA0-9C3A-4687-8C57-4016E2D41B50}">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F104DDCE-A7AE-4B0A-9F33-468C48591565}">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10"/>
  <sheetViews>
    <sheetView tabSelected="1" workbookViewId="0">
      <selection activeCell="F13" sqref="F13"/>
    </sheetView>
  </sheetViews>
  <sheetFormatPr baseColWidth="10" defaultRowHeight="15" x14ac:dyDescent="0.25"/>
  <cols>
    <col min="1" max="1" width="11.28515625" customWidth="1"/>
    <col min="2" max="2" width="24" customWidth="1"/>
    <col min="3" max="3" width="11.85546875" bestFit="1" customWidth="1"/>
  </cols>
  <sheetData>
    <row r="1" spans="1:5" x14ac:dyDescent="0.25">
      <c r="A1" s="61" t="s">
        <v>37</v>
      </c>
      <c r="B1" s="61"/>
      <c r="C1" s="18" t="s">
        <v>2</v>
      </c>
      <c r="D1" s="18" t="s">
        <v>50</v>
      </c>
      <c r="E1" s="18" t="s">
        <v>83</v>
      </c>
    </row>
    <row r="2" spans="1:5" x14ac:dyDescent="0.25">
      <c r="A2" s="25" t="s">
        <v>38</v>
      </c>
      <c r="B2" s="26" t="s">
        <v>44</v>
      </c>
      <c r="C2" s="19">
        <f>'D10 Curridabat'!C39</f>
        <v>235</v>
      </c>
      <c r="D2" s="20">
        <f>'D10 Curridabat'!D39</f>
        <v>98</v>
      </c>
      <c r="E2" s="55">
        <f>'D10 Curridabat'!D40</f>
        <v>0.41702127659574467</v>
      </c>
    </row>
    <row r="3" spans="1:5" x14ac:dyDescent="0.25">
      <c r="A3" s="25" t="s">
        <v>39</v>
      </c>
      <c r="B3" s="26" t="s">
        <v>45</v>
      </c>
      <c r="C3" s="20">
        <f>'D11 Montes de Oca'!C34</f>
        <v>222</v>
      </c>
      <c r="D3" s="20">
        <f>'D11 Montes de Oca'!D34</f>
        <v>99</v>
      </c>
      <c r="E3" s="55">
        <f>'D11 Montes de Oca'!D35</f>
        <v>0.44594594594594594</v>
      </c>
    </row>
    <row r="4" spans="1:5" x14ac:dyDescent="0.25">
      <c r="A4" s="25" t="s">
        <v>40</v>
      </c>
      <c r="B4" s="26" t="s">
        <v>46</v>
      </c>
      <c r="C4" s="19">
        <f>'D12 Goicoechea'!C35</f>
        <v>316</v>
      </c>
      <c r="D4" s="20">
        <f>'D12 Goicoechea'!D35</f>
        <v>147</v>
      </c>
      <c r="E4" s="55">
        <f>'D12 Goicoechea'!D36</f>
        <v>0.4651898734177215</v>
      </c>
    </row>
    <row r="5" spans="1:5" x14ac:dyDescent="0.25">
      <c r="A5" s="25" t="s">
        <v>41</v>
      </c>
      <c r="B5" s="26" t="s">
        <v>47</v>
      </c>
      <c r="C5" s="19">
        <f>'D13 Moravia'!C32</f>
        <v>434</v>
      </c>
      <c r="D5" s="19">
        <f>'D13 Moravia'!D32</f>
        <v>95</v>
      </c>
      <c r="E5" s="55">
        <f>'D13 Moravia'!D33</f>
        <v>0.21889400921658986</v>
      </c>
    </row>
    <row r="6" spans="1:5" x14ac:dyDescent="0.25">
      <c r="A6" s="25" t="s">
        <v>42</v>
      </c>
      <c r="B6" s="26" t="s">
        <v>48</v>
      </c>
      <c r="C6" s="19">
        <f>'D14 Tibás'!C35</f>
        <v>249</v>
      </c>
      <c r="D6" s="20">
        <f>'D14 Tibás'!D35</f>
        <v>76</v>
      </c>
      <c r="E6" s="55">
        <f>'D14 Tibás'!D36</f>
        <v>0.30522088353413657</v>
      </c>
    </row>
    <row r="7" spans="1:5" x14ac:dyDescent="0.25">
      <c r="A7" s="25" t="s">
        <v>43</v>
      </c>
      <c r="B7" s="27" t="s">
        <v>49</v>
      </c>
      <c r="C7" s="19">
        <f>'D15 Coronado'!C34</f>
        <v>246</v>
      </c>
      <c r="D7" s="20">
        <f>'D15 Coronado'!D34</f>
        <v>111</v>
      </c>
      <c r="E7" s="55">
        <f>'D15 Coronado'!D35</f>
        <v>0.45121951219512196</v>
      </c>
    </row>
    <row r="8" spans="1:5" x14ac:dyDescent="0.25">
      <c r="B8" s="22" t="s">
        <v>51</v>
      </c>
      <c r="C8" s="23">
        <f>SUM(C2:C7)</f>
        <v>1702</v>
      </c>
      <c r="D8" s="24">
        <f>SUM(D2:D7)</f>
        <v>626</v>
      </c>
      <c r="E8" s="55">
        <f>D8/C8</f>
        <v>0.36780258519388953</v>
      </c>
    </row>
    <row r="9" spans="1:5" x14ac:dyDescent="0.25">
      <c r="C9" s="21"/>
      <c r="D9" s="21"/>
    </row>
    <row r="10" spans="1:5" x14ac:dyDescent="0.25">
      <c r="C10" s="21"/>
      <c r="D10" s="21"/>
    </row>
  </sheetData>
  <sheetProtection algorithmName="SHA-512" hashValue="fEb0ri9EON6DTtA1xQRdDGIb0HsF7h/SeET1Zv/1KtkLtaqKhNr+0hUflLIVERIDyllv/bWsIr0oOGBZTHehaA==" saltValue="raG+gf7c+LuYRknqLGhxhg==" spinCount="100000" sheet="1" objects="1" scenarios="1" autoFilter="0"/>
  <mergeCells count="1">
    <mergeCell ref="A1:B1"/>
  </mergeCells>
  <conditionalFormatting sqref="C2:D2">
    <cfRule type="dataBar" priority="7">
      <dataBar>
        <cfvo type="min"/>
        <cfvo type="max"/>
        <color rgb="FF008AEF"/>
      </dataBar>
      <extLst>
        <ext xmlns:x14="http://schemas.microsoft.com/office/spreadsheetml/2009/9/main" uri="{B025F937-C7B1-47D3-B67F-A62EFF666E3E}">
          <x14:id>{1CE5E1BE-05D9-40EA-8C07-BB950122184C}</x14:id>
        </ext>
      </extLst>
    </cfRule>
  </conditionalFormatting>
  <conditionalFormatting sqref="C3:D3">
    <cfRule type="dataBar" priority="6">
      <dataBar>
        <cfvo type="min"/>
        <cfvo type="max"/>
        <color rgb="FF008AEF"/>
      </dataBar>
      <extLst>
        <ext xmlns:x14="http://schemas.microsoft.com/office/spreadsheetml/2009/9/main" uri="{B025F937-C7B1-47D3-B67F-A62EFF666E3E}">
          <x14:id>{1C5AD749-BCB6-4810-A866-31A1AAF5A452}</x14:id>
        </ext>
      </extLst>
    </cfRule>
  </conditionalFormatting>
  <conditionalFormatting sqref="C4:D4">
    <cfRule type="dataBar" priority="5">
      <dataBar>
        <cfvo type="min"/>
        <cfvo type="max"/>
        <color rgb="FF008AEF"/>
      </dataBar>
      <extLst>
        <ext xmlns:x14="http://schemas.microsoft.com/office/spreadsheetml/2009/9/main" uri="{B025F937-C7B1-47D3-B67F-A62EFF666E3E}">
          <x14:id>{6FC25B7E-9ADA-45F8-9CC8-5E024E15A3DC}</x14:id>
        </ext>
      </extLst>
    </cfRule>
  </conditionalFormatting>
  <conditionalFormatting sqref="C5:D5">
    <cfRule type="dataBar" priority="8">
      <dataBar>
        <cfvo type="min"/>
        <cfvo type="max"/>
        <color rgb="FF008AEF"/>
      </dataBar>
      <extLst>
        <ext xmlns:x14="http://schemas.microsoft.com/office/spreadsheetml/2009/9/main" uri="{B025F937-C7B1-47D3-B67F-A62EFF666E3E}">
          <x14:id>{673196FF-CEF0-448D-8CEB-8FFFCD2175A5}</x14:id>
        </ext>
      </extLst>
    </cfRule>
  </conditionalFormatting>
  <conditionalFormatting sqref="C6:D6">
    <cfRule type="dataBar" priority="4">
      <dataBar>
        <cfvo type="min"/>
        <cfvo type="max"/>
        <color rgb="FF008AEF"/>
      </dataBar>
      <extLst>
        <ext xmlns:x14="http://schemas.microsoft.com/office/spreadsheetml/2009/9/main" uri="{B025F937-C7B1-47D3-B67F-A62EFF666E3E}">
          <x14:id>{5D83BCB1-1EEA-4905-8143-2A65291E1106}</x14:id>
        </ext>
      </extLst>
    </cfRule>
  </conditionalFormatting>
  <conditionalFormatting sqref="C7:D7">
    <cfRule type="dataBar" priority="3">
      <dataBar>
        <cfvo type="min"/>
        <cfvo type="max"/>
        <color rgb="FF008AEF"/>
      </dataBar>
      <extLst>
        <ext xmlns:x14="http://schemas.microsoft.com/office/spreadsheetml/2009/9/main" uri="{B025F937-C7B1-47D3-B67F-A62EFF666E3E}">
          <x14:id>{E00B6F35-C4D4-4537-B5B3-62967F1869CA}</x14:id>
        </ext>
      </extLst>
    </cfRule>
  </conditionalFormatting>
  <conditionalFormatting sqref="E2:E8">
    <cfRule type="cellIs" dxfId="1" priority="1" operator="greaterThan">
      <formula>0.2499</formula>
    </cfRule>
    <cfRule type="cellIs" dxfId="0" priority="2"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1CE5E1BE-05D9-40EA-8C07-BB950122184C}">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1C5AD749-BCB6-4810-A866-31A1AAF5A452}">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6FC25B7E-9ADA-45F8-9CC8-5E024E15A3DC}">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673196FF-CEF0-448D-8CEB-8FFFCD2175A5}">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5D83BCB1-1EEA-4905-8143-2A65291E1106}">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E00B6F35-C4D4-4537-B5B3-62967F1869CA}">
            <x14:dataBar minLength="0" maxLength="100" gradient="0">
              <x14:cfvo type="autoMin"/>
              <x14:cfvo type="autoMax"/>
              <x14:negativeFillColor rgb="FFFF0000"/>
              <x14:axisColor rgb="FF000000"/>
            </x14:dataBar>
          </x14:cfRule>
          <xm:sqref>C7:D7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D10 Curridabat</vt:lpstr>
      <vt:lpstr>D11 Montes de Oca</vt:lpstr>
      <vt:lpstr>D12 Goicoechea</vt:lpstr>
      <vt:lpstr>D13 Moravia</vt:lpstr>
      <vt:lpstr>D14 Tibás</vt:lpstr>
      <vt:lpstr>D15 Coronado</vt:lpstr>
      <vt:lpstr>Total 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Alberto Cartin Sequeira</dc:creator>
  <cp:lastModifiedBy>Manuel Alberto Cartin Sequeira</cp:lastModifiedBy>
  <dcterms:created xsi:type="dcterms:W3CDTF">2025-07-04T23:47:59Z</dcterms:created>
  <dcterms:modified xsi:type="dcterms:W3CDTF">2026-06-19T22:42:36Z</dcterms:modified>
</cp:coreProperties>
</file>