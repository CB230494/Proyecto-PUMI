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DD084FCB-45C1-45F1-B006-05F1B0DAF356}" xr6:coauthVersionLast="47" xr6:coauthVersionMax="47" xr10:uidLastSave="{00000000-0000-0000-0000-000000000000}"/>
  <bookViews>
    <workbookView xWindow="-120" yWindow="-120" windowWidth="29040" windowHeight="15720" activeTab="2" xr2:uid="{00000000-000D-0000-FFFF-FFFF00000000}"/>
  </bookViews>
  <sheets>
    <sheet name="D84 Upala" sheetId="1" r:id="rId1"/>
    <sheet name="D85 Los Chiles" sheetId="2" r:id="rId2"/>
    <sheet name="Total Región" sheetId="3" r:id="rId3"/>
  </sheets>
  <externalReferences>
    <externalReference r:id="rId4"/>
    <externalReference r:id="rId5"/>
    <externalReference r:id="rId6"/>
  </externalReferences>
  <definedNames>
    <definedName name="ABANG" localSheetId="1">[1]DAT2!#REF!</definedName>
    <definedName name="ABANG" localSheetId="2">[2]DAT2!#REF!</definedName>
    <definedName name="ABANG">[3]DAT2!#REF!</definedName>
    <definedName name="ACOS" localSheetId="1">[1]DAT2!#REF!</definedName>
    <definedName name="ACOS" localSheetId="2">[2]DAT2!#REF!</definedName>
    <definedName name="ACOS">[3]DAT2!#REF!</definedName>
    <definedName name="ALAJU" localSheetId="1">[1]DAT2!#REF!</definedName>
    <definedName name="ALAJU" localSheetId="2">[2]DAT2!#REF!</definedName>
    <definedName name="ALAJU">[3]DAT2!#REF!</definedName>
    <definedName name="ALAJUE" localSheetId="1">[1]DAT2!#REF!</definedName>
    <definedName name="ALAJUE" localSheetId="2">[2]DAT2!#REF!</definedName>
    <definedName name="ALAJUE">[3]DAT2!#REF!</definedName>
    <definedName name="ALVA" localSheetId="1">[1]DAT2!#REF!</definedName>
    <definedName name="ALVA" localSheetId="2">[2]DAT2!#REF!</definedName>
    <definedName name="ALVA">[3]DAT2!#REF!</definedName>
    <definedName name="ASERR" localSheetId="1">[1]DAT2!#REF!</definedName>
    <definedName name="ASERR" localSheetId="2">[2]DAT2!#REF!</definedName>
    <definedName name="ASERR">[3]DAT2!#REF!</definedName>
    <definedName name="ATE" localSheetId="1">[1]DAT2!#REF!</definedName>
    <definedName name="ATE" localSheetId="2">[2]DAT2!#REF!</definedName>
    <definedName name="ATE">[3]DAT2!#REF!</definedName>
    <definedName name="BAGAC" localSheetId="1">[1]DAT2!#REF!</definedName>
    <definedName name="BAGAC" localSheetId="2">[2]DAT2!#REF!</definedName>
    <definedName name="BAGAC">[3]DAT2!#REF!</definedName>
    <definedName name="BARV" localSheetId="1">[1]DAT2!#REF!</definedName>
    <definedName name="BARV" localSheetId="2">[2]DAT2!#REF!</definedName>
    <definedName name="BARV">[3]DAT2!#REF!</definedName>
    <definedName name="BEL" localSheetId="1">[1]DAT2!#REF!</definedName>
    <definedName name="BEL" localSheetId="2">[2]DAT2!#REF!</definedName>
    <definedName name="BEL">[3]DAT2!#REF!</definedName>
    <definedName name="BUEN" localSheetId="1">[1]DAT2!#REF!</definedName>
    <definedName name="BUEN" localSheetId="2">[2]DAT2!#REF!</definedName>
    <definedName name="BUEN">[3]DAT2!#REF!</definedName>
    <definedName name="CANTÓNN">[3]!Tabla103[#All]</definedName>
    <definedName name="CAÑ" localSheetId="1">[1]DAT2!#REF!</definedName>
    <definedName name="CAÑ" localSheetId="2">[2]DAT2!#REF!</definedName>
    <definedName name="CAÑ">[3]DAT2!#REF!</definedName>
    <definedName name="CARR" localSheetId="1">[1]DAT2!#REF!</definedName>
    <definedName name="CARR" localSheetId="2">[2]DAT2!#REF!</definedName>
    <definedName name="CARR">[3]DAT2!#REF!</definedName>
    <definedName name="CARTAG" localSheetId="1">[1]DAT2!#REF!</definedName>
    <definedName name="CARTAG" localSheetId="2">[2]DAT2!#REF!</definedName>
    <definedName name="CARTAG">[3]DAT2!#REF!</definedName>
    <definedName name="CORR" localSheetId="1">[1]DAT2!#REF!</definedName>
    <definedName name="CORR" localSheetId="2">[2]DAT2!#REF!</definedName>
    <definedName name="CORR">[3]DAT2!#REF!</definedName>
    <definedName name="COTB" localSheetId="1">[1]DAT2!#REF!</definedName>
    <definedName name="COTB" localSheetId="2">[2]DAT2!#REF!</definedName>
    <definedName name="COTB">[3]DAT2!#REF!</definedName>
    <definedName name="CURRI" localSheetId="1">[1]DAT2!#REF!</definedName>
    <definedName name="CURRI" localSheetId="2">[2]DAT2!#REF!</definedName>
    <definedName name="CURRI">[3]DAT2!#REF!</definedName>
    <definedName name="DESAMP" localSheetId="1">[1]DAT2!#REF!</definedName>
    <definedName name="DESAMP" localSheetId="2">[2]DAT2!#REF!</definedName>
    <definedName name="DESAMP">[3]DAT2!#REF!</definedName>
    <definedName name="DISTRI" localSheetId="1">#REF!</definedName>
    <definedName name="DISTRI" localSheetId="2">#REF!</definedName>
    <definedName name="DISTRI">#REF!</definedName>
    <definedName name="DOTA" localSheetId="1">[1]DAT2!#REF!</definedName>
    <definedName name="DOTA" localSheetId="2">[2]DAT2!#REF!</definedName>
    <definedName name="DOTA">[3]DAT2!#REF!</definedName>
    <definedName name="ELGUA" localSheetId="1">[1]DAT2!#REF!</definedName>
    <definedName name="ELGUA" localSheetId="2">[2]DAT2!#REF!</definedName>
    <definedName name="ELGUA">[3]DAT2!#REF!</definedName>
    <definedName name="ESCAZ" localSheetId="1">[1]DAT2!#REF!</definedName>
    <definedName name="ESCAZ" localSheetId="2">[2]DAT2!#REF!</definedName>
    <definedName name="ESCAZ">[3]DAT2!#REF!</definedName>
    <definedName name="ESPA" localSheetId="1">[1]DAT2!#REF!</definedName>
    <definedName name="ESPA" localSheetId="2">[2]DAT2!#REF!</definedName>
    <definedName name="ESPA">[3]DAT2!#REF!</definedName>
    <definedName name="FLOR" localSheetId="1">[1]DAT2!#REF!</definedName>
    <definedName name="FLOR" localSheetId="2">[2]DAT2!#REF!</definedName>
    <definedName name="FLOR">[3]DAT2!#REF!</definedName>
    <definedName name="GARAB" localSheetId="1">[1]DAT2!#REF!</definedName>
    <definedName name="GARAB" localSheetId="2">[2]DAT2!#REF!</definedName>
    <definedName name="GARAB">[3]DAT2!#REF!</definedName>
    <definedName name="GOIC" localSheetId="1">[1]DAT2!#REF!</definedName>
    <definedName name="GOIC" localSheetId="2">[2]DAT2!#REF!</definedName>
    <definedName name="GOIC">[3]DAT2!#REF!</definedName>
    <definedName name="GOLF" localSheetId="1">[1]DAT2!#REF!</definedName>
    <definedName name="GOLF" localSheetId="2">[2]DAT2!#REF!</definedName>
    <definedName name="GOLF">[3]DAT2!#REF!</definedName>
    <definedName name="GREC" localSheetId="1">[1]DAT2!#REF!</definedName>
    <definedName name="GREC" localSheetId="2">[2]DAT2!#REF!</definedName>
    <definedName name="GREC">[3]DAT2!#REF!</definedName>
    <definedName name="GUAC" localSheetId="1">[1]DAT2!#REF!</definedName>
    <definedName name="GUAC" localSheetId="2">[2]DAT2!#REF!</definedName>
    <definedName name="GUAC">[3]DAT2!#REF!</definedName>
    <definedName name="GUATU" localSheetId="1">[1]DAT2!#REF!</definedName>
    <definedName name="GUATU" localSheetId="2">[2]DAT2!#REF!</definedName>
    <definedName name="GUATU">[3]DAT2!#REF!</definedName>
    <definedName name="HERED" localSheetId="1">[1]DAT2!#REF!</definedName>
    <definedName name="HERED" localSheetId="2">[2]DAT2!#REF!</definedName>
    <definedName name="HERED">[3]DAT2!#REF!</definedName>
    <definedName name="HOJA" localSheetId="1">[1]DAT2!#REF!</definedName>
    <definedName name="HOJA" localSheetId="2">[2]DAT2!#REF!</definedName>
    <definedName name="HOJA">[3]DAT2!#REF!</definedName>
    <definedName name="JE">[3]!Tabla103[#All]</definedName>
    <definedName name="jes">[3]!Tabla103[#All]</definedName>
    <definedName name="JIME" localSheetId="1">[1]DAT2!#REF!</definedName>
    <definedName name="JIME" localSheetId="2">[2]DAT2!#REF!</definedName>
    <definedName name="JIME">[3]DAT2!#REF!</definedName>
    <definedName name="LACRU" localSheetId="1">[1]DAT2!#REF!</definedName>
    <definedName name="LACRU" localSheetId="2">[2]DAT2!#REF!</definedName>
    <definedName name="LACRU">[3]DAT2!#REF!</definedName>
    <definedName name="LAUN" localSheetId="1">[1]DAT2!#REF!</definedName>
    <definedName name="LAUN" localSheetId="2">[2]DAT2!#REF!</definedName>
    <definedName name="LAUN">[3]DAT2!#REF!</definedName>
    <definedName name="LEO" localSheetId="1">[1]DAT1!#REF!</definedName>
    <definedName name="LEO" localSheetId="2">[2]DAT1!#REF!</definedName>
    <definedName name="LEO">[3]DAT1!#REF!</definedName>
    <definedName name="LIB" localSheetId="1">[1]DAT2!#REF!</definedName>
    <definedName name="LIB" localSheetId="2">[2]DAT2!#REF!</definedName>
    <definedName name="LIB">[3]DAT2!#REF!</definedName>
    <definedName name="LIM" localSheetId="1">[1]DAT2!#REF!</definedName>
    <definedName name="LIM" localSheetId="2">[2]DAT2!#REF!</definedName>
    <definedName name="LIM">[3]DAT2!#REF!</definedName>
    <definedName name="LOSCHI" localSheetId="1">[1]DAT2!#REF!</definedName>
    <definedName name="LOSCHI" localSheetId="2">[2]DAT2!#REF!</definedName>
    <definedName name="LOSCHI">[3]DAT2!#REF!</definedName>
    <definedName name="MAT" localSheetId="1">[1]DAT2!#REF!</definedName>
    <definedName name="MAT" localSheetId="2">[2]DAT2!#REF!</definedName>
    <definedName name="MAT">[3]DAT2!#REF!</definedName>
    <definedName name="MONTEV" localSheetId="1">[1]DAT2!#REF!</definedName>
    <definedName name="MONTEV" localSheetId="2">[2]DAT2!#REF!</definedName>
    <definedName name="MONTEV">[3]DAT2!#REF!</definedName>
    <definedName name="MONTOC" localSheetId="1">[1]DAT2!#REF!</definedName>
    <definedName name="MONTOC" localSheetId="2">[2]DAT2!#REF!</definedName>
    <definedName name="MONTOC">[3]DAT2!#REF!</definedName>
    <definedName name="MONTOR" localSheetId="1">[1]DAT2!#REF!</definedName>
    <definedName name="MONTOR" localSheetId="2">[2]DAT2!#REF!</definedName>
    <definedName name="MONTOR">[3]DAT2!#REF!</definedName>
    <definedName name="MOR" localSheetId="1">[1]DAT2!#REF!</definedName>
    <definedName name="MOR" localSheetId="2">[2]DAT2!#REF!</definedName>
    <definedName name="MOR">[3]DAT2!#REF!</definedName>
    <definedName name="MORAV" localSheetId="1">[1]DAT2!#REF!</definedName>
    <definedName name="MORAV" localSheetId="2">[2]DAT2!#REF!</definedName>
    <definedName name="MORAV">[3]DAT2!#REF!</definedName>
    <definedName name="NAND" localSheetId="1">[1]DAT2!#REF!</definedName>
    <definedName name="NAND" localSheetId="2">[2]DAT2!#REF!</definedName>
    <definedName name="NAND">[3]DAT2!#REF!</definedName>
    <definedName name="NARA" localSheetId="1">[1]DAT2!#REF!</definedName>
    <definedName name="NARA" localSheetId="2">[2]DAT2!#REF!</definedName>
    <definedName name="NARA">[3]DAT2!#REF!</definedName>
    <definedName name="NICO" localSheetId="1">[1]DAT2!#REF!</definedName>
    <definedName name="NICO" localSheetId="2">[2]DAT2!#REF!</definedName>
    <definedName name="NICO">[3]DAT2!#REF!</definedName>
    <definedName name="OREAMU" localSheetId="1">[1]DAT2!#REF!</definedName>
    <definedName name="OREAMU" localSheetId="2">[2]DAT2!#REF!</definedName>
    <definedName name="OREAMU">[3]DAT2!#REF!</definedName>
    <definedName name="OROT" localSheetId="1">[1]DAT2!#REF!</definedName>
    <definedName name="OROT" localSheetId="2">[2]DAT2!#REF!</definedName>
    <definedName name="OROT">[3]DAT2!#REF!</definedName>
    <definedName name="OSA" localSheetId="1">[1]DAT2!#REF!</definedName>
    <definedName name="OSA" localSheetId="2">[2]DAT2!#REF!</definedName>
    <definedName name="OSA">[3]DAT2!#REF!</definedName>
    <definedName name="PALMA" localSheetId="1">[1]DAT2!#REF!</definedName>
    <definedName name="PALMA" localSheetId="2">[2]DAT2!#REF!</definedName>
    <definedName name="PALMA">[3]DAT2!#REF!</definedName>
    <definedName name="PARA" localSheetId="1">[1]DAT2!#REF!</definedName>
    <definedName name="PARA" localSheetId="2">[2]DAT2!#REF!</definedName>
    <definedName name="PARA">[3]DAT2!#REF!</definedName>
    <definedName name="PARR" localSheetId="1">[1]DAT2!#REF!</definedName>
    <definedName name="PARR" localSheetId="2">[2]DAT2!#REF!</definedName>
    <definedName name="PARR">[3]DAT2!#REF!</definedName>
    <definedName name="POA" localSheetId="1">[1]DAT2!#REF!</definedName>
    <definedName name="POA" localSheetId="2">[2]DAT2!#REF!</definedName>
    <definedName name="POA">[3]DAT2!#REF!</definedName>
    <definedName name="POCOC" localSheetId="1">[1]DAT2!#REF!</definedName>
    <definedName name="POCOC" localSheetId="2">[2]DAT2!#REF!</definedName>
    <definedName name="POCOC">[3]DAT2!#REF!</definedName>
    <definedName name="PUERTOJ" localSheetId="1">[1]DAT2!#REF!</definedName>
    <definedName name="PUERTOJ" localSheetId="2">[2]DAT2!#REF!</definedName>
    <definedName name="PUERTOJ">[3]DAT2!#REF!</definedName>
    <definedName name="PUNTAR" localSheetId="1">[1]DAT2!#REF!</definedName>
    <definedName name="PUNTAR" localSheetId="2">[2]DAT2!#REF!</definedName>
    <definedName name="PUNTAR">[3]DAT2!#REF!</definedName>
    <definedName name="PURIS" localSheetId="1">[1]DAT2!#REF!</definedName>
    <definedName name="PURIS" localSheetId="2">[2]DAT2!#REF!</definedName>
    <definedName name="PURIS">[3]DAT2!#REF!</definedName>
    <definedName name="PZ" localSheetId="1">[1]DAT2!#REF!</definedName>
    <definedName name="PZ" localSheetId="2">[2]DAT2!#REF!</definedName>
    <definedName name="PZ">[3]DAT2!#REF!</definedName>
    <definedName name="QUEP" localSheetId="1">[1]DAT2!#REF!</definedName>
    <definedName name="QUEP" localSheetId="2">[2]DAT2!#REF!</definedName>
    <definedName name="QUEP">[3]DAT2!#REF!</definedName>
    <definedName name="RIOCU" localSheetId="1">[1]DAT2!#REF!</definedName>
    <definedName name="RIOCU" localSheetId="2">[2]DAT2!#REF!</definedName>
    <definedName name="RIOCU">[3]DAT2!#REF!</definedName>
    <definedName name="SANCAR" localSheetId="1">[1]DAT2!#REF!</definedName>
    <definedName name="SANCAR" localSheetId="2">[2]DAT2!#REF!</definedName>
    <definedName name="SANCAR">[3]DAT2!#REF!</definedName>
    <definedName name="SANISI" localSheetId="1">[1]DAT2!#REF!</definedName>
    <definedName name="SANISI" localSheetId="2">[2]DAT2!#REF!</definedName>
    <definedName name="SANISI">[3]DAT2!#REF!</definedName>
    <definedName name="SANMAT" localSheetId="1">[1]DAT2!#REF!</definedName>
    <definedName name="SANMAT" localSheetId="2">[2]DAT2!#REF!</definedName>
    <definedName name="SANMAT">[3]DAT2!#REF!</definedName>
    <definedName name="SANPA" localSheetId="1">[1]DAT2!#REF!</definedName>
    <definedName name="SANPA" localSheetId="2">[2]DAT2!#REF!</definedName>
    <definedName name="SANPA">[3]DAT2!#REF!</definedName>
    <definedName name="SANRA" localSheetId="1">[1]DAT2!#REF!</definedName>
    <definedName name="SANRA" localSheetId="2">[2]DAT2!#REF!</definedName>
    <definedName name="SANRA">[3]DAT2!#REF!</definedName>
    <definedName name="SANRAF" localSheetId="1">[1]DAT2!#REF!</definedName>
    <definedName name="SANRAF" localSheetId="2">[2]DAT2!#REF!</definedName>
    <definedName name="SANRAF">[3]DAT2!#REF!</definedName>
    <definedName name="SANTA" localSheetId="1">[1]DAT2!#REF!</definedName>
    <definedName name="SANTA" localSheetId="2">[2]DAT2!#REF!</definedName>
    <definedName name="SANTA">[3]DAT2!#REF!</definedName>
    <definedName name="SANTABA" localSheetId="1">[1]DAT2!#REF!</definedName>
    <definedName name="SANTABA" localSheetId="2">[2]DAT2!#REF!</definedName>
    <definedName name="SANTABA">[3]DAT2!#REF!</definedName>
    <definedName name="SANTACRU" localSheetId="1">[1]DAT2!#REF!</definedName>
    <definedName name="SANTACRU" localSheetId="2">[2]DAT2!#REF!</definedName>
    <definedName name="SANTACRU">[3]DAT2!#REF!</definedName>
    <definedName name="SANTODO" localSheetId="1">[1]DAT2!#REF!</definedName>
    <definedName name="SANTODO" localSheetId="2">[2]DAT2!#REF!</definedName>
    <definedName name="SANTODO">[3]DAT2!#REF!</definedName>
    <definedName name="SAR" localSheetId="1">[1]DAT2!#REF!</definedName>
    <definedName name="SAR" localSheetId="2">[2]DAT2!#REF!</definedName>
    <definedName name="SAR">[3]DAT2!#REF!</definedName>
    <definedName name="SARAP" localSheetId="1">[1]DAT2!#REF!</definedName>
    <definedName name="SARAP" localSheetId="2">[2]DAT2!#REF!</definedName>
    <definedName name="SARAP">[3]DAT2!#REF!</definedName>
    <definedName name="SIQUIRR" localSheetId="1">[1]DAT2!#REF!</definedName>
    <definedName name="SIQUIRR" localSheetId="2">[2]DAT2!#REF!</definedName>
    <definedName name="SIQUIRR">[3]DAT2!#REF!</definedName>
    <definedName name="TALAMA" localSheetId="1">[1]DAT2!#REF!</definedName>
    <definedName name="TALAMA" localSheetId="2">[2]DAT2!#REF!</definedName>
    <definedName name="TALAMA">[3]DAT2!#REF!</definedName>
    <definedName name="TARRAZ" localSheetId="1">[1]DAT2!#REF!</definedName>
    <definedName name="TARRAZ" localSheetId="2">[2]DAT2!#REF!</definedName>
    <definedName name="TARRAZ">[3]DAT2!#REF!</definedName>
    <definedName name="TIB" localSheetId="1">[1]DAT2!#REF!</definedName>
    <definedName name="TIB" localSheetId="2">[2]DAT2!#REF!</definedName>
    <definedName name="TIB">[3]DAT2!#REF!</definedName>
    <definedName name="TILAR" localSheetId="1">[1]DAT2!#REF!</definedName>
    <definedName name="TILAR" localSheetId="2">[2]DAT2!#REF!</definedName>
    <definedName name="TILAR">[3]DAT2!#REF!</definedName>
    <definedName name="TURR" localSheetId="1">[1]DAT2!#REF!</definedName>
    <definedName name="TURR" localSheetId="2">[2]DAT2!#REF!</definedName>
    <definedName name="TURR">[3]DAT2!#REF!</definedName>
    <definedName name="TURRI" localSheetId="1">[1]DAT2!#REF!</definedName>
    <definedName name="TURRI" localSheetId="2">[2]DAT2!#REF!</definedName>
    <definedName name="TURRI">[3]DAT2!#REF!</definedName>
    <definedName name="U">[3]!Tabla103[#All]</definedName>
    <definedName name="UPA" localSheetId="1">[1]DAT2!#REF!</definedName>
    <definedName name="UPA" localSheetId="2">[2]DAT2!#REF!</definedName>
    <definedName name="UPA">[3]DAT2!#REF!</definedName>
    <definedName name="uu">[3]!Tabla103[#All]</definedName>
    <definedName name="uum">[3]!Tabla103[#All]</definedName>
    <definedName name="uuu">[3]!Tabla103[#All]</definedName>
    <definedName name="VASQUE" localSheetId="1">[1]DAT2!#REF!</definedName>
    <definedName name="VASQUE" localSheetId="2">[2]DAT2!#REF!</definedName>
    <definedName name="VASQUE">[3]DAT2!#REF!</definedName>
    <definedName name="ZAR" localSheetId="1">[1]DAT2!#REF!</definedName>
    <definedName name="ZAR" localSheetId="2">[2]DAT2!#REF!</definedName>
    <definedName name="ZAR">[3]DAT2!#REF!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2" l="1"/>
  <c r="C3" i="3" s="1"/>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6" i="1"/>
  <c r="C2" i="3" s="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C4" i="3" l="1"/>
  <c r="D36" i="2"/>
  <c r="D36" i="1"/>
  <c r="D37" i="2" l="1"/>
  <c r="D3" i="3"/>
  <c r="E3" i="3" s="1"/>
  <c r="D37" i="1"/>
  <c r="D2" i="3"/>
  <c r="D4" i="3" l="1"/>
  <c r="E4" i="3" s="1"/>
  <c r="E2" i="3"/>
</calcChain>
</file>

<file path=xl/sharedStrings.xml><?xml version="1.0" encoding="utf-8"?>
<sst xmlns="http://schemas.openxmlformats.org/spreadsheetml/2006/main" count="121" uniqueCount="63">
  <si>
    <t>D84 UPALA</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</si>
  <si>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</si>
  <si>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</si>
  <si>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</si>
  <si>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</si>
  <si>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</si>
  <si>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</si>
  <si>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</si>
  <si>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</si>
  <si>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</si>
  <si>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</si>
  <si>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</si>
  <si>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</si>
  <si>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</si>
  <si>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</si>
  <si>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</si>
  <si>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</si>
  <si>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</si>
  <si>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</si>
  <si>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</si>
  <si>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</si>
  <si>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</si>
  <si>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Dos capacitaciones, en el tema "Cultura Preventiva y sitios peligrosos",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</si>
  <si>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</si>
  <si>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D85 LOS CHILES</t>
  </si>
  <si>
    <t>Dos estrategias de divulgación (Por medio de brochures, post o imágenes en redes sociales) en el tema del procedimiento para realizar una "Cultura Preventiva enfocada a delitos contra la propiedad. (Prevención en caso de Hurtos, Robo y Asaltos)."  dirigidas a las comunidades integradas al Programa de Seguridad Comunitaria, que se localicen, dentro del área georreferenciada del informe territorial de la Estrategia Sembremos Seguridad 2024, una por año.</t>
  </si>
  <si>
    <t>Delegación</t>
  </si>
  <si>
    <t>D84</t>
  </si>
  <si>
    <t>D85</t>
  </si>
  <si>
    <t>UPALA</t>
  </si>
  <si>
    <t>LOS CHILES</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</si>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</sst>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b/>
      <sz val="9"/>
      <name val="Arial"/>
      <family val="2"/>
    </font>
  </fonts>
  <fills count="17">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95117038483843"/>
        <bgColor indexed="64"/>
      </patternFill>
    </fill>
    <fill>
      <patternFill patternType="solid">
        <fgColor rgb="FFE2EFDA"/>
        <bgColor indexed="64"/>
      </patternFill>
    </fill>
    <fill>
      <patternFill patternType="solid">
        <fgColor theme="9" tint="0.79995117038483843"/>
        <bgColor indexed="64"/>
      </patternFill>
    </fill>
    <fill>
      <patternFill patternType="solid">
        <fgColor rgb="FFDEEAF6"/>
        <bgColor indexed="64"/>
      </patternFill>
    </fill>
    <fill>
      <patternFill patternType="solid">
        <fgColor theme="1"/>
        <bgColor indexed="64"/>
      </patternFill>
    </fill>
    <fill>
      <patternFill patternType="solid">
        <fgColor theme="0" tint="-0.34998626667073579"/>
        <bgColor indexed="64"/>
      </patternFill>
    </fill>
    <fill>
      <patternFill patternType="solid">
        <fgColor theme="0"/>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0" tint="-0.14999847407452621"/>
        <bgColor indexed="64"/>
      </patternFill>
    </fill>
  </fills>
  <borders count="16">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indexed="64"/>
      </left>
      <right style="thin">
        <color indexed="64"/>
      </right>
      <top/>
      <bottom/>
      <diagonal/>
    </border>
    <border>
      <left style="medium">
        <color theme="0"/>
      </left>
      <right/>
      <top/>
      <bottom style="medium">
        <color indexed="64"/>
      </bottom>
      <diagonal/>
    </border>
    <border>
      <left style="medium">
        <color theme="0"/>
      </left>
      <right style="medium">
        <color theme="0"/>
      </right>
      <top style="thin">
        <color theme="0"/>
      </top>
      <bottom style="medium">
        <color theme="0"/>
      </bottom>
      <diagonal/>
    </border>
    <border>
      <left/>
      <right style="thin">
        <color indexed="64"/>
      </right>
      <top/>
      <bottom style="thin">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0">
    <xf numFmtId="0" fontId="0" fillId="0" borderId="0" xfId="0"/>
    <xf numFmtId="0" fontId="1" fillId="2" borderId="2" xfId="0" applyFont="1" applyFill="1" applyBorder="1" applyAlignment="1">
      <alignment horizontal="center"/>
    </xf>
    <xf numFmtId="0" fontId="0" fillId="0" borderId="0" xfId="0" applyProtection="1">
      <protection locked="0"/>
    </xf>
    <xf numFmtId="0" fontId="3" fillId="0" borderId="0" xfId="0" applyFont="1" applyProtection="1">
      <protection locked="0"/>
    </xf>
    <xf numFmtId="0" fontId="4" fillId="3"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7" borderId="3" xfId="0" applyFont="1" applyFill="1" applyBorder="1" applyAlignment="1">
      <alignment horizontal="left" vertical="center" wrapText="1"/>
    </xf>
    <xf numFmtId="0" fontId="6" fillId="7" borderId="5" xfId="0" applyFont="1" applyFill="1" applyBorder="1" applyAlignment="1">
      <alignment horizontal="left" vertical="center" wrapText="1"/>
    </xf>
    <xf numFmtId="0" fontId="2" fillId="9" borderId="3" xfId="0" applyFont="1" applyFill="1" applyBorder="1" applyAlignment="1">
      <alignment horizontal="center"/>
    </xf>
    <xf numFmtId="0" fontId="8" fillId="10" borderId="3" xfId="0" applyFont="1" applyFill="1" applyBorder="1"/>
    <xf numFmtId="0" fontId="9" fillId="2" borderId="6" xfId="0" applyFont="1" applyFill="1" applyBorder="1"/>
    <xf numFmtId="0" fontId="7" fillId="8" borderId="0" xfId="0" applyFont="1" applyFill="1" applyAlignment="1">
      <alignment horizontal="center"/>
    </xf>
    <xf numFmtId="0" fontId="0" fillId="0" borderId="3" xfId="0" applyBorder="1" applyAlignment="1">
      <alignment horizontal="center"/>
    </xf>
    <xf numFmtId="1" fontId="0" fillId="0" borderId="3" xfId="0" applyNumberFormat="1" applyBorder="1" applyAlignment="1">
      <alignment horizontal="center"/>
    </xf>
    <xf numFmtId="0" fontId="2" fillId="11" borderId="0" xfId="0" applyFont="1" applyFill="1" applyAlignment="1">
      <alignment horizontal="center"/>
    </xf>
    <xf numFmtId="0" fontId="1" fillId="2" borderId="0" xfId="0" applyFont="1" applyFill="1" applyAlignment="1">
      <alignment horizontal="center"/>
    </xf>
    <xf numFmtId="0" fontId="1" fillId="2" borderId="8" xfId="0" applyFont="1" applyFill="1" applyBorder="1" applyAlignment="1">
      <alignment horizontal="center" vertical="center"/>
    </xf>
    <xf numFmtId="0" fontId="3" fillId="12" borderId="0" xfId="0" applyFont="1" applyFill="1" applyProtection="1">
      <protection locked="0"/>
    </xf>
    <xf numFmtId="0" fontId="5" fillId="4" borderId="3" xfId="0" applyFont="1" applyFill="1" applyBorder="1" applyAlignment="1">
      <alignment horizontal="center" vertical="center" textRotation="90" wrapText="1"/>
    </xf>
    <xf numFmtId="0" fontId="5" fillId="13" borderId="9"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2" fillId="0" borderId="3" xfId="0" applyFont="1" applyBorder="1" applyAlignment="1" applyProtection="1">
      <alignment horizontal="center" vertical="center"/>
      <protection locked="0"/>
    </xf>
    <xf numFmtId="0" fontId="5" fillId="6" borderId="3" xfId="0" applyFont="1" applyFill="1" applyBorder="1" applyAlignment="1">
      <alignment horizontal="center" vertical="center" textRotation="90" wrapText="1"/>
    </xf>
    <xf numFmtId="0" fontId="5" fillId="14" borderId="4"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1" fillId="15" borderId="11" xfId="0" applyFont="1" applyFill="1" applyBorder="1" applyAlignment="1">
      <alignment horizontal="left" vertical="center" wrapText="1"/>
    </xf>
    <xf numFmtId="0" fontId="0" fillId="0" borderId="3" xfId="0" applyBorder="1" applyProtection="1">
      <protection locked="0"/>
    </xf>
    <xf numFmtId="0" fontId="10" fillId="16" borderId="13" xfId="0" applyFont="1" applyFill="1" applyBorder="1" applyAlignment="1">
      <alignment horizontal="left" vertical="center" wrapText="1"/>
    </xf>
    <xf numFmtId="0" fontId="10" fillId="16" borderId="15" xfId="0" applyFont="1" applyFill="1" applyBorder="1" applyAlignment="1">
      <alignment horizontal="left" vertical="center" wrapText="1"/>
    </xf>
    <xf numFmtId="0" fontId="2" fillId="0" borderId="3" xfId="0" applyFont="1" applyBorder="1" applyAlignment="1" applyProtection="1">
      <alignment horizontal="center"/>
      <protection locked="0"/>
    </xf>
    <xf numFmtId="1" fontId="2" fillId="0" borderId="3" xfId="0" applyNumberFormat="1" applyFont="1" applyBorder="1" applyAlignment="1" applyProtection="1">
      <alignment horizontal="center" vertical="center"/>
      <protection locked="0"/>
    </xf>
    <xf numFmtId="0" fontId="2" fillId="0" borderId="0" xfId="0" applyFont="1" applyProtection="1">
      <protection locked="0"/>
    </xf>
    <xf numFmtId="10" fontId="1" fillId="15" borderId="0" xfId="0" applyNumberFormat="1" applyFont="1" applyFill="1" applyAlignment="1" applyProtection="1">
      <alignment horizontal="center"/>
      <protection locked="0"/>
    </xf>
    <xf numFmtId="10" fontId="0" fillId="0" borderId="3" xfId="0" applyNumberFormat="1" applyBorder="1" applyAlignment="1">
      <alignment horizontal="center"/>
    </xf>
    <xf numFmtId="0" fontId="1" fillId="2" borderId="1" xfId="0" applyFont="1" applyFill="1" applyBorder="1" applyAlignment="1">
      <alignment horizontal="center" vertical="center" textRotation="90"/>
    </xf>
    <xf numFmtId="0" fontId="1" fillId="2" borderId="7" xfId="0" applyFont="1" applyFill="1" applyBorder="1" applyAlignment="1">
      <alignment horizontal="center" vertical="center" textRotation="90"/>
    </xf>
    <xf numFmtId="0" fontId="5" fillId="13" borderId="10" xfId="0" applyFont="1" applyFill="1" applyBorder="1" applyAlignment="1">
      <alignment horizontal="center" vertical="center" textRotation="90" wrapText="1"/>
    </xf>
    <xf numFmtId="0" fontId="5" fillId="13" borderId="12" xfId="0" applyFont="1" applyFill="1" applyBorder="1" applyAlignment="1">
      <alignment horizontal="center" vertical="center" textRotation="90" wrapText="1"/>
    </xf>
    <xf numFmtId="0" fontId="5" fillId="13" borderId="14" xfId="0" applyFont="1" applyFill="1" applyBorder="1" applyAlignment="1">
      <alignment horizontal="center" vertical="center" textRotation="90" wrapText="1"/>
    </xf>
    <xf numFmtId="0" fontId="7" fillId="8" borderId="3" xfId="0" applyFont="1" applyFill="1" applyBorder="1" applyAlignment="1">
      <alignment horizontal="center"/>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1/PUMI%20D85%20Los%20Chiles%20junio.xlsx?7DEA530E" TargetMode="External"/><Relationship Id="rId1" Type="http://schemas.openxmlformats.org/officeDocument/2006/relationships/externalLinkPath" Target="file:///\\7DEA530E\PUMI%20D85%20Los%20Chiles%20jun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1/D84%20Upala%20PUMI%20junio%20(2).xlsx?7DEA530E" TargetMode="External"/><Relationship Id="rId1" Type="http://schemas.openxmlformats.org/officeDocument/2006/relationships/externalLinkPath" Target="file:///\\7DEA530E\D84%20Upala%20PUMI%20junio%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5 LOS CHILES PSCC "/>
      <sheetName val="D85 LOS CHILES VIF"/>
      <sheetName val="D85 LOS CHILES DARE"/>
      <sheetName val="D85 LOS CHILES GREAT"/>
      <sheetName val="D85 LOS CHIL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4 UPALA PSCC "/>
      <sheetName val="D84 UPALA VIF"/>
      <sheetName val="D84 UPALA DARE"/>
      <sheetName val="D84 UPALA GREAT"/>
      <sheetName val="D84 UPALA MPAS"/>
      <sheetName val="Totales PDIF"/>
      <sheetName val="Totales Política Pública"/>
      <sheetName val="DAT1"/>
      <sheetName val="DAT2"/>
      <sheetName val="D84 Upala PUMI junio (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7"/>
  <sheetViews>
    <sheetView zoomScale="60" zoomScaleNormal="60" workbookViewId="0">
      <selection activeCell="J7" sqref="J7:K7"/>
    </sheetView>
  </sheetViews>
  <sheetFormatPr baseColWidth="10" defaultColWidth="11.28515625" defaultRowHeight="15" x14ac:dyDescent="0.25"/>
  <cols>
    <col min="1" max="1" width="5.7109375" style="2" customWidth="1"/>
    <col min="2" max="2" width="104" style="2" customWidth="1"/>
    <col min="3" max="3" width="11.28515625" style="2"/>
    <col min="4" max="4" width="22.28515625" style="2" customWidth="1"/>
    <col min="5" max="9" width="17.28515625" style="2" customWidth="1"/>
    <col min="10" max="16384" width="11.28515625" style="2"/>
  </cols>
  <sheetData>
    <row r="1" spans="1:16" ht="61.5" customHeight="1" x14ac:dyDescent="0.25">
      <c r="A1" s="34" t="s">
        <v>1</v>
      </c>
      <c r="B1" s="15"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35"/>
      <c r="B2" s="15"/>
      <c r="C2" s="16">
        <v>2026</v>
      </c>
      <c r="D2" s="16" t="s">
        <v>16</v>
      </c>
      <c r="E2" s="17"/>
      <c r="F2" s="17"/>
      <c r="G2" s="17"/>
      <c r="H2" s="17"/>
      <c r="I2" s="17"/>
      <c r="J2" s="17"/>
      <c r="K2" s="17"/>
      <c r="L2" s="17"/>
      <c r="M2" s="17"/>
      <c r="N2" s="17"/>
      <c r="O2" s="17"/>
      <c r="P2" s="17"/>
    </row>
    <row r="3" spans="1:16" ht="81" customHeight="1" x14ac:dyDescent="0.25">
      <c r="A3" s="18" t="s">
        <v>18</v>
      </c>
      <c r="B3" s="4" t="s">
        <v>17</v>
      </c>
      <c r="C3" s="19">
        <v>2</v>
      </c>
      <c r="D3" s="20">
        <f t="shared" ref="D3:D7" si="0">SUM(E3:P3)</f>
        <v>1</v>
      </c>
      <c r="E3" s="21"/>
      <c r="F3" s="21"/>
      <c r="G3" s="21">
        <v>1</v>
      </c>
      <c r="H3" s="21"/>
      <c r="I3" s="21"/>
      <c r="J3" s="21"/>
      <c r="K3" s="21"/>
      <c r="L3" s="21"/>
      <c r="M3" s="21"/>
      <c r="N3" s="21"/>
      <c r="O3" s="21"/>
      <c r="P3" s="21"/>
    </row>
    <row r="4" spans="1:16" ht="81" customHeight="1" x14ac:dyDescent="0.25">
      <c r="A4" s="22" t="s">
        <v>20</v>
      </c>
      <c r="B4" s="5" t="s">
        <v>19</v>
      </c>
      <c r="C4" s="23">
        <v>2</v>
      </c>
      <c r="D4" s="20">
        <f t="shared" si="0"/>
        <v>2</v>
      </c>
      <c r="E4" s="21">
        <v>0</v>
      </c>
      <c r="F4" s="21">
        <v>0</v>
      </c>
      <c r="G4" s="21">
        <v>0</v>
      </c>
      <c r="H4" s="21">
        <v>0</v>
      </c>
      <c r="I4" s="21">
        <v>2</v>
      </c>
      <c r="J4" s="21"/>
      <c r="K4" s="21"/>
      <c r="L4" s="21"/>
      <c r="M4" s="21"/>
      <c r="N4" s="21"/>
      <c r="O4" s="21"/>
      <c r="P4" s="21"/>
    </row>
    <row r="5" spans="1:16" ht="81" customHeight="1" x14ac:dyDescent="0.25">
      <c r="A5" s="18" t="s">
        <v>18</v>
      </c>
      <c r="B5" s="6" t="s">
        <v>21</v>
      </c>
      <c r="C5" s="24">
        <v>1</v>
      </c>
      <c r="D5" s="20">
        <f t="shared" si="0"/>
        <v>1</v>
      </c>
      <c r="E5" s="21">
        <v>0</v>
      </c>
      <c r="F5" s="21">
        <v>1</v>
      </c>
      <c r="G5" s="21">
        <v>0</v>
      </c>
      <c r="H5" s="21">
        <v>0</v>
      </c>
      <c r="I5" s="21"/>
      <c r="J5" s="21"/>
      <c r="K5" s="21"/>
      <c r="L5" s="21"/>
      <c r="M5" s="21"/>
      <c r="N5" s="21"/>
      <c r="O5" s="21"/>
      <c r="P5" s="21"/>
    </row>
    <row r="6" spans="1:16" ht="81" customHeight="1" x14ac:dyDescent="0.25">
      <c r="A6" s="18" t="s">
        <v>18</v>
      </c>
      <c r="B6" s="4" t="s">
        <v>22</v>
      </c>
      <c r="C6" s="24">
        <v>1</v>
      </c>
      <c r="D6" s="20">
        <f t="shared" si="0"/>
        <v>1</v>
      </c>
      <c r="E6" s="21"/>
      <c r="F6" s="21"/>
      <c r="G6" s="21"/>
      <c r="H6" s="21">
        <v>1</v>
      </c>
      <c r="I6" s="21"/>
      <c r="J6" s="21"/>
      <c r="K6" s="21"/>
      <c r="L6" s="21"/>
      <c r="M6" s="21"/>
      <c r="N6" s="21"/>
      <c r="O6" s="21"/>
      <c r="P6" s="21"/>
    </row>
    <row r="7" spans="1:16" ht="81" customHeight="1" x14ac:dyDescent="0.25">
      <c r="A7" s="18" t="s">
        <v>18</v>
      </c>
      <c r="B7" s="4" t="s">
        <v>23</v>
      </c>
      <c r="C7" s="24">
        <v>1</v>
      </c>
      <c r="D7" s="20">
        <f t="shared" si="0"/>
        <v>1</v>
      </c>
      <c r="E7" s="21"/>
      <c r="F7" s="21">
        <v>1</v>
      </c>
      <c r="G7" s="21"/>
      <c r="H7" s="21"/>
      <c r="I7" s="21"/>
      <c r="J7" s="21"/>
      <c r="K7" s="21"/>
      <c r="L7" s="21"/>
      <c r="M7" s="21"/>
      <c r="N7" s="21"/>
      <c r="O7" s="21"/>
      <c r="P7" s="21"/>
    </row>
    <row r="8" spans="1:16" ht="28.5" customHeight="1" x14ac:dyDescent="0.25">
      <c r="A8" s="36" t="s">
        <v>33</v>
      </c>
      <c r="B8" s="25" t="s">
        <v>34</v>
      </c>
      <c r="C8" s="24">
        <v>3</v>
      </c>
      <c r="D8" s="20">
        <f t="shared" ref="D8:D35" si="1">SUM(E8:O8)</f>
        <v>0</v>
      </c>
      <c r="E8" s="21"/>
      <c r="F8" s="21"/>
      <c r="G8" s="21"/>
      <c r="H8" s="21"/>
      <c r="I8" s="21"/>
      <c r="J8" s="21"/>
      <c r="K8" s="21"/>
      <c r="L8" s="21"/>
      <c r="M8" s="21"/>
      <c r="N8" s="21"/>
      <c r="O8" s="21"/>
      <c r="P8" s="26"/>
    </row>
    <row r="9" spans="1:16" ht="28.5" customHeight="1" x14ac:dyDescent="0.25">
      <c r="A9" s="37"/>
      <c r="B9" s="25" t="s">
        <v>35</v>
      </c>
      <c r="C9" s="24">
        <v>3</v>
      </c>
      <c r="D9" s="20">
        <f t="shared" si="1"/>
        <v>0</v>
      </c>
      <c r="E9" s="21"/>
      <c r="F9" s="21"/>
      <c r="G9" s="21"/>
      <c r="H9" s="21"/>
      <c r="I9" s="21"/>
      <c r="J9" s="21"/>
      <c r="K9" s="21"/>
      <c r="L9" s="21"/>
      <c r="M9" s="21"/>
      <c r="N9" s="21"/>
      <c r="O9" s="21"/>
      <c r="P9" s="26"/>
    </row>
    <row r="10" spans="1:16" ht="28.5" customHeight="1" x14ac:dyDescent="0.25">
      <c r="A10" s="37"/>
      <c r="B10" s="25" t="s">
        <v>36</v>
      </c>
      <c r="C10" s="24">
        <v>136</v>
      </c>
      <c r="D10" s="20">
        <f t="shared" si="1"/>
        <v>38</v>
      </c>
      <c r="E10" s="21">
        <v>5</v>
      </c>
      <c r="F10" s="21">
        <v>11</v>
      </c>
      <c r="G10" s="21">
        <v>6</v>
      </c>
      <c r="H10" s="21">
        <v>16</v>
      </c>
      <c r="I10" s="21"/>
      <c r="J10" s="21"/>
      <c r="K10" s="21"/>
      <c r="L10" s="21"/>
      <c r="M10" s="21"/>
      <c r="N10" s="21"/>
      <c r="O10" s="21"/>
      <c r="P10" s="26"/>
    </row>
    <row r="11" spans="1:16" ht="28.5" customHeight="1" x14ac:dyDescent="0.25">
      <c r="A11" s="37"/>
      <c r="B11" s="25" t="s">
        <v>37</v>
      </c>
      <c r="C11" s="24">
        <v>31</v>
      </c>
      <c r="D11" s="20">
        <f t="shared" si="1"/>
        <v>10</v>
      </c>
      <c r="E11" s="21"/>
      <c r="F11" s="21"/>
      <c r="G11" s="21"/>
      <c r="H11" s="21">
        <v>10</v>
      </c>
      <c r="I11" s="21"/>
      <c r="J11" s="21"/>
      <c r="K11" s="21"/>
      <c r="L11" s="21"/>
      <c r="M11" s="21"/>
      <c r="N11" s="21"/>
      <c r="O11" s="21"/>
      <c r="P11" s="26"/>
    </row>
    <row r="12" spans="1:16" ht="28.5" customHeight="1" x14ac:dyDescent="0.25">
      <c r="A12" s="37"/>
      <c r="B12" s="25" t="s">
        <v>38</v>
      </c>
      <c r="C12" s="24">
        <v>0</v>
      </c>
      <c r="D12" s="20">
        <f t="shared" si="1"/>
        <v>0</v>
      </c>
      <c r="E12" s="21"/>
      <c r="F12" s="21"/>
      <c r="G12" s="21"/>
      <c r="H12" s="21"/>
      <c r="I12" s="21"/>
      <c r="J12" s="21"/>
      <c r="K12" s="21"/>
      <c r="L12" s="21"/>
      <c r="M12" s="21"/>
      <c r="N12" s="21"/>
      <c r="O12" s="21"/>
      <c r="P12" s="26"/>
    </row>
    <row r="13" spans="1:16" ht="28.5" customHeight="1" x14ac:dyDescent="0.25">
      <c r="A13" s="37"/>
      <c r="B13" s="25" t="s">
        <v>39</v>
      </c>
      <c r="C13" s="24">
        <v>27</v>
      </c>
      <c r="D13" s="20">
        <f t="shared" si="1"/>
        <v>18</v>
      </c>
      <c r="E13" s="21">
        <v>3</v>
      </c>
      <c r="F13" s="21">
        <v>7</v>
      </c>
      <c r="G13" s="21">
        <v>3</v>
      </c>
      <c r="H13" s="21">
        <v>5</v>
      </c>
      <c r="I13" s="21"/>
      <c r="J13" s="21"/>
      <c r="K13" s="21"/>
      <c r="L13" s="21"/>
      <c r="M13" s="21"/>
      <c r="N13" s="21"/>
      <c r="O13" s="21"/>
      <c r="P13" s="26"/>
    </row>
    <row r="14" spans="1:16" ht="28.5" customHeight="1" x14ac:dyDescent="0.25">
      <c r="A14" s="37"/>
      <c r="B14" s="25" t="s">
        <v>40</v>
      </c>
      <c r="C14" s="24">
        <v>3</v>
      </c>
      <c r="D14" s="20">
        <f t="shared" si="1"/>
        <v>1</v>
      </c>
      <c r="E14" s="21"/>
      <c r="F14" s="21"/>
      <c r="G14" s="21"/>
      <c r="H14" s="21">
        <v>1</v>
      </c>
      <c r="I14" s="21"/>
      <c r="J14" s="21"/>
      <c r="K14" s="21"/>
      <c r="L14" s="21"/>
      <c r="M14" s="21"/>
      <c r="N14" s="21"/>
      <c r="O14" s="21"/>
      <c r="P14" s="26"/>
    </row>
    <row r="15" spans="1:16" ht="28.5" customHeight="1" x14ac:dyDescent="0.25">
      <c r="A15" s="37"/>
      <c r="B15" s="25" t="s">
        <v>41</v>
      </c>
      <c r="C15" s="24">
        <v>17</v>
      </c>
      <c r="D15" s="20">
        <f t="shared" si="1"/>
        <v>17</v>
      </c>
      <c r="E15" s="21"/>
      <c r="F15" s="21"/>
      <c r="G15" s="21"/>
      <c r="H15" s="21"/>
      <c r="I15" s="21">
        <v>17</v>
      </c>
      <c r="J15" s="21"/>
      <c r="K15" s="21"/>
      <c r="L15" s="21"/>
      <c r="M15" s="21"/>
      <c r="N15" s="21"/>
      <c r="O15" s="21"/>
      <c r="P15" s="26"/>
    </row>
    <row r="16" spans="1:16" ht="28.5" customHeight="1" x14ac:dyDescent="0.25">
      <c r="A16" s="37"/>
      <c r="B16" s="25" t="s">
        <v>42</v>
      </c>
      <c r="C16" s="24">
        <v>21</v>
      </c>
      <c r="D16" s="20">
        <f t="shared" si="1"/>
        <v>6</v>
      </c>
      <c r="E16" s="21">
        <v>1</v>
      </c>
      <c r="F16" s="21"/>
      <c r="G16" s="21">
        <v>2</v>
      </c>
      <c r="H16" s="21">
        <v>3</v>
      </c>
      <c r="I16" s="21"/>
      <c r="J16" s="21"/>
      <c r="K16" s="21"/>
      <c r="L16" s="21"/>
      <c r="M16" s="21"/>
      <c r="N16" s="21"/>
      <c r="O16" s="21"/>
      <c r="P16" s="26"/>
    </row>
    <row r="17" spans="1:16" ht="28.5" customHeight="1" x14ac:dyDescent="0.25">
      <c r="A17" s="37"/>
      <c r="B17" s="25" t="s">
        <v>43</v>
      </c>
      <c r="C17" s="24">
        <v>16</v>
      </c>
      <c r="D17" s="20">
        <f t="shared" si="1"/>
        <v>7</v>
      </c>
      <c r="E17" s="21"/>
      <c r="F17" s="21"/>
      <c r="G17" s="21"/>
      <c r="H17" s="21">
        <v>7</v>
      </c>
      <c r="I17" s="21"/>
      <c r="J17" s="21"/>
      <c r="K17" s="21"/>
      <c r="L17" s="21"/>
      <c r="M17" s="21"/>
      <c r="N17" s="21"/>
      <c r="O17" s="21"/>
      <c r="P17" s="26"/>
    </row>
    <row r="18" spans="1:16" ht="28.5" customHeight="1" x14ac:dyDescent="0.25">
      <c r="A18" s="37"/>
      <c r="B18" s="25" t="s">
        <v>44</v>
      </c>
      <c r="C18" s="24">
        <v>18</v>
      </c>
      <c r="D18" s="20">
        <f t="shared" si="1"/>
        <v>1</v>
      </c>
      <c r="E18" s="21"/>
      <c r="F18" s="21"/>
      <c r="G18" s="21">
        <v>1</v>
      </c>
      <c r="H18" s="21"/>
      <c r="I18" s="21"/>
      <c r="J18" s="21"/>
      <c r="K18" s="21"/>
      <c r="L18" s="21"/>
      <c r="M18" s="21"/>
      <c r="N18" s="21"/>
      <c r="O18" s="21"/>
      <c r="P18" s="26"/>
    </row>
    <row r="19" spans="1:16" ht="28.5" customHeight="1" x14ac:dyDescent="0.25">
      <c r="A19" s="37"/>
      <c r="B19" s="25" t="s">
        <v>45</v>
      </c>
      <c r="C19" s="24">
        <v>0</v>
      </c>
      <c r="D19" s="20">
        <f t="shared" si="1"/>
        <v>0</v>
      </c>
      <c r="E19" s="21"/>
      <c r="F19" s="21"/>
      <c r="G19" s="21"/>
      <c r="H19" s="21"/>
      <c r="I19" s="21"/>
      <c r="J19" s="21"/>
      <c r="K19" s="21"/>
      <c r="L19" s="21"/>
      <c r="M19" s="21"/>
      <c r="N19" s="21"/>
      <c r="O19" s="21"/>
      <c r="P19" s="26"/>
    </row>
    <row r="20" spans="1:16" ht="28.5" customHeight="1" x14ac:dyDescent="0.25">
      <c r="A20" s="37"/>
      <c r="B20" s="25" t="s">
        <v>46</v>
      </c>
      <c r="C20" s="24">
        <v>0</v>
      </c>
      <c r="D20" s="20">
        <f t="shared" si="1"/>
        <v>0</v>
      </c>
      <c r="E20" s="21"/>
      <c r="F20" s="21"/>
      <c r="G20" s="21"/>
      <c r="H20" s="21"/>
      <c r="I20" s="21"/>
      <c r="J20" s="21"/>
      <c r="K20" s="21"/>
      <c r="L20" s="21"/>
      <c r="M20" s="21"/>
      <c r="N20" s="21"/>
      <c r="O20" s="21"/>
      <c r="P20" s="26"/>
    </row>
    <row r="21" spans="1:16" ht="28.5" customHeight="1" x14ac:dyDescent="0.25">
      <c r="A21" s="37"/>
      <c r="B21" s="25" t="s">
        <v>47</v>
      </c>
      <c r="C21" s="24">
        <v>0</v>
      </c>
      <c r="D21" s="20">
        <f t="shared" si="1"/>
        <v>0</v>
      </c>
      <c r="E21" s="21"/>
      <c r="F21" s="21"/>
      <c r="G21" s="21"/>
      <c r="H21" s="21"/>
      <c r="I21" s="21"/>
      <c r="J21" s="21"/>
      <c r="K21" s="21"/>
      <c r="L21" s="21"/>
      <c r="M21" s="21"/>
      <c r="N21" s="21"/>
      <c r="O21" s="21"/>
      <c r="P21" s="26"/>
    </row>
    <row r="22" spans="1:16" ht="28.5" customHeight="1" x14ac:dyDescent="0.25">
      <c r="A22" s="37"/>
      <c r="B22" s="25" t="s">
        <v>48</v>
      </c>
      <c r="C22" s="24">
        <v>112</v>
      </c>
      <c r="D22" s="20">
        <f t="shared" si="1"/>
        <v>39</v>
      </c>
      <c r="E22" s="21">
        <v>18</v>
      </c>
      <c r="F22" s="21">
        <v>2</v>
      </c>
      <c r="G22" s="21">
        <v>1</v>
      </c>
      <c r="H22" s="21">
        <v>18</v>
      </c>
      <c r="I22" s="21"/>
      <c r="J22" s="21"/>
      <c r="K22" s="21"/>
      <c r="L22" s="21"/>
      <c r="M22" s="21"/>
      <c r="N22" s="21"/>
      <c r="O22" s="21"/>
      <c r="P22" s="26"/>
    </row>
    <row r="23" spans="1:16" ht="28.5" customHeight="1" x14ac:dyDescent="0.25">
      <c r="A23" s="37"/>
      <c r="B23" s="25" t="s">
        <v>49</v>
      </c>
      <c r="C23" s="24">
        <v>3</v>
      </c>
      <c r="D23" s="20">
        <f t="shared" si="1"/>
        <v>9</v>
      </c>
      <c r="E23" s="21"/>
      <c r="F23" s="21"/>
      <c r="G23" s="21">
        <v>9</v>
      </c>
      <c r="H23" s="21"/>
      <c r="I23" s="21"/>
      <c r="J23" s="21"/>
      <c r="K23" s="21"/>
      <c r="L23" s="21"/>
      <c r="M23" s="21"/>
      <c r="N23" s="21"/>
      <c r="O23" s="21"/>
      <c r="P23" s="26"/>
    </row>
    <row r="24" spans="1:16" ht="24" customHeight="1" x14ac:dyDescent="0.25">
      <c r="A24" s="37"/>
      <c r="B24" s="27" t="s">
        <v>50</v>
      </c>
      <c r="C24" s="24">
        <v>8</v>
      </c>
      <c r="D24" s="20">
        <f t="shared" si="1"/>
        <v>9</v>
      </c>
      <c r="E24" s="21"/>
      <c r="F24" s="21"/>
      <c r="G24" s="21">
        <v>1</v>
      </c>
      <c r="H24" s="21">
        <v>8</v>
      </c>
      <c r="I24" s="21"/>
      <c r="J24" s="21"/>
      <c r="K24" s="21"/>
      <c r="L24" s="21"/>
      <c r="M24" s="21"/>
      <c r="N24" s="21"/>
      <c r="O24" s="21"/>
      <c r="P24" s="26"/>
    </row>
    <row r="25" spans="1:16" ht="24" customHeight="1" x14ac:dyDescent="0.25">
      <c r="A25" s="37"/>
      <c r="B25" s="27" t="s">
        <v>51</v>
      </c>
      <c r="C25" s="24">
        <v>8</v>
      </c>
      <c r="D25" s="20">
        <f t="shared" si="1"/>
        <v>8</v>
      </c>
      <c r="E25" s="21"/>
      <c r="F25" s="21"/>
      <c r="G25" s="21"/>
      <c r="H25" s="21">
        <v>8</v>
      </c>
      <c r="I25" s="21"/>
      <c r="J25" s="21"/>
      <c r="K25" s="21"/>
      <c r="L25" s="21"/>
      <c r="M25" s="21"/>
      <c r="N25" s="21"/>
      <c r="O25" s="21"/>
      <c r="P25" s="26"/>
    </row>
    <row r="26" spans="1:16" ht="24" customHeight="1" x14ac:dyDescent="0.25">
      <c r="A26" s="37"/>
      <c r="B26" s="27" t="s">
        <v>52</v>
      </c>
      <c r="C26" s="24">
        <v>8</v>
      </c>
      <c r="D26" s="20">
        <f t="shared" si="1"/>
        <v>8</v>
      </c>
      <c r="E26" s="21"/>
      <c r="F26" s="21"/>
      <c r="G26" s="21"/>
      <c r="H26" s="21"/>
      <c r="I26" s="21">
        <v>8</v>
      </c>
      <c r="J26" s="21"/>
      <c r="K26" s="21"/>
      <c r="L26" s="21"/>
      <c r="M26" s="21"/>
      <c r="N26" s="21"/>
      <c r="O26" s="21"/>
      <c r="P26" s="26"/>
    </row>
    <row r="27" spans="1:16" ht="24" customHeight="1" x14ac:dyDescent="0.25">
      <c r="A27" s="37"/>
      <c r="B27" s="27" t="s">
        <v>53</v>
      </c>
      <c r="C27" s="24">
        <v>8</v>
      </c>
      <c r="D27" s="20">
        <f t="shared" si="1"/>
        <v>0</v>
      </c>
      <c r="E27" s="21"/>
      <c r="F27" s="21"/>
      <c r="G27" s="21"/>
      <c r="H27" s="21"/>
      <c r="I27" s="21"/>
      <c r="J27" s="21"/>
      <c r="K27" s="21"/>
      <c r="L27" s="21"/>
      <c r="M27" s="21"/>
      <c r="N27" s="21"/>
      <c r="O27" s="21"/>
      <c r="P27" s="26"/>
    </row>
    <row r="28" spans="1:16" ht="24" customHeight="1" x14ac:dyDescent="0.25">
      <c r="A28" s="37"/>
      <c r="B28" s="27" t="s">
        <v>54</v>
      </c>
      <c r="C28" s="24">
        <v>8</v>
      </c>
      <c r="D28" s="20">
        <f t="shared" si="1"/>
        <v>0</v>
      </c>
      <c r="E28" s="21"/>
      <c r="F28" s="21"/>
      <c r="G28" s="21"/>
      <c r="H28" s="21"/>
      <c r="I28" s="21"/>
      <c r="J28" s="21"/>
      <c r="K28" s="21"/>
      <c r="L28" s="21"/>
      <c r="M28" s="21"/>
      <c r="N28" s="21"/>
      <c r="O28" s="21"/>
      <c r="P28" s="26"/>
    </row>
    <row r="29" spans="1:16" ht="24" customHeight="1" x14ac:dyDescent="0.25">
      <c r="A29" s="37"/>
      <c r="B29" s="27" t="s">
        <v>55</v>
      </c>
      <c r="C29" s="24">
        <v>1</v>
      </c>
      <c r="D29" s="20">
        <f t="shared" si="1"/>
        <v>0</v>
      </c>
      <c r="E29" s="21"/>
      <c r="F29" s="21"/>
      <c r="G29" s="21"/>
      <c r="H29" s="21"/>
      <c r="I29" s="21"/>
      <c r="J29" s="21"/>
      <c r="K29" s="21"/>
      <c r="L29" s="21"/>
      <c r="M29" s="21"/>
      <c r="N29" s="21"/>
      <c r="O29" s="21"/>
      <c r="P29" s="26"/>
    </row>
    <row r="30" spans="1:16" ht="24" customHeight="1" x14ac:dyDescent="0.25">
      <c r="A30" s="37"/>
      <c r="B30" s="27" t="s">
        <v>56</v>
      </c>
      <c r="C30" s="24">
        <v>1</v>
      </c>
      <c r="D30" s="20">
        <f t="shared" si="1"/>
        <v>0</v>
      </c>
      <c r="E30" s="21"/>
      <c r="F30" s="21"/>
      <c r="G30" s="21"/>
      <c r="H30" s="21"/>
      <c r="I30" s="21"/>
      <c r="J30" s="21"/>
      <c r="K30" s="21"/>
      <c r="L30" s="21"/>
      <c r="M30" s="21"/>
      <c r="N30" s="21"/>
      <c r="O30" s="21"/>
      <c r="P30" s="26"/>
    </row>
    <row r="31" spans="1:16" ht="24" customHeight="1" x14ac:dyDescent="0.25">
      <c r="A31" s="37"/>
      <c r="B31" s="27" t="s">
        <v>57</v>
      </c>
      <c r="C31" s="24">
        <v>1</v>
      </c>
      <c r="D31" s="20">
        <f t="shared" si="1"/>
        <v>0</v>
      </c>
      <c r="E31" s="21"/>
      <c r="F31" s="21"/>
      <c r="G31" s="21"/>
      <c r="H31" s="21"/>
      <c r="I31" s="21"/>
      <c r="J31" s="21"/>
      <c r="K31" s="21"/>
      <c r="L31" s="21"/>
      <c r="M31" s="21"/>
      <c r="N31" s="21"/>
      <c r="O31" s="21"/>
      <c r="P31" s="26"/>
    </row>
    <row r="32" spans="1:16" ht="24" customHeight="1" x14ac:dyDescent="0.25">
      <c r="A32" s="37"/>
      <c r="B32" s="27" t="s">
        <v>58</v>
      </c>
      <c r="C32" s="24">
        <v>1</v>
      </c>
      <c r="D32" s="20">
        <f t="shared" si="1"/>
        <v>0</v>
      </c>
      <c r="E32" s="21"/>
      <c r="F32" s="21"/>
      <c r="G32" s="21"/>
      <c r="H32" s="21"/>
      <c r="I32" s="21"/>
      <c r="J32" s="21"/>
      <c r="K32" s="21"/>
      <c r="L32" s="21"/>
      <c r="M32" s="21"/>
      <c r="N32" s="21"/>
      <c r="O32" s="21"/>
      <c r="P32" s="26"/>
    </row>
    <row r="33" spans="1:16" ht="24" customHeight="1" x14ac:dyDescent="0.25">
      <c r="A33" s="37"/>
      <c r="B33" s="27" t="s">
        <v>59</v>
      </c>
      <c r="C33" s="24">
        <v>1</v>
      </c>
      <c r="D33" s="20">
        <f t="shared" si="1"/>
        <v>0</v>
      </c>
      <c r="E33" s="21"/>
      <c r="F33" s="21"/>
      <c r="G33" s="21"/>
      <c r="H33" s="21"/>
      <c r="I33" s="21"/>
      <c r="J33" s="21"/>
      <c r="K33" s="21"/>
      <c r="L33" s="21"/>
      <c r="M33" s="21"/>
      <c r="N33" s="21"/>
      <c r="O33" s="21"/>
      <c r="P33" s="26"/>
    </row>
    <row r="34" spans="1:16" ht="24" customHeight="1" x14ac:dyDescent="0.25">
      <c r="A34" s="37"/>
      <c r="B34" s="27" t="s">
        <v>60</v>
      </c>
      <c r="C34" s="24">
        <v>1</v>
      </c>
      <c r="D34" s="20">
        <f t="shared" si="1"/>
        <v>0</v>
      </c>
      <c r="E34" s="21"/>
      <c r="F34" s="21"/>
      <c r="G34" s="21"/>
      <c r="H34" s="21"/>
      <c r="I34" s="21"/>
      <c r="J34" s="21"/>
      <c r="K34" s="21"/>
      <c r="L34" s="21"/>
      <c r="M34" s="21"/>
      <c r="N34" s="21"/>
      <c r="O34" s="21"/>
      <c r="P34" s="26"/>
    </row>
    <row r="35" spans="1:16" ht="24" customHeight="1" thickBot="1" x14ac:dyDescent="0.3">
      <c r="A35" s="38"/>
      <c r="B35" s="28" t="s">
        <v>61</v>
      </c>
      <c r="C35" s="24">
        <v>1</v>
      </c>
      <c r="D35" s="20">
        <f t="shared" si="1"/>
        <v>0</v>
      </c>
      <c r="E35" s="21"/>
      <c r="F35" s="21"/>
      <c r="G35" s="21"/>
      <c r="H35" s="21"/>
      <c r="I35" s="21"/>
      <c r="J35" s="21"/>
      <c r="K35" s="21"/>
      <c r="L35" s="21"/>
      <c r="M35" s="21"/>
      <c r="N35" s="21"/>
      <c r="O35" s="21"/>
      <c r="P35" s="26"/>
    </row>
    <row r="36" spans="1:16" x14ac:dyDescent="0.25">
      <c r="C36" s="29">
        <f>SUM(C3:C35)</f>
        <v>444</v>
      </c>
      <c r="D36" s="30">
        <f>SUM(D3:D35)</f>
        <v>177</v>
      </c>
    </row>
    <row r="37" spans="1:16" x14ac:dyDescent="0.25">
      <c r="C37" s="31"/>
      <c r="D37" s="32">
        <f>D36/C36</f>
        <v>0.39864864864864863</v>
      </c>
    </row>
  </sheetData>
  <sheetProtection algorithmName="SHA-512" hashValue="4TUpRXAbMEtm2B+lmtoE3fibJaHgobZ4DGuREj08W2udFWUs/F67lmBKL2CaRoJLocVkrh8axYQJtdY+g/EEWw==" saltValue="GA+rbxErjWyq6G6EQiyKPw==" spinCount="100000" sheet="1" objects="1" scenarios="1" autoFilter="0"/>
  <mergeCells count="2">
    <mergeCell ref="A1:A2"/>
    <mergeCell ref="A8:A35"/>
  </mergeCells>
  <conditionalFormatting sqref="C3:D3 D4:D7">
    <cfRule type="dataBar" priority="48">
      <dataBar>
        <cfvo type="min"/>
        <cfvo type="max"/>
        <color rgb="FF008AEF"/>
      </dataBar>
      <extLst>
        <ext xmlns:x14="http://schemas.microsoft.com/office/spreadsheetml/2009/9/main" uri="{B025F937-C7B1-47D3-B67F-A62EFF666E3E}">
          <x14:id>{B1511E8B-91D9-4222-8F8A-86C67C9B2C7A}</x14:id>
        </ext>
      </extLst>
    </cfRule>
  </conditionalFormatting>
  <conditionalFormatting sqref="C4:D4">
    <cfRule type="dataBar" priority="6">
      <dataBar>
        <cfvo type="min"/>
        <cfvo type="max"/>
        <color rgb="FF008AEF"/>
      </dataBar>
      <extLst>
        <ext xmlns:x14="http://schemas.microsoft.com/office/spreadsheetml/2009/9/main" uri="{B025F937-C7B1-47D3-B67F-A62EFF666E3E}">
          <x14:id>{A4F4EB7F-2BC5-4C4A-8957-9E3B50265DFC}</x14:id>
        </ext>
      </extLst>
    </cfRule>
  </conditionalFormatting>
  <conditionalFormatting sqref="C5:D5">
    <cfRule type="dataBar" priority="8">
      <dataBar>
        <cfvo type="min"/>
        <cfvo type="max"/>
        <color rgb="FF008AEF"/>
      </dataBar>
      <extLst>
        <ext xmlns:x14="http://schemas.microsoft.com/office/spreadsheetml/2009/9/main" uri="{B025F937-C7B1-47D3-B67F-A62EFF666E3E}">
          <x14:id>{DC5570A1-7F25-48D8-8DCB-45E13988F9F3}</x14:id>
        </ext>
      </extLst>
    </cfRule>
  </conditionalFormatting>
  <conditionalFormatting sqref="C6:D6">
    <cfRule type="dataBar" priority="9">
      <dataBar>
        <cfvo type="min"/>
        <cfvo type="max"/>
        <color rgb="FF008AEF"/>
      </dataBar>
      <extLst>
        <ext xmlns:x14="http://schemas.microsoft.com/office/spreadsheetml/2009/9/main" uri="{B025F937-C7B1-47D3-B67F-A62EFF666E3E}">
          <x14:id>{B831BF90-DA8E-4BA1-AF3D-2CB6E6F8C581}</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{54A61C12-AFE5-4130-A68C-82DE955AC6EC}</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{3E7C6D24-4B96-470C-B23E-70DB594063F7}</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{1B852A4D-9342-4A95-990D-E00CA4358C8F}</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{A04CF878-7C9A-4328-A962-C7696BCEBD66}</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{67EAAC49-E68F-4FB8-A6FD-356C43B1A23D}</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{661E9D38-FC55-4185-A484-67172FFFA1EE}</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{EB8B700D-3985-43AD-80B8-EDCC3080BC49}</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{522D0862-3753-4FB1-97E6-88D2E9F12729}</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{BA870240-1897-4191-A188-5B631AD8F374}</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{47FC27C6-6D26-44B4-AEFD-0243DA0E45DA}</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{EDD57CF4-6FAA-4D60-8818-8C7714152A1A}</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{F356B63D-9A46-4AA5-9963-049E85780BAF}</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{FD5C09B5-9307-4302-8634-A04357407841}</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{B2BF139F-0324-4B5D-8042-244EB47CFC89}</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{637FAF27-79B7-4E2B-8890-DC8FA520FB2F}</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{C59AF205-5734-4648-8DC1-6211FB741A6A}</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{D37F2DCD-CDC4-4D88-A6F5-2480AE3F93CC}</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{7A1DF732-5A3F-4EC0-9092-B9097BFDEE82}</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{E1E97EEE-F9D9-43DD-B24C-2EB0726705B2}</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{821E0489-CEE8-4795-9571-BC87AEDBC908}</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{6F9DE04A-5DDD-45CD-B5AD-D62FD468AC33}</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{12EE7C35-3A43-4ACF-9A46-72B18A8FB1F4}</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{351A5D99-F0D9-4119-8E2E-14F11A880FE0}</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{796D8543-F4D6-4E69-A78F-7322773B587E}</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{FA7630BE-12B1-4D5B-B760-CCE74FF98937}</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{92D00EB6-8F8A-4894-AF90-54C26320A2D5}</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{DC72A1B3-96C5-4388-AA88-0CDF9548E7CB}</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{E2549FFB-B5F1-4E16-93FA-391304846476}</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{A547F017-789A-45D1-950F-7D2182FDA3DF}</x14:id>
        </ext>
      </extLst>
    </cfRule>
  </conditionalFormatting>
  <conditionalFormatting sqref="G8:O31">
    <cfRule type="cellIs" dxfId="5" priority="12" operator="greaterThan">
      <formula>0</formula>
    </cfRule>
  </conditionalFormatting>
  <conditionalFormatting sqref="G3:P7 E3:F31 E32:O35">
    <cfRule type="cellIs" dxfId="4"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B1511E8B-91D9-4222-8F8A-86C67C9B2C7A}">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A4F4EB7F-2BC5-4C4A-8957-9E3B50265DF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C5570A1-7F25-48D8-8DCB-45E13988F9F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831BF90-DA8E-4BA1-AF3D-2CB6E6F8C581}">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54A61C12-AFE5-4130-A68C-82DE955AC6EC}">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3E7C6D24-4B96-470C-B23E-70DB594063F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B852A4D-9342-4A95-990D-E00CA4358C8F}">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A04CF878-7C9A-4328-A962-C7696BCEBD6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67EAAC49-E68F-4FB8-A6FD-356C43B1A23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61E9D38-FC55-4185-A484-67172FFFA1EE}">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EB8B700D-3985-43AD-80B8-EDCC3080BC4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522D0862-3753-4FB1-97E6-88D2E9F1272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A870240-1897-4191-A188-5B631AD8F37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47FC27C6-6D26-44B4-AEFD-0243DA0E45D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DD57CF4-6FAA-4D60-8818-8C7714152A1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F356B63D-9A46-4AA5-9963-049E85780BAF}">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FD5C09B5-9307-4302-8634-A04357407841}">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B2BF139F-0324-4B5D-8042-244EB47CFC89}">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37FAF27-79B7-4E2B-8890-DC8FA520FB2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59AF205-5734-4648-8DC1-6211FB741A6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37F2DCD-CDC4-4D88-A6F5-2480AE3F93CC}">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A1DF732-5A3F-4EC0-9092-B9097BFDEE8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E1E97EEE-F9D9-43DD-B24C-2EB0726705B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21E0489-CEE8-4795-9571-BC87AEDBC908}">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6F9DE04A-5DDD-45CD-B5AD-D62FD468AC33}">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2EE7C35-3A43-4ACF-9A46-72B18A8FB1F4}">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351A5D99-F0D9-4119-8E2E-14F11A880FE0}">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96D8543-F4D6-4E69-A78F-7322773B587E}">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FA7630BE-12B1-4D5B-B760-CCE74FF9893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2D00EB6-8F8A-4894-AF90-54C26320A2D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C72A1B3-96C5-4388-AA88-0CDF9548E7C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2549FFB-B5F1-4E16-93FA-391304846476}">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A547F017-789A-45D1-950F-7D2182FDA3DF}">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7"/>
  <sheetViews>
    <sheetView zoomScale="60" zoomScaleNormal="60" workbookViewId="0">
      <selection activeCell="M6" sqref="M6"/>
    </sheetView>
  </sheetViews>
  <sheetFormatPr baseColWidth="10" defaultColWidth="11.42578125" defaultRowHeight="15" x14ac:dyDescent="0.25"/>
  <cols>
    <col min="1" max="1" width="5" style="2" customWidth="1"/>
    <col min="2" max="2" width="106.42578125" style="2" customWidth="1"/>
    <col min="3" max="3" width="11.42578125" style="2"/>
    <col min="4" max="4" width="22.42578125" style="2" customWidth="1"/>
    <col min="5" max="9" width="17.28515625" style="2" customWidth="1"/>
    <col min="10" max="16384" width="11.42578125" style="2"/>
  </cols>
  <sheetData>
    <row r="1" spans="1:16" ht="61.5" customHeight="1" x14ac:dyDescent="0.25">
      <c r="A1" s="34" t="s">
        <v>1</v>
      </c>
      <c r="B1" s="15" t="s">
        <v>24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35"/>
      <c r="B2" s="15"/>
      <c r="C2" s="16">
        <v>2026</v>
      </c>
      <c r="D2" s="16" t="s">
        <v>16</v>
      </c>
      <c r="E2" s="17"/>
      <c r="F2" s="17"/>
      <c r="G2" s="17"/>
      <c r="H2" s="17"/>
      <c r="I2" s="17"/>
      <c r="J2" s="17"/>
      <c r="K2" s="17"/>
      <c r="L2" s="17"/>
      <c r="M2" s="17"/>
      <c r="N2" s="17"/>
      <c r="O2" s="17"/>
      <c r="P2" s="17"/>
    </row>
    <row r="3" spans="1:16" ht="81" customHeight="1" x14ac:dyDescent="0.25">
      <c r="A3" s="18" t="s">
        <v>18</v>
      </c>
      <c r="B3" s="4" t="s">
        <v>17</v>
      </c>
      <c r="C3" s="19">
        <v>2</v>
      </c>
      <c r="D3" s="20">
        <f t="shared" ref="D3:D7" si="0">SUM(E3:P3)</f>
        <v>0</v>
      </c>
      <c r="E3" s="21"/>
      <c r="F3" s="21"/>
      <c r="G3" s="21"/>
      <c r="H3" s="21"/>
      <c r="I3" s="21"/>
      <c r="J3" s="21"/>
      <c r="K3" s="21"/>
      <c r="L3" s="21"/>
      <c r="M3" s="21"/>
      <c r="N3" s="21"/>
      <c r="O3" s="21"/>
      <c r="P3" s="21"/>
    </row>
    <row r="4" spans="1:16" ht="81" customHeight="1" x14ac:dyDescent="0.25">
      <c r="A4" s="22" t="s">
        <v>20</v>
      </c>
      <c r="B4" s="5" t="s">
        <v>19</v>
      </c>
      <c r="C4" s="23">
        <v>2</v>
      </c>
      <c r="D4" s="20">
        <f t="shared" si="0"/>
        <v>1</v>
      </c>
      <c r="E4" s="21">
        <v>0</v>
      </c>
      <c r="F4" s="21">
        <v>0</v>
      </c>
      <c r="G4" s="21">
        <v>0</v>
      </c>
      <c r="H4" s="21">
        <v>0</v>
      </c>
      <c r="I4" s="21">
        <v>1</v>
      </c>
      <c r="J4" s="21"/>
      <c r="K4" s="21"/>
      <c r="L4" s="21"/>
      <c r="M4" s="21"/>
      <c r="N4" s="21"/>
      <c r="O4" s="21"/>
      <c r="P4" s="21"/>
    </row>
    <row r="5" spans="1:16" ht="81" customHeight="1" thickBot="1" x14ac:dyDescent="0.3">
      <c r="A5" s="18" t="s">
        <v>18</v>
      </c>
      <c r="B5" s="7" t="s">
        <v>25</v>
      </c>
      <c r="C5" s="24">
        <v>1</v>
      </c>
      <c r="D5" s="20">
        <f t="shared" si="0"/>
        <v>1</v>
      </c>
      <c r="E5" s="21">
        <v>1</v>
      </c>
      <c r="F5" s="21"/>
      <c r="G5" s="21"/>
      <c r="H5" s="21"/>
      <c r="I5" s="21"/>
      <c r="J5" s="21"/>
      <c r="K5" s="21"/>
      <c r="L5" s="21"/>
      <c r="M5" s="21"/>
      <c r="N5" s="21"/>
      <c r="O5" s="21"/>
      <c r="P5" s="21"/>
    </row>
    <row r="6" spans="1:16" ht="81" customHeight="1" x14ac:dyDescent="0.25">
      <c r="A6" s="18" t="s">
        <v>18</v>
      </c>
      <c r="B6" s="4" t="s">
        <v>22</v>
      </c>
      <c r="C6" s="24">
        <v>1</v>
      </c>
      <c r="D6" s="20">
        <f t="shared" si="0"/>
        <v>4</v>
      </c>
      <c r="E6" s="21"/>
      <c r="F6" s="21"/>
      <c r="G6" s="21"/>
      <c r="H6" s="21">
        <v>4</v>
      </c>
      <c r="I6" s="21"/>
      <c r="J6" s="21"/>
      <c r="K6" s="21"/>
      <c r="L6" s="21"/>
      <c r="M6" s="21"/>
      <c r="N6" s="21"/>
      <c r="O6" s="21"/>
      <c r="P6" s="21"/>
    </row>
    <row r="7" spans="1:16" ht="81" customHeight="1" x14ac:dyDescent="0.25">
      <c r="A7" s="18" t="s">
        <v>18</v>
      </c>
      <c r="B7" s="4" t="s">
        <v>23</v>
      </c>
      <c r="C7" s="24">
        <v>1</v>
      </c>
      <c r="D7" s="20">
        <f t="shared" si="0"/>
        <v>0</v>
      </c>
      <c r="E7" s="21"/>
      <c r="F7" s="21"/>
      <c r="G7" s="21"/>
      <c r="H7" s="21"/>
      <c r="I7" s="21"/>
      <c r="J7" s="21"/>
      <c r="K7" s="21"/>
      <c r="L7" s="21"/>
      <c r="M7" s="21"/>
      <c r="N7" s="21"/>
      <c r="O7" s="21"/>
      <c r="P7" s="21"/>
    </row>
    <row r="8" spans="1:16" ht="28.5" customHeight="1" x14ac:dyDescent="0.25">
      <c r="A8" s="36" t="s">
        <v>33</v>
      </c>
      <c r="B8" s="25" t="s">
        <v>34</v>
      </c>
      <c r="C8" s="24">
        <v>3</v>
      </c>
      <c r="D8" s="20">
        <f t="shared" ref="D8:D35" si="1">SUM(E8:O8)</f>
        <v>0</v>
      </c>
      <c r="E8" s="21"/>
      <c r="F8" s="21"/>
      <c r="G8" s="21"/>
      <c r="H8" s="21"/>
      <c r="I8" s="21"/>
      <c r="J8" s="21"/>
      <c r="K8" s="21"/>
      <c r="L8" s="21"/>
      <c r="M8" s="21"/>
      <c r="N8" s="21"/>
      <c r="O8" s="21"/>
      <c r="P8" s="26"/>
    </row>
    <row r="9" spans="1:16" ht="28.5" customHeight="1" x14ac:dyDescent="0.25">
      <c r="A9" s="37"/>
      <c r="B9" s="25" t="s">
        <v>35</v>
      </c>
      <c r="C9" s="24">
        <v>3</v>
      </c>
      <c r="D9" s="20">
        <f t="shared" si="1"/>
        <v>3</v>
      </c>
      <c r="E9" s="21">
        <v>3</v>
      </c>
      <c r="F9" s="21"/>
      <c r="G9" s="21"/>
      <c r="H9" s="21"/>
      <c r="I9" s="21"/>
      <c r="J9" s="21"/>
      <c r="K9" s="21"/>
      <c r="L9" s="21"/>
      <c r="M9" s="21"/>
      <c r="N9" s="21"/>
      <c r="O9" s="21"/>
      <c r="P9" s="26"/>
    </row>
    <row r="10" spans="1:16" ht="28.5" customHeight="1" x14ac:dyDescent="0.25">
      <c r="A10" s="37"/>
      <c r="B10" s="25" t="s">
        <v>36</v>
      </c>
      <c r="C10" s="24">
        <v>68</v>
      </c>
      <c r="D10" s="20">
        <f t="shared" si="1"/>
        <v>27</v>
      </c>
      <c r="E10" s="21">
        <v>9</v>
      </c>
      <c r="F10" s="21">
        <v>6</v>
      </c>
      <c r="G10" s="21">
        <v>1</v>
      </c>
      <c r="H10" s="21">
        <v>7</v>
      </c>
      <c r="I10" s="21">
        <v>4</v>
      </c>
      <c r="J10" s="21"/>
      <c r="K10" s="21"/>
      <c r="L10" s="21"/>
      <c r="M10" s="21"/>
      <c r="N10" s="21"/>
      <c r="O10" s="21"/>
      <c r="P10" s="26"/>
    </row>
    <row r="11" spans="1:16" ht="28.5" customHeight="1" x14ac:dyDescent="0.25">
      <c r="A11" s="37"/>
      <c r="B11" s="25" t="s">
        <v>37</v>
      </c>
      <c r="C11" s="24">
        <v>33</v>
      </c>
      <c r="D11" s="20">
        <f t="shared" si="1"/>
        <v>22</v>
      </c>
      <c r="E11" s="21"/>
      <c r="F11" s="21"/>
      <c r="G11" s="21">
        <v>15</v>
      </c>
      <c r="H11" s="21">
        <v>6</v>
      </c>
      <c r="I11" s="21">
        <v>1</v>
      </c>
      <c r="J11" s="21"/>
      <c r="K11" s="21"/>
      <c r="L11" s="21"/>
      <c r="M11" s="21"/>
      <c r="N11" s="21"/>
      <c r="O11" s="21"/>
      <c r="P11" s="26"/>
    </row>
    <row r="12" spans="1:16" ht="28.5" customHeight="1" x14ac:dyDescent="0.25">
      <c r="A12" s="37"/>
      <c r="B12" s="25" t="s">
        <v>38</v>
      </c>
      <c r="C12" s="24">
        <v>2</v>
      </c>
      <c r="D12" s="20">
        <f t="shared" si="1"/>
        <v>0</v>
      </c>
      <c r="E12" s="21"/>
      <c r="F12" s="21"/>
      <c r="G12" s="21"/>
      <c r="H12" s="21"/>
      <c r="I12" s="21"/>
      <c r="J12" s="21"/>
      <c r="K12" s="21"/>
      <c r="L12" s="21"/>
      <c r="M12" s="21"/>
      <c r="N12" s="21"/>
      <c r="O12" s="21"/>
      <c r="P12" s="26"/>
    </row>
    <row r="13" spans="1:16" ht="28.5" customHeight="1" x14ac:dyDescent="0.25">
      <c r="A13" s="37"/>
      <c r="B13" s="25" t="s">
        <v>39</v>
      </c>
      <c r="C13" s="24">
        <v>14</v>
      </c>
      <c r="D13" s="20">
        <f t="shared" si="1"/>
        <v>0</v>
      </c>
      <c r="E13" s="21"/>
      <c r="F13" s="21"/>
      <c r="G13" s="21"/>
      <c r="H13" s="21"/>
      <c r="I13" s="21"/>
      <c r="J13" s="21"/>
      <c r="K13" s="21"/>
      <c r="L13" s="21"/>
      <c r="M13" s="21"/>
      <c r="N13" s="21"/>
      <c r="O13" s="21"/>
      <c r="P13" s="26"/>
    </row>
    <row r="14" spans="1:16" ht="28.5" customHeight="1" x14ac:dyDescent="0.25">
      <c r="A14" s="37"/>
      <c r="B14" s="25" t="s">
        <v>40</v>
      </c>
      <c r="C14" s="24">
        <v>0</v>
      </c>
      <c r="D14" s="20">
        <f t="shared" si="1"/>
        <v>0</v>
      </c>
      <c r="E14" s="21"/>
      <c r="F14" s="21"/>
      <c r="G14" s="21"/>
      <c r="H14" s="21"/>
      <c r="I14" s="21"/>
      <c r="J14" s="21"/>
      <c r="K14" s="21"/>
      <c r="L14" s="21"/>
      <c r="M14" s="21"/>
      <c r="N14" s="21"/>
      <c r="O14" s="21"/>
      <c r="P14" s="26"/>
    </row>
    <row r="15" spans="1:16" ht="28.5" customHeight="1" x14ac:dyDescent="0.25">
      <c r="A15" s="37"/>
      <c r="B15" s="25" t="s">
        <v>41</v>
      </c>
      <c r="C15" s="24">
        <v>4</v>
      </c>
      <c r="D15" s="20">
        <f t="shared" si="1"/>
        <v>0</v>
      </c>
      <c r="E15" s="21"/>
      <c r="F15" s="21"/>
      <c r="G15" s="21"/>
      <c r="H15" s="21"/>
      <c r="I15" s="21"/>
      <c r="J15" s="21"/>
      <c r="K15" s="21"/>
      <c r="L15" s="21"/>
      <c r="M15" s="21"/>
      <c r="N15" s="21"/>
      <c r="O15" s="21"/>
      <c r="P15" s="26"/>
    </row>
    <row r="16" spans="1:16" ht="28.5" customHeight="1" x14ac:dyDescent="0.25">
      <c r="A16" s="37"/>
      <c r="B16" s="25" t="s">
        <v>42</v>
      </c>
      <c r="C16" s="24">
        <v>0</v>
      </c>
      <c r="D16" s="20">
        <f t="shared" si="1"/>
        <v>0</v>
      </c>
      <c r="E16" s="21"/>
      <c r="F16" s="21"/>
      <c r="G16" s="21"/>
      <c r="H16" s="21"/>
      <c r="I16" s="21"/>
      <c r="J16" s="21"/>
      <c r="K16" s="21"/>
      <c r="L16" s="21"/>
      <c r="M16" s="21"/>
      <c r="N16" s="21"/>
      <c r="O16" s="21"/>
      <c r="P16" s="26"/>
    </row>
    <row r="17" spans="1:16" ht="28.5" customHeight="1" x14ac:dyDescent="0.25">
      <c r="A17" s="37"/>
      <c r="B17" s="25" t="s">
        <v>43</v>
      </c>
      <c r="C17" s="24">
        <v>0</v>
      </c>
      <c r="D17" s="20">
        <f t="shared" si="1"/>
        <v>0</v>
      </c>
      <c r="E17" s="21"/>
      <c r="F17" s="21"/>
      <c r="G17" s="21"/>
      <c r="H17" s="21"/>
      <c r="I17" s="21"/>
      <c r="J17" s="21"/>
      <c r="K17" s="21"/>
      <c r="L17" s="21"/>
      <c r="M17" s="21"/>
      <c r="N17" s="21"/>
      <c r="O17" s="21"/>
      <c r="P17" s="26"/>
    </row>
    <row r="18" spans="1:16" ht="28.5" customHeight="1" x14ac:dyDescent="0.25">
      <c r="A18" s="37"/>
      <c r="B18" s="25" t="s">
        <v>44</v>
      </c>
      <c r="C18" s="24">
        <v>0</v>
      </c>
      <c r="D18" s="20">
        <f t="shared" si="1"/>
        <v>0</v>
      </c>
      <c r="E18" s="21"/>
      <c r="F18" s="21"/>
      <c r="G18" s="21"/>
      <c r="H18" s="21"/>
      <c r="I18" s="21"/>
      <c r="J18" s="21"/>
      <c r="K18" s="21"/>
      <c r="L18" s="21"/>
      <c r="M18" s="21"/>
      <c r="N18" s="21"/>
      <c r="O18" s="21"/>
      <c r="P18" s="26"/>
    </row>
    <row r="19" spans="1:16" ht="28.5" customHeight="1" x14ac:dyDescent="0.25">
      <c r="A19" s="37"/>
      <c r="B19" s="25" t="s">
        <v>45</v>
      </c>
      <c r="C19" s="24">
        <v>0</v>
      </c>
      <c r="D19" s="20">
        <f t="shared" si="1"/>
        <v>0</v>
      </c>
      <c r="E19" s="21"/>
      <c r="F19" s="21"/>
      <c r="G19" s="21"/>
      <c r="H19" s="21"/>
      <c r="I19" s="21"/>
      <c r="J19" s="21"/>
      <c r="K19" s="21"/>
      <c r="L19" s="21"/>
      <c r="M19" s="21"/>
      <c r="N19" s="21"/>
      <c r="O19" s="21"/>
      <c r="P19" s="26"/>
    </row>
    <row r="20" spans="1:16" ht="28.5" customHeight="1" x14ac:dyDescent="0.25">
      <c r="A20" s="37"/>
      <c r="B20" s="25" t="s">
        <v>46</v>
      </c>
      <c r="C20" s="24">
        <v>0</v>
      </c>
      <c r="D20" s="20">
        <f t="shared" si="1"/>
        <v>0</v>
      </c>
      <c r="E20" s="21"/>
      <c r="F20" s="21"/>
      <c r="G20" s="21"/>
      <c r="H20" s="21"/>
      <c r="I20" s="21"/>
      <c r="J20" s="21"/>
      <c r="K20" s="21"/>
      <c r="L20" s="21"/>
      <c r="M20" s="21"/>
      <c r="N20" s="21"/>
      <c r="O20" s="21"/>
      <c r="P20" s="26"/>
    </row>
    <row r="21" spans="1:16" ht="28.5" customHeight="1" x14ac:dyDescent="0.25">
      <c r="A21" s="37"/>
      <c r="B21" s="25" t="s">
        <v>47</v>
      </c>
      <c r="C21" s="24">
        <v>0</v>
      </c>
      <c r="D21" s="20">
        <f t="shared" si="1"/>
        <v>0</v>
      </c>
      <c r="E21" s="21"/>
      <c r="F21" s="21"/>
      <c r="G21" s="21"/>
      <c r="H21" s="21"/>
      <c r="I21" s="21"/>
      <c r="J21" s="21"/>
      <c r="K21" s="21"/>
      <c r="L21" s="21"/>
      <c r="M21" s="21"/>
      <c r="N21" s="21"/>
      <c r="O21" s="21"/>
      <c r="P21" s="26"/>
    </row>
    <row r="22" spans="1:16" ht="28.5" customHeight="1" x14ac:dyDescent="0.25">
      <c r="A22" s="37"/>
      <c r="B22" s="25" t="s">
        <v>48</v>
      </c>
      <c r="C22" s="24">
        <v>138</v>
      </c>
      <c r="D22" s="20">
        <f t="shared" si="1"/>
        <v>64</v>
      </c>
      <c r="E22" s="21">
        <v>29</v>
      </c>
      <c r="F22" s="21"/>
      <c r="G22" s="21">
        <v>1</v>
      </c>
      <c r="H22" s="21">
        <v>30</v>
      </c>
      <c r="I22" s="21">
        <v>4</v>
      </c>
      <c r="J22" s="21"/>
      <c r="K22" s="21"/>
      <c r="L22" s="21"/>
      <c r="M22" s="21"/>
      <c r="N22" s="21"/>
      <c r="O22" s="21"/>
      <c r="P22" s="26"/>
    </row>
    <row r="23" spans="1:16" ht="28.5" customHeight="1" x14ac:dyDescent="0.25">
      <c r="A23" s="37"/>
      <c r="B23" s="25" t="s">
        <v>49</v>
      </c>
      <c r="C23" s="24">
        <v>2</v>
      </c>
      <c r="D23" s="20">
        <f t="shared" si="1"/>
        <v>0</v>
      </c>
      <c r="E23" s="21"/>
      <c r="F23" s="21"/>
      <c r="G23" s="21"/>
      <c r="H23" s="21"/>
      <c r="I23" s="21"/>
      <c r="J23" s="21"/>
      <c r="K23" s="21"/>
      <c r="L23" s="21"/>
      <c r="M23" s="21"/>
      <c r="N23" s="21"/>
      <c r="O23" s="21"/>
      <c r="P23" s="26"/>
    </row>
    <row r="24" spans="1:16" ht="24" customHeight="1" x14ac:dyDescent="0.25">
      <c r="A24" s="37"/>
      <c r="B24" s="27" t="s">
        <v>50</v>
      </c>
      <c r="C24" s="24">
        <v>6</v>
      </c>
      <c r="D24" s="20">
        <f t="shared" si="1"/>
        <v>2</v>
      </c>
      <c r="E24" s="21"/>
      <c r="F24" s="21"/>
      <c r="G24" s="21">
        <v>2</v>
      </c>
      <c r="H24" s="21"/>
      <c r="I24" s="21"/>
      <c r="J24" s="21"/>
      <c r="K24" s="21"/>
      <c r="L24" s="21"/>
      <c r="M24" s="21"/>
      <c r="N24" s="21"/>
      <c r="O24" s="21"/>
      <c r="P24" s="26"/>
    </row>
    <row r="25" spans="1:16" ht="24" customHeight="1" x14ac:dyDescent="0.25">
      <c r="A25" s="37"/>
      <c r="B25" s="27" t="s">
        <v>51</v>
      </c>
      <c r="C25" s="24">
        <v>6</v>
      </c>
      <c r="D25" s="20">
        <f t="shared" si="1"/>
        <v>6</v>
      </c>
      <c r="E25" s="21"/>
      <c r="F25" s="21"/>
      <c r="G25" s="21"/>
      <c r="H25" s="21">
        <v>6</v>
      </c>
      <c r="I25" s="21"/>
      <c r="J25" s="21"/>
      <c r="K25" s="21"/>
      <c r="L25" s="21"/>
      <c r="M25" s="21"/>
      <c r="N25" s="21"/>
      <c r="O25" s="21"/>
      <c r="P25" s="26"/>
    </row>
    <row r="26" spans="1:16" ht="24" customHeight="1" x14ac:dyDescent="0.25">
      <c r="A26" s="37"/>
      <c r="B26" s="27" t="s">
        <v>52</v>
      </c>
      <c r="C26" s="24">
        <v>6</v>
      </c>
      <c r="D26" s="20">
        <f t="shared" si="1"/>
        <v>6</v>
      </c>
      <c r="E26" s="21"/>
      <c r="F26" s="21"/>
      <c r="G26" s="21"/>
      <c r="H26" s="21"/>
      <c r="I26" s="21">
        <v>6</v>
      </c>
      <c r="J26" s="21"/>
      <c r="K26" s="21"/>
      <c r="L26" s="21"/>
      <c r="M26" s="21"/>
      <c r="N26" s="21"/>
      <c r="O26" s="21"/>
      <c r="P26" s="26"/>
    </row>
    <row r="27" spans="1:16" ht="24" customHeight="1" x14ac:dyDescent="0.25">
      <c r="A27" s="37"/>
      <c r="B27" s="27" t="s">
        <v>53</v>
      </c>
      <c r="C27" s="24">
        <v>6</v>
      </c>
      <c r="D27" s="20">
        <f t="shared" si="1"/>
        <v>0</v>
      </c>
      <c r="E27" s="21"/>
      <c r="F27" s="21"/>
      <c r="G27" s="21"/>
      <c r="H27" s="21"/>
      <c r="I27" s="21"/>
      <c r="J27" s="21"/>
      <c r="K27" s="21"/>
      <c r="L27" s="21"/>
      <c r="M27" s="21"/>
      <c r="N27" s="21"/>
      <c r="O27" s="21"/>
      <c r="P27" s="26"/>
    </row>
    <row r="28" spans="1:16" ht="24" customHeight="1" x14ac:dyDescent="0.25">
      <c r="A28" s="37"/>
      <c r="B28" s="27" t="s">
        <v>54</v>
      </c>
      <c r="C28" s="24">
        <v>6</v>
      </c>
      <c r="D28" s="20">
        <f t="shared" si="1"/>
        <v>0</v>
      </c>
      <c r="E28" s="21"/>
      <c r="F28" s="21"/>
      <c r="G28" s="21"/>
      <c r="H28" s="21"/>
      <c r="I28" s="21"/>
      <c r="J28" s="21"/>
      <c r="K28" s="21"/>
      <c r="L28" s="21"/>
      <c r="M28" s="21"/>
      <c r="N28" s="21"/>
      <c r="O28" s="21"/>
      <c r="P28" s="26"/>
    </row>
    <row r="29" spans="1:16" ht="24" customHeight="1" x14ac:dyDescent="0.25">
      <c r="A29" s="37"/>
      <c r="B29" s="27" t="s">
        <v>55</v>
      </c>
      <c r="C29" s="24">
        <v>1</v>
      </c>
      <c r="D29" s="20">
        <f t="shared" si="1"/>
        <v>0</v>
      </c>
      <c r="E29" s="21"/>
      <c r="F29" s="21"/>
      <c r="G29" s="21"/>
      <c r="H29" s="21"/>
      <c r="I29" s="21"/>
      <c r="J29" s="21"/>
      <c r="K29" s="21"/>
      <c r="L29" s="21"/>
      <c r="M29" s="21"/>
      <c r="N29" s="21"/>
      <c r="O29" s="21"/>
      <c r="P29" s="26"/>
    </row>
    <row r="30" spans="1:16" ht="24" customHeight="1" x14ac:dyDescent="0.25">
      <c r="A30" s="37"/>
      <c r="B30" s="27" t="s">
        <v>56</v>
      </c>
      <c r="C30" s="24">
        <v>1</v>
      </c>
      <c r="D30" s="20">
        <f t="shared" si="1"/>
        <v>0</v>
      </c>
      <c r="E30" s="21"/>
      <c r="F30" s="21"/>
      <c r="G30" s="21"/>
      <c r="H30" s="21"/>
      <c r="I30" s="21"/>
      <c r="J30" s="21"/>
      <c r="K30" s="21"/>
      <c r="L30" s="21"/>
      <c r="M30" s="21"/>
      <c r="N30" s="21"/>
      <c r="O30" s="21"/>
      <c r="P30" s="26"/>
    </row>
    <row r="31" spans="1:16" ht="24" customHeight="1" x14ac:dyDescent="0.25">
      <c r="A31" s="37"/>
      <c r="B31" s="27" t="s">
        <v>57</v>
      </c>
      <c r="C31" s="24">
        <v>1</v>
      </c>
      <c r="D31" s="20">
        <f t="shared" si="1"/>
        <v>0</v>
      </c>
      <c r="E31" s="21"/>
      <c r="F31" s="21"/>
      <c r="G31" s="21"/>
      <c r="H31" s="21"/>
      <c r="I31" s="21"/>
      <c r="J31" s="21"/>
      <c r="K31" s="21"/>
      <c r="L31" s="21"/>
      <c r="M31" s="21"/>
      <c r="N31" s="21"/>
      <c r="O31" s="21"/>
      <c r="P31" s="26"/>
    </row>
    <row r="32" spans="1:16" ht="24" customHeight="1" x14ac:dyDescent="0.25">
      <c r="A32" s="37"/>
      <c r="B32" s="27" t="s">
        <v>58</v>
      </c>
      <c r="C32" s="24">
        <v>1</v>
      </c>
      <c r="D32" s="20">
        <f t="shared" si="1"/>
        <v>0</v>
      </c>
      <c r="E32" s="21"/>
      <c r="F32" s="21"/>
      <c r="G32" s="21"/>
      <c r="H32" s="21"/>
      <c r="I32" s="21"/>
      <c r="J32" s="21"/>
      <c r="K32" s="21"/>
      <c r="L32" s="21"/>
      <c r="M32" s="21"/>
      <c r="N32" s="21"/>
      <c r="O32" s="21"/>
      <c r="P32" s="26"/>
    </row>
    <row r="33" spans="1:16" ht="24" customHeight="1" x14ac:dyDescent="0.25">
      <c r="A33" s="37"/>
      <c r="B33" s="27" t="s">
        <v>59</v>
      </c>
      <c r="C33" s="24">
        <v>1</v>
      </c>
      <c r="D33" s="20">
        <f t="shared" si="1"/>
        <v>0</v>
      </c>
      <c r="E33" s="21"/>
      <c r="F33" s="21"/>
      <c r="G33" s="21"/>
      <c r="H33" s="21"/>
      <c r="I33" s="21"/>
      <c r="J33" s="21"/>
      <c r="K33" s="21"/>
      <c r="L33" s="21"/>
      <c r="M33" s="21"/>
      <c r="N33" s="21"/>
      <c r="O33" s="21"/>
      <c r="P33" s="26"/>
    </row>
    <row r="34" spans="1:16" ht="24" customHeight="1" x14ac:dyDescent="0.25">
      <c r="A34" s="37"/>
      <c r="B34" s="27" t="s">
        <v>60</v>
      </c>
      <c r="C34" s="24">
        <v>1</v>
      </c>
      <c r="D34" s="20">
        <f t="shared" si="1"/>
        <v>0</v>
      </c>
      <c r="E34" s="21"/>
      <c r="F34" s="21"/>
      <c r="G34" s="21"/>
      <c r="H34" s="21"/>
      <c r="I34" s="21"/>
      <c r="J34" s="21"/>
      <c r="K34" s="21"/>
      <c r="L34" s="21"/>
      <c r="M34" s="21"/>
      <c r="N34" s="21"/>
      <c r="O34" s="21"/>
      <c r="P34" s="26"/>
    </row>
    <row r="35" spans="1:16" ht="24" customHeight="1" thickBot="1" x14ac:dyDescent="0.3">
      <c r="A35" s="38"/>
      <c r="B35" s="28" t="s">
        <v>61</v>
      </c>
      <c r="C35" s="24">
        <v>1</v>
      </c>
      <c r="D35" s="20">
        <f t="shared" si="1"/>
        <v>0</v>
      </c>
      <c r="E35" s="21"/>
      <c r="F35" s="21"/>
      <c r="G35" s="21"/>
      <c r="H35" s="21"/>
      <c r="I35" s="21"/>
      <c r="J35" s="21"/>
      <c r="K35" s="21"/>
      <c r="L35" s="21"/>
      <c r="M35" s="21"/>
      <c r="N35" s="21"/>
      <c r="O35" s="21"/>
      <c r="P35" s="26"/>
    </row>
    <row r="36" spans="1:16" x14ac:dyDescent="0.25">
      <c r="C36" s="29">
        <f>SUM(C3:C35)</f>
        <v>311</v>
      </c>
      <c r="D36" s="30">
        <f>SUM(D3:D35)</f>
        <v>136</v>
      </c>
    </row>
    <row r="37" spans="1:16" x14ac:dyDescent="0.25">
      <c r="C37" s="31"/>
      <c r="D37" s="32">
        <f>D36/C36</f>
        <v>0.43729903536977494</v>
      </c>
    </row>
  </sheetData>
  <sheetProtection algorithmName="SHA-512" hashValue="Ixyc3bnmghiR+by7urV+/WoM2xaMQ4N3YfxuPjG1crH7KsqpkChPZSJfE6HmZ5NnW4ZE2BSi3E/UTBx40S1TFQ==" saltValue="ryNvazmN7tIYFtRKbAxWmA==" spinCount="100000" sheet="1" objects="1" scenarios="1" autoFilter="0"/>
  <mergeCells count="2">
    <mergeCell ref="A1:A2"/>
    <mergeCell ref="A8:A35"/>
  </mergeCells>
  <conditionalFormatting sqref="C3:D3 D4:D7">
    <cfRule type="dataBar" priority="51">
      <dataBar>
        <cfvo type="min"/>
        <cfvo type="max"/>
        <color rgb="FF008AEF"/>
      </dataBar>
      <extLst>
        <ext xmlns:x14="http://schemas.microsoft.com/office/spreadsheetml/2009/9/main" uri="{B025F937-C7B1-47D3-B67F-A62EFF666E3E}">
          <x14:id>{DB21B93D-5DB4-450D-94EB-6B35594E5B91}</x14:id>
        </ext>
      </extLst>
    </cfRule>
  </conditionalFormatting>
  <conditionalFormatting sqref="C4:D4">
    <cfRule type="dataBar" priority="6">
      <dataBar>
        <cfvo type="min"/>
        <cfvo type="max"/>
        <color rgb="FF008AEF"/>
      </dataBar>
      <extLst>
        <ext xmlns:x14="http://schemas.microsoft.com/office/spreadsheetml/2009/9/main" uri="{B025F937-C7B1-47D3-B67F-A62EFF666E3E}">
          <x14:id>{F7153C38-2729-40A9-93ED-CF2248C8D377}</x14:id>
        </ext>
      </extLst>
    </cfRule>
  </conditionalFormatting>
  <conditionalFormatting sqref="C5:D5">
    <cfRule type="dataBar" priority="8">
      <dataBar>
        <cfvo type="min"/>
        <cfvo type="max"/>
        <color rgb="FF008AEF"/>
      </dataBar>
      <extLst>
        <ext xmlns:x14="http://schemas.microsoft.com/office/spreadsheetml/2009/9/main" uri="{B025F937-C7B1-47D3-B67F-A62EFF666E3E}">
          <x14:id>{93FF34F5-34E2-4F75-9A04-D41ACC585C1A}</x14:id>
        </ext>
      </extLst>
    </cfRule>
  </conditionalFormatting>
  <conditionalFormatting sqref="C6:D6">
    <cfRule type="dataBar" priority="9">
      <dataBar>
        <cfvo type="min"/>
        <cfvo type="max"/>
        <color rgb="FF008AEF"/>
      </dataBar>
      <extLst>
        <ext xmlns:x14="http://schemas.microsoft.com/office/spreadsheetml/2009/9/main" uri="{B025F937-C7B1-47D3-B67F-A62EFF666E3E}">
          <x14:id>{D59F434F-FF04-43B4-AE45-2EE32444BEB8}</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{926844F3-15DC-4D0A-B1CE-5D8A05752DCF}</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{1000045D-DF85-42A5-BAA3-0AD5EFC1EF2D}</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{16867ACF-B1B6-4E5B-BA54-B8B2CC89C099}</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{743DC74E-5E7B-4E19-B57D-C21A32821F10}</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{8DD17B0C-94A5-4385-BFF9-9DDBE8D3030C}</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{EDA5C8FC-F73F-427D-B0B5-B50BF60F0DFA}</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{EDFBE8EC-EAFE-4A44-8EF1-2BC80112E250}</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{623D8A1D-3ABD-4D47-877B-E6DC9A9A79C2}</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{8B726927-36F8-4D70-8505-DC680B6F0CC9}</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{FFD2D2E5-5A2E-4F83-9275-158AD9068FB1}</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{5CC9CB9E-F514-41CA-9A0F-C66D1B6BF6C4}</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{58245192-D4A1-4A36-8E13-71F54A7759AA}</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{18337E52-EA16-4758-8922-6E6160FB9317}</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{3D16AFEA-9CD7-4012-8D86-013AE7F39CE8}</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{4BEE0076-B2F9-4C1C-84B1-8DDCBD1B7135}</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{086E79BF-EA32-4804-8D16-E9CFE1C452C1}</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{C3CC5614-7E4C-4A2B-A100-D188B1BDCDA4}</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{8D2DAA5D-7E87-4086-8521-C7F01ECE5CB2}</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{952C9C07-D68A-4C4F-AF8E-B62B90600F6F}</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{EEDED8D9-936E-400A-8607-A6EF3A521AE2}</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{12712FC0-0BC5-4F5D-9880-E0D084A391ED}</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{0879A5F0-96FE-49E5-94E4-5AFCD08A54E1}</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{CDAB4599-D4BC-4307-9C08-8871D7096FB8}</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{CE3E0506-D2C4-47C5-BB27-7966C74FA17D}</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{253CA510-7213-4615-B4F8-DF49B3238563}</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{606EBA0A-9E13-4041-BE03-FB1BF04983E3}</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{E489F8D9-DA68-4DFB-BA03-C2FFA09FE483}</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{24E4C1E9-430A-49EB-9CB0-8D77827E4569}</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{7EEED92B-70B2-4217-B5D3-A88CC624DBEC}</x14:id>
        </ext>
      </extLst>
    </cfRule>
  </conditionalFormatting>
  <conditionalFormatting sqref="G8:O31">
    <cfRule type="cellIs" dxfId="3" priority="12" operator="greaterThan">
      <formula>0</formula>
    </cfRule>
  </conditionalFormatting>
  <conditionalFormatting sqref="G3:P7 E3:F31 E32:O35">
    <cfRule type="cellIs" dxfId="2"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DB21B93D-5DB4-450D-94EB-6B35594E5B91}">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F7153C38-2729-40A9-93ED-CF2248C8D37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93FF34F5-34E2-4F75-9A04-D41ACC585C1A}">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59F434F-FF04-43B4-AE45-2EE32444BEB8}">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26844F3-15DC-4D0A-B1CE-5D8A05752DC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1000045D-DF85-42A5-BAA3-0AD5EFC1EF2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6867ACF-B1B6-4E5B-BA54-B8B2CC89C099}">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743DC74E-5E7B-4E19-B57D-C21A32821F10}">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8DD17B0C-94A5-4385-BFF9-9DDBE8D3030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EDA5C8FC-F73F-427D-B0B5-B50BF60F0DF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EDFBE8EC-EAFE-4A44-8EF1-2BC80112E250}">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23D8A1D-3ABD-4D47-877B-E6DC9A9A79C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8B726927-36F8-4D70-8505-DC680B6F0CC9}">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FFD2D2E5-5A2E-4F83-9275-158AD9068FB1}">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5CC9CB9E-F514-41CA-9A0F-C66D1B6BF6C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8245192-D4A1-4A36-8E13-71F54A7759A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8337E52-EA16-4758-8922-6E6160FB931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D16AFEA-9CD7-4012-8D86-013AE7F39CE8}">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4BEE0076-B2F9-4C1C-84B1-8DDCBD1B713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86E79BF-EA32-4804-8D16-E9CFE1C452C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C3CC5614-7E4C-4A2B-A100-D188B1BDCDA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D2DAA5D-7E87-4086-8521-C7F01ECE5CB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52C9C07-D68A-4C4F-AF8E-B62B90600F6F}">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EDED8D9-936E-400A-8607-A6EF3A521AE2}">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2712FC0-0BC5-4F5D-9880-E0D084A391E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879A5F0-96FE-49E5-94E4-5AFCD08A54E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CDAB4599-D4BC-4307-9C08-8871D7096FB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E3E0506-D2C4-47C5-BB27-7966C74FA17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53CA510-7213-4615-B4F8-DF49B323856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606EBA0A-9E13-4041-BE03-FB1BF04983E3}">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489F8D9-DA68-4DFB-BA03-C2FFA09FE483}">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24E4C1E9-430A-49EB-9CB0-8D77827E4569}">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EEED92B-70B2-4217-B5D3-A88CC624DBEC}">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4"/>
  <sheetViews>
    <sheetView tabSelected="1" workbookViewId="0">
      <selection activeCell="F8" sqref="F8"/>
    </sheetView>
  </sheetViews>
  <sheetFormatPr baseColWidth="10" defaultRowHeight="15" x14ac:dyDescent="0.25"/>
  <cols>
    <col min="1" max="1" width="11.28515625" customWidth="1"/>
    <col min="2" max="2" width="24" customWidth="1"/>
    <col min="3" max="3" width="11.85546875" bestFit="1" customWidth="1"/>
  </cols>
  <sheetData>
    <row r="1" spans="1:5" x14ac:dyDescent="0.25">
      <c r="A1" s="39" t="s">
        <v>26</v>
      </c>
      <c r="B1" s="39"/>
      <c r="C1" s="11" t="s">
        <v>2</v>
      </c>
      <c r="D1" s="11" t="s">
        <v>31</v>
      </c>
      <c r="E1" s="11" t="s">
        <v>62</v>
      </c>
    </row>
    <row r="2" spans="1:5" x14ac:dyDescent="0.25">
      <c r="A2" s="8" t="s">
        <v>27</v>
      </c>
      <c r="B2" s="9" t="s">
        <v>29</v>
      </c>
      <c r="C2" s="12">
        <f>'D84 Upala'!C36</f>
        <v>444</v>
      </c>
      <c r="D2" s="12">
        <f>'D84 Upala'!D36</f>
        <v>177</v>
      </c>
      <c r="E2" s="33">
        <f>D2/C2</f>
        <v>0.39864864864864863</v>
      </c>
    </row>
    <row r="3" spans="1:5" x14ac:dyDescent="0.25">
      <c r="A3" s="8" t="s">
        <v>28</v>
      </c>
      <c r="B3" s="9" t="s">
        <v>30</v>
      </c>
      <c r="C3" s="13">
        <f>'D85 Los Chiles'!C36</f>
        <v>311</v>
      </c>
      <c r="D3" s="13">
        <f>'D85 Los Chiles'!D36</f>
        <v>136</v>
      </c>
      <c r="E3" s="33">
        <f t="shared" ref="E3:E4" si="0">D3/C3</f>
        <v>0.43729903536977494</v>
      </c>
    </row>
    <row r="4" spans="1:5" x14ac:dyDescent="0.25">
      <c r="B4" s="10" t="s">
        <v>32</v>
      </c>
      <c r="C4" s="14">
        <f>SUM(C2:C3)</f>
        <v>755</v>
      </c>
      <c r="D4" s="14">
        <f>SUM(D2:D3)</f>
        <v>313</v>
      </c>
      <c r="E4" s="33">
        <f t="shared" si="0"/>
        <v>0.41456953642384103</v>
      </c>
    </row>
  </sheetData>
  <sheetProtection autoFilter="0"/>
  <mergeCells count="1">
    <mergeCell ref="A1:B1"/>
  </mergeCells>
  <conditionalFormatting sqref="C2:D2">
    <cfRule type="dataBar" priority="6">
      <dataBar>
        <cfvo type="min"/>
        <cfvo type="max"/>
        <color rgb="FF008AEF"/>
      </dataBar>
      <extLst>
        <ext xmlns:x14="http://schemas.microsoft.com/office/spreadsheetml/2009/9/main" uri="{B025F937-C7B1-47D3-B67F-A62EFF666E3E}">
          <x14:id>{E18619AF-CC00-4E1E-A262-A167547E39FB}</x14:id>
        </ext>
      </extLst>
    </cfRule>
  </conditionalFormatting>
  <conditionalFormatting sqref="C3:D3">
    <cfRule type="dataBar" priority="5">
      <dataBar>
        <cfvo type="min"/>
        <cfvo type="max"/>
        <color rgb="FF008AEF"/>
      </dataBar>
      <extLst>
        <ext xmlns:x14="http://schemas.microsoft.com/office/spreadsheetml/2009/9/main" uri="{B025F937-C7B1-47D3-B67F-A62EFF666E3E}">
          <x14:id>{30E4AFBC-9040-4255-8F41-BAA2B9EBD138}</x14:id>
        </ext>
      </extLst>
    </cfRule>
  </conditionalFormatting>
  <conditionalFormatting sqref="E2:E4">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18619AF-CC00-4E1E-A262-A167547E39FB}">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30E4AFBC-9040-4255-8F41-BAA2B9EBD138}">
            <x14:dataBar minLength="0" maxLength="100" gradient="0">
              <x14:cfvo type="autoMin"/>
              <x14:cfvo type="autoMax"/>
              <x14:negativeFillColor rgb="FFFF0000"/>
              <x14:axisColor rgb="FF000000"/>
            </x14:dataBar>
          </x14:cfRule>
          <xm:sqref>C3:D3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D84 Upala</vt:lpstr>
      <vt:lpstr>D85 Los Chiles</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2025-07-06T20:42:55Z</dcterms:created>
  <dcterms:modified xsi:type="dcterms:W3CDTF">2026-06-20T01:24:08Z</dcterms:modified>
</cp:coreProperties>
</file>