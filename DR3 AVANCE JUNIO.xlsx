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BDBA4B0C-62BA-414B-B68F-E65C1A8E62C5}" xr6:coauthVersionLast="47" xr6:coauthVersionMax="47" xr10:uidLastSave="{00000000-0000-0000-0000-000000000000}"/>
  <bookViews>
    <workbookView xWindow="-120" yWindow="-120" windowWidth="29040" windowHeight="15720" tabRatio="738" firstSheet="2" activeTab="12" xr2:uid="{00000000-000D-0000-FFFF-FFFF00000000}"/>
  </bookViews>
  <sheets>
    <sheet name="D37 Cartago" sheetId="1" r:id="rId1"/>
    <sheet name="D38 Paraiso" sheetId="2" r:id="rId2"/>
    <sheet name="D39 La Unión" sheetId="3" r:id="rId3"/>
    <sheet name="D40 Jiménez" sheetId="4" r:id="rId4"/>
    <sheet name="D41 Turrialba" sheetId="5" r:id="rId5"/>
    <sheet name="D42 Alvarado" sheetId="6" r:id="rId6"/>
    <sheet name="D43 Oreamuno" sheetId="7" r:id="rId7"/>
    <sheet name="D44 El Guarco" sheetId="8" r:id="rId8"/>
    <sheet name="D45 Tarrazú" sheetId="9" r:id="rId9"/>
    <sheet name="D46 Dota" sheetId="10" r:id="rId10"/>
    <sheet name="D47 León Cortés" sheetId="11" r:id="rId11"/>
    <sheet name="D48 Guadalupe" sheetId="12" r:id="rId12"/>
    <sheet name="Total Región" sheetId="1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 localSheetId="9">[9]DAT2!#REF!</definedName>
    <definedName name="ABANG" localSheetId="10">[10]DAT2!#REF!</definedName>
    <definedName name="ABANG" localSheetId="11">[11]DAT2!#REF!</definedName>
    <definedName name="ABANG" localSheetId="12">[12]DAT2!#REF!</definedName>
    <definedName name="ABANG">[13]DAT2!#REF!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 localSheetId="9">[9]DAT2!#REF!</definedName>
    <definedName name="ACOS" localSheetId="10">[10]DAT2!#REF!</definedName>
    <definedName name="ACOS" localSheetId="11">[11]DAT2!#REF!</definedName>
    <definedName name="ACOS" localSheetId="12">[12]DAT2!#REF!</definedName>
    <definedName name="ACOS">[13]DAT2!#REF!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 localSheetId="9">[9]DAT2!#REF!</definedName>
    <definedName name="ALAJU" localSheetId="10">[10]DAT2!#REF!</definedName>
    <definedName name="ALAJU" localSheetId="11">[11]DAT2!#REF!</definedName>
    <definedName name="ALAJU" localSheetId="12">[12]DAT2!#REF!</definedName>
    <definedName name="ALAJU">[13]DAT2!#REF!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 localSheetId="9">[9]DAT2!#REF!</definedName>
    <definedName name="ALAJUE" localSheetId="10">[10]DAT2!#REF!</definedName>
    <definedName name="ALAJUE" localSheetId="11">[11]DAT2!#REF!</definedName>
    <definedName name="ALAJUE" localSheetId="12">[12]DAT2!#REF!</definedName>
    <definedName name="ALAJUE">[13]DAT2!#REF!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 localSheetId="9">[9]DAT2!#REF!</definedName>
    <definedName name="ALVA" localSheetId="10">[10]DAT2!#REF!</definedName>
    <definedName name="ALVA" localSheetId="11">[11]DAT2!#REF!</definedName>
    <definedName name="ALVA" localSheetId="12">[12]DAT2!#REF!</definedName>
    <definedName name="ALVA">[13]DAT2!#REF!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 localSheetId="9">[9]DAT2!#REF!</definedName>
    <definedName name="ASERR" localSheetId="10">[10]DAT2!#REF!</definedName>
    <definedName name="ASERR" localSheetId="11">[11]DAT2!#REF!</definedName>
    <definedName name="ASERR" localSheetId="12">[12]DAT2!#REF!</definedName>
    <definedName name="ASERR">[13]DAT2!#REF!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 localSheetId="9">[9]DAT2!#REF!</definedName>
    <definedName name="ATE" localSheetId="10">[10]DAT2!#REF!</definedName>
    <definedName name="ATE" localSheetId="11">[11]DAT2!#REF!</definedName>
    <definedName name="ATE" localSheetId="12">[12]DAT2!#REF!</definedName>
    <definedName name="ATE">[13]DAT2!#REF!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 localSheetId="9">[9]DAT2!#REF!</definedName>
    <definedName name="BAGAC" localSheetId="10">[10]DAT2!#REF!</definedName>
    <definedName name="BAGAC" localSheetId="11">[11]DAT2!#REF!</definedName>
    <definedName name="BAGAC" localSheetId="12">[12]DAT2!#REF!</definedName>
    <definedName name="BAGAC">[13]DAT2!#REF!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 localSheetId="9">[9]DAT2!#REF!</definedName>
    <definedName name="BARV" localSheetId="10">[10]DAT2!#REF!</definedName>
    <definedName name="BARV" localSheetId="11">[11]DAT2!#REF!</definedName>
    <definedName name="BARV" localSheetId="12">[12]DAT2!#REF!</definedName>
    <definedName name="BARV">[13]DAT2!#REF!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 localSheetId="9">[9]DAT2!#REF!</definedName>
    <definedName name="BEL" localSheetId="10">[10]DAT2!#REF!</definedName>
    <definedName name="BEL" localSheetId="11">[11]DAT2!#REF!</definedName>
    <definedName name="BEL" localSheetId="12">[12]DAT2!#REF!</definedName>
    <definedName name="BEL">[13]DAT2!#REF!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 localSheetId="9">[9]DAT2!#REF!</definedName>
    <definedName name="BUEN" localSheetId="10">[10]DAT2!#REF!</definedName>
    <definedName name="BUEN" localSheetId="11">[11]DAT2!#REF!</definedName>
    <definedName name="BUEN" localSheetId="12">[12]DAT2!#REF!</definedName>
    <definedName name="BUEN">[13]DAT2!#REF!</definedName>
    <definedName name="CANTÓNN">[13]!Tabla103[#All]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 localSheetId="9">[9]DAT2!#REF!</definedName>
    <definedName name="CAÑ" localSheetId="10">[10]DAT2!#REF!</definedName>
    <definedName name="CAÑ" localSheetId="11">[11]DAT2!#REF!</definedName>
    <definedName name="CAÑ" localSheetId="12">[12]DAT2!#REF!</definedName>
    <definedName name="CAÑ">[13]DAT2!#REF!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 localSheetId="9">[9]DAT2!#REF!</definedName>
    <definedName name="CARR" localSheetId="10">[10]DAT2!#REF!</definedName>
    <definedName name="CARR" localSheetId="11">[11]DAT2!#REF!</definedName>
    <definedName name="CARR" localSheetId="12">[12]DAT2!#REF!</definedName>
    <definedName name="CARR">[13]DAT2!#REF!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 localSheetId="9">[9]DAT2!#REF!</definedName>
    <definedName name="CARTAG" localSheetId="10">[10]DAT2!#REF!</definedName>
    <definedName name="CARTAG" localSheetId="11">[11]DAT2!#REF!</definedName>
    <definedName name="CARTAG" localSheetId="12">[12]DAT2!#REF!</definedName>
    <definedName name="CARTAG">[13]DAT2!#REF!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 localSheetId="9">[9]DAT2!#REF!</definedName>
    <definedName name="CORR" localSheetId="10">[10]DAT2!#REF!</definedName>
    <definedName name="CORR" localSheetId="11">[11]DAT2!#REF!</definedName>
    <definedName name="CORR" localSheetId="12">[12]DAT2!#REF!</definedName>
    <definedName name="CORR">[13]DAT2!#REF!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 localSheetId="9">[9]DAT2!#REF!</definedName>
    <definedName name="COTB" localSheetId="10">[10]DAT2!#REF!</definedName>
    <definedName name="COTB" localSheetId="11">[11]DAT2!#REF!</definedName>
    <definedName name="COTB" localSheetId="12">[12]DAT2!#REF!</definedName>
    <definedName name="COTB">[13]DAT2!#REF!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 localSheetId="9">[9]DAT2!#REF!</definedName>
    <definedName name="CURRI" localSheetId="10">[10]DAT2!#REF!</definedName>
    <definedName name="CURRI" localSheetId="11">[11]DAT2!#REF!</definedName>
    <definedName name="CURRI" localSheetId="12">[12]DAT2!#REF!</definedName>
    <definedName name="CURRI">[13]DAT2!#REF!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 localSheetId="9">[9]DAT2!#REF!</definedName>
    <definedName name="DESAMP" localSheetId="10">[10]DAT2!#REF!</definedName>
    <definedName name="DESAMP" localSheetId="11">[11]DAT2!#REF!</definedName>
    <definedName name="DESAMP" localSheetId="12">[12]DAT2!#REF!</definedName>
    <definedName name="DESAMP">[13]DAT2!#REF!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 localSheetId="9">#REF!</definedName>
    <definedName name="DISTRI" localSheetId="10">#REF!</definedName>
    <definedName name="DISTRI" localSheetId="11">#REF!</definedName>
    <definedName name="DISTRI" localSheetId="12">#REF!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 localSheetId="9">[9]DAT2!#REF!</definedName>
    <definedName name="DOTA" localSheetId="10">[10]DAT2!#REF!</definedName>
    <definedName name="DOTA" localSheetId="11">[11]DAT2!#REF!</definedName>
    <definedName name="DOTA" localSheetId="12">[12]DAT2!#REF!</definedName>
    <definedName name="DOTA">[13]DAT2!#REF!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 localSheetId="9">[9]DAT2!#REF!</definedName>
    <definedName name="ELGUA" localSheetId="10">[10]DAT2!#REF!</definedName>
    <definedName name="ELGUA" localSheetId="11">[11]DAT2!#REF!</definedName>
    <definedName name="ELGUA" localSheetId="12">[12]DAT2!#REF!</definedName>
    <definedName name="ELGUA">[13]DAT2!#REF!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 localSheetId="9">[9]DAT2!#REF!</definedName>
    <definedName name="ESCAZ" localSheetId="10">[10]DAT2!#REF!</definedName>
    <definedName name="ESCAZ" localSheetId="11">[11]DAT2!#REF!</definedName>
    <definedName name="ESCAZ" localSheetId="12">[12]DAT2!#REF!</definedName>
    <definedName name="ESCAZ">[13]DAT2!#REF!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 localSheetId="9">[9]DAT2!#REF!</definedName>
    <definedName name="ESPA" localSheetId="10">[10]DAT2!#REF!</definedName>
    <definedName name="ESPA" localSheetId="11">[11]DAT2!#REF!</definedName>
    <definedName name="ESPA" localSheetId="12">[12]DAT2!#REF!</definedName>
    <definedName name="ESPA">[13]DAT2!#REF!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 localSheetId="9">[9]DAT2!#REF!</definedName>
    <definedName name="FLOR" localSheetId="10">[10]DAT2!#REF!</definedName>
    <definedName name="FLOR" localSheetId="11">[11]DAT2!#REF!</definedName>
    <definedName name="FLOR" localSheetId="12">[12]DAT2!#REF!</definedName>
    <definedName name="FLOR">[13]DAT2!#REF!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 localSheetId="9">[9]DAT2!#REF!</definedName>
    <definedName name="GARAB" localSheetId="10">[10]DAT2!#REF!</definedName>
    <definedName name="GARAB" localSheetId="11">[11]DAT2!#REF!</definedName>
    <definedName name="GARAB" localSheetId="12">[12]DAT2!#REF!</definedName>
    <definedName name="GARAB">[13]DAT2!#REF!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 localSheetId="9">[9]DAT2!#REF!</definedName>
    <definedName name="GOIC" localSheetId="10">[10]DAT2!#REF!</definedName>
    <definedName name="GOIC" localSheetId="11">[11]DAT2!#REF!</definedName>
    <definedName name="GOIC" localSheetId="12">[12]DAT2!#REF!</definedName>
    <definedName name="GOIC">[13]DAT2!#REF!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 localSheetId="9">[9]DAT2!#REF!</definedName>
    <definedName name="GOLF" localSheetId="10">[10]DAT2!#REF!</definedName>
    <definedName name="GOLF" localSheetId="11">[11]DAT2!#REF!</definedName>
    <definedName name="GOLF" localSheetId="12">[12]DAT2!#REF!</definedName>
    <definedName name="GOLF">[13]DAT2!#REF!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 localSheetId="9">[9]DAT2!#REF!</definedName>
    <definedName name="GREC" localSheetId="10">[10]DAT2!#REF!</definedName>
    <definedName name="GREC" localSheetId="11">[11]DAT2!#REF!</definedName>
    <definedName name="GREC" localSheetId="12">[12]DAT2!#REF!</definedName>
    <definedName name="GREC">[13]DAT2!#REF!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 localSheetId="9">[9]DAT2!#REF!</definedName>
    <definedName name="GUAC" localSheetId="10">[10]DAT2!#REF!</definedName>
    <definedName name="GUAC" localSheetId="11">[11]DAT2!#REF!</definedName>
    <definedName name="GUAC" localSheetId="12">[12]DAT2!#REF!</definedName>
    <definedName name="GUAC">[13]DAT2!#REF!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 localSheetId="9">[9]DAT2!#REF!</definedName>
    <definedName name="GUATU" localSheetId="10">[10]DAT2!#REF!</definedName>
    <definedName name="GUATU" localSheetId="11">[11]DAT2!#REF!</definedName>
    <definedName name="GUATU" localSheetId="12">[12]DAT2!#REF!</definedName>
    <definedName name="GUATU">[13]DAT2!#REF!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 localSheetId="9">[9]DAT2!#REF!</definedName>
    <definedName name="HERED" localSheetId="10">[10]DAT2!#REF!</definedName>
    <definedName name="HERED" localSheetId="11">[11]DAT2!#REF!</definedName>
    <definedName name="HERED" localSheetId="12">[12]DAT2!#REF!</definedName>
    <definedName name="HERED">[13]DAT2!#REF!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 localSheetId="9">[9]DAT2!#REF!</definedName>
    <definedName name="HOJA" localSheetId="10">[10]DAT2!#REF!</definedName>
    <definedName name="HOJA" localSheetId="11">[11]DAT2!#REF!</definedName>
    <definedName name="HOJA" localSheetId="12">[12]DAT2!#REF!</definedName>
    <definedName name="HOJA">[13]DAT2!#REF!</definedName>
    <definedName name="JE">[13]!Tabla103[#All]</definedName>
    <definedName name="jes">[13]!Tabla103[#All]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 localSheetId="9">[9]DAT2!#REF!</definedName>
    <definedName name="JIME" localSheetId="10">[10]DAT2!#REF!</definedName>
    <definedName name="JIME" localSheetId="11">[11]DAT2!#REF!</definedName>
    <definedName name="JIME" localSheetId="12">[12]DAT2!#REF!</definedName>
    <definedName name="JIME">[13]DAT2!#REF!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 localSheetId="9">[9]DAT2!#REF!</definedName>
    <definedName name="LACRU" localSheetId="10">[10]DAT2!#REF!</definedName>
    <definedName name="LACRU" localSheetId="11">[11]DAT2!#REF!</definedName>
    <definedName name="LACRU" localSheetId="12">[12]DAT2!#REF!</definedName>
    <definedName name="LACRU">[13]DAT2!#REF!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 localSheetId="9">[9]DAT2!#REF!</definedName>
    <definedName name="LAUN" localSheetId="10">[10]DAT2!#REF!</definedName>
    <definedName name="LAUN" localSheetId="11">[11]DAT2!#REF!</definedName>
    <definedName name="LAUN" localSheetId="12">[12]DAT2!#REF!</definedName>
    <definedName name="LAUN">[13]DAT2!#REF!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 localSheetId="9">[9]DAT1!#REF!</definedName>
    <definedName name="LEO" localSheetId="10">[10]DAT1!#REF!</definedName>
    <definedName name="LEO" localSheetId="11">[11]DAT1!#REF!</definedName>
    <definedName name="LEO" localSheetId="12">[12]DAT1!#REF!</definedName>
    <definedName name="LEO">[13]DAT1!#REF!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 localSheetId="9">[9]DAT2!#REF!</definedName>
    <definedName name="LIB" localSheetId="10">[10]DAT2!#REF!</definedName>
    <definedName name="LIB" localSheetId="11">[11]DAT2!#REF!</definedName>
    <definedName name="LIB" localSheetId="12">[12]DAT2!#REF!</definedName>
    <definedName name="LIB">[13]DAT2!#REF!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 localSheetId="9">[9]DAT2!#REF!</definedName>
    <definedName name="LIM" localSheetId="10">[10]DAT2!#REF!</definedName>
    <definedName name="LIM" localSheetId="11">[11]DAT2!#REF!</definedName>
    <definedName name="LIM" localSheetId="12">[12]DAT2!#REF!</definedName>
    <definedName name="LIM">[13]DAT2!#REF!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 localSheetId="9">[9]DAT2!#REF!</definedName>
    <definedName name="LOSCHI" localSheetId="10">[10]DAT2!#REF!</definedName>
    <definedName name="LOSCHI" localSheetId="11">[11]DAT2!#REF!</definedName>
    <definedName name="LOSCHI" localSheetId="12">[12]DAT2!#REF!</definedName>
    <definedName name="LOSCHI">[13]DAT2!#REF!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 localSheetId="9">[9]DAT2!#REF!</definedName>
    <definedName name="MAT" localSheetId="10">[10]DAT2!#REF!</definedName>
    <definedName name="MAT" localSheetId="11">[11]DAT2!#REF!</definedName>
    <definedName name="MAT" localSheetId="12">[12]DAT2!#REF!</definedName>
    <definedName name="MAT">[13]DAT2!#REF!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 localSheetId="9">[9]DAT2!#REF!</definedName>
    <definedName name="MONTEV" localSheetId="10">[10]DAT2!#REF!</definedName>
    <definedName name="MONTEV" localSheetId="11">[11]DAT2!#REF!</definedName>
    <definedName name="MONTEV" localSheetId="12">[12]DAT2!#REF!</definedName>
    <definedName name="MONTEV">[13]DAT2!#REF!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 localSheetId="9">[9]DAT2!#REF!</definedName>
    <definedName name="MONTOC" localSheetId="10">[10]DAT2!#REF!</definedName>
    <definedName name="MONTOC" localSheetId="11">[11]DAT2!#REF!</definedName>
    <definedName name="MONTOC" localSheetId="12">[12]DAT2!#REF!</definedName>
    <definedName name="MONTOC">[13]DAT2!#REF!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 localSheetId="9">[9]DAT2!#REF!</definedName>
    <definedName name="MONTOR" localSheetId="10">[10]DAT2!#REF!</definedName>
    <definedName name="MONTOR" localSheetId="11">[11]DAT2!#REF!</definedName>
    <definedName name="MONTOR" localSheetId="12">[12]DAT2!#REF!</definedName>
    <definedName name="MONTOR">[13]DAT2!#REF!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 localSheetId="9">[9]DAT2!#REF!</definedName>
    <definedName name="MOR" localSheetId="10">[10]DAT2!#REF!</definedName>
    <definedName name="MOR" localSheetId="11">[11]DAT2!#REF!</definedName>
    <definedName name="MOR" localSheetId="12">[12]DAT2!#REF!</definedName>
    <definedName name="MOR">[13]DAT2!#REF!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 localSheetId="9">[9]DAT2!#REF!</definedName>
    <definedName name="MORAV" localSheetId="10">[10]DAT2!#REF!</definedName>
    <definedName name="MORAV" localSheetId="11">[11]DAT2!#REF!</definedName>
    <definedName name="MORAV" localSheetId="12">[12]DAT2!#REF!</definedName>
    <definedName name="MORAV">[13]DAT2!#REF!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 localSheetId="9">[9]DAT2!#REF!</definedName>
    <definedName name="NAND" localSheetId="10">[10]DAT2!#REF!</definedName>
    <definedName name="NAND" localSheetId="11">[11]DAT2!#REF!</definedName>
    <definedName name="NAND" localSheetId="12">[12]DAT2!#REF!</definedName>
    <definedName name="NAND">[13]DAT2!#REF!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 localSheetId="9">[9]DAT2!#REF!</definedName>
    <definedName name="NARA" localSheetId="10">[10]DAT2!#REF!</definedName>
    <definedName name="NARA" localSheetId="11">[11]DAT2!#REF!</definedName>
    <definedName name="NARA" localSheetId="12">[12]DAT2!#REF!</definedName>
    <definedName name="NARA">[13]DAT2!#REF!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 localSheetId="9">[9]DAT2!#REF!</definedName>
    <definedName name="NICO" localSheetId="10">[10]DAT2!#REF!</definedName>
    <definedName name="NICO" localSheetId="11">[11]DAT2!#REF!</definedName>
    <definedName name="NICO" localSheetId="12">[12]DAT2!#REF!</definedName>
    <definedName name="NICO">[13]DAT2!#REF!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 localSheetId="9">[9]DAT2!#REF!</definedName>
    <definedName name="OREAMU" localSheetId="10">[10]DAT2!#REF!</definedName>
    <definedName name="OREAMU" localSheetId="11">[11]DAT2!#REF!</definedName>
    <definedName name="OREAMU" localSheetId="12">[12]DAT2!#REF!</definedName>
    <definedName name="OREAMU">[13]DAT2!#REF!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 localSheetId="9">[9]DAT2!#REF!</definedName>
    <definedName name="OROT" localSheetId="10">[10]DAT2!#REF!</definedName>
    <definedName name="OROT" localSheetId="11">[11]DAT2!#REF!</definedName>
    <definedName name="OROT" localSheetId="12">[12]DAT2!#REF!</definedName>
    <definedName name="OROT">[13]DAT2!#REF!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 localSheetId="9">[9]DAT2!#REF!</definedName>
    <definedName name="OSA" localSheetId="10">[10]DAT2!#REF!</definedName>
    <definedName name="OSA" localSheetId="11">[11]DAT2!#REF!</definedName>
    <definedName name="OSA" localSheetId="12">[12]DAT2!#REF!</definedName>
    <definedName name="OSA">[13]DAT2!#REF!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 localSheetId="9">[9]DAT2!#REF!</definedName>
    <definedName name="PALMA" localSheetId="10">[10]DAT2!#REF!</definedName>
    <definedName name="PALMA" localSheetId="11">[11]DAT2!#REF!</definedName>
    <definedName name="PALMA" localSheetId="12">[12]DAT2!#REF!</definedName>
    <definedName name="PALMA">[13]DAT2!#REF!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 localSheetId="9">[9]DAT2!#REF!</definedName>
    <definedName name="PARA" localSheetId="10">[10]DAT2!#REF!</definedName>
    <definedName name="PARA" localSheetId="11">[11]DAT2!#REF!</definedName>
    <definedName name="PARA" localSheetId="12">[12]DAT2!#REF!</definedName>
    <definedName name="PARA">[13]DAT2!#REF!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 localSheetId="9">[9]DAT2!#REF!</definedName>
    <definedName name="PARR" localSheetId="10">[10]DAT2!#REF!</definedName>
    <definedName name="PARR" localSheetId="11">[11]DAT2!#REF!</definedName>
    <definedName name="PARR" localSheetId="12">[12]DAT2!#REF!</definedName>
    <definedName name="PARR">[13]DAT2!#REF!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 localSheetId="9">[9]DAT2!#REF!</definedName>
    <definedName name="POA" localSheetId="10">[10]DAT2!#REF!</definedName>
    <definedName name="POA" localSheetId="11">[11]DAT2!#REF!</definedName>
    <definedName name="POA" localSheetId="12">[12]DAT2!#REF!</definedName>
    <definedName name="POA">[13]DAT2!#REF!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 localSheetId="9">[9]DAT2!#REF!</definedName>
    <definedName name="POCOC" localSheetId="10">[10]DAT2!#REF!</definedName>
    <definedName name="POCOC" localSheetId="11">[11]DAT2!#REF!</definedName>
    <definedName name="POCOC" localSheetId="12">[12]DAT2!#REF!</definedName>
    <definedName name="POCOC">[13]DAT2!#REF!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 localSheetId="9">[9]DAT2!#REF!</definedName>
    <definedName name="PUERTOJ" localSheetId="10">[10]DAT2!#REF!</definedName>
    <definedName name="PUERTOJ" localSheetId="11">[11]DAT2!#REF!</definedName>
    <definedName name="PUERTOJ" localSheetId="12">[12]DAT2!#REF!</definedName>
    <definedName name="PUERTOJ">[13]DAT2!#REF!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 localSheetId="9">[9]DAT2!#REF!</definedName>
    <definedName name="PUNTAR" localSheetId="10">[10]DAT2!#REF!</definedName>
    <definedName name="PUNTAR" localSheetId="11">[11]DAT2!#REF!</definedName>
    <definedName name="PUNTAR" localSheetId="12">[12]DAT2!#REF!</definedName>
    <definedName name="PUNTAR">[13]DAT2!#REF!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 localSheetId="9">[9]DAT2!#REF!</definedName>
    <definedName name="PURIS" localSheetId="10">[10]DAT2!#REF!</definedName>
    <definedName name="PURIS" localSheetId="11">[11]DAT2!#REF!</definedName>
    <definedName name="PURIS" localSheetId="12">[12]DAT2!#REF!</definedName>
    <definedName name="PURIS">[13]DAT2!#REF!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 localSheetId="9">[9]DAT2!#REF!</definedName>
    <definedName name="PZ" localSheetId="10">[10]DAT2!#REF!</definedName>
    <definedName name="PZ" localSheetId="11">[11]DAT2!#REF!</definedName>
    <definedName name="PZ" localSheetId="12">[12]DAT2!#REF!</definedName>
    <definedName name="PZ">[13]DAT2!#REF!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 localSheetId="9">[9]DAT2!#REF!</definedName>
    <definedName name="QUEP" localSheetId="10">[10]DAT2!#REF!</definedName>
    <definedName name="QUEP" localSheetId="11">[11]DAT2!#REF!</definedName>
    <definedName name="QUEP" localSheetId="12">[12]DAT2!#REF!</definedName>
    <definedName name="QUEP">[13]DAT2!#REF!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 localSheetId="9">[9]DAT2!#REF!</definedName>
    <definedName name="RIOCU" localSheetId="10">[10]DAT2!#REF!</definedName>
    <definedName name="RIOCU" localSheetId="11">[11]DAT2!#REF!</definedName>
    <definedName name="RIOCU" localSheetId="12">[12]DAT2!#REF!</definedName>
    <definedName name="RIOCU">[13]DAT2!#REF!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 localSheetId="9">[9]DAT2!#REF!</definedName>
    <definedName name="SANCAR" localSheetId="10">[10]DAT2!#REF!</definedName>
    <definedName name="SANCAR" localSheetId="11">[11]DAT2!#REF!</definedName>
    <definedName name="SANCAR" localSheetId="12">[12]DAT2!#REF!</definedName>
    <definedName name="SANCAR">[13]DAT2!#REF!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 localSheetId="9">[9]DAT2!#REF!</definedName>
    <definedName name="SANISI" localSheetId="10">[10]DAT2!#REF!</definedName>
    <definedName name="SANISI" localSheetId="11">[11]DAT2!#REF!</definedName>
    <definedName name="SANISI" localSheetId="12">[12]DAT2!#REF!</definedName>
    <definedName name="SANISI">[13]DAT2!#REF!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 localSheetId="9">[9]DAT2!#REF!</definedName>
    <definedName name="SANMAT" localSheetId="10">[10]DAT2!#REF!</definedName>
    <definedName name="SANMAT" localSheetId="11">[11]DAT2!#REF!</definedName>
    <definedName name="SANMAT" localSheetId="12">[12]DAT2!#REF!</definedName>
    <definedName name="SANMAT">[13]DAT2!#REF!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 localSheetId="9">[9]DAT2!#REF!</definedName>
    <definedName name="SANPA" localSheetId="10">[10]DAT2!#REF!</definedName>
    <definedName name="SANPA" localSheetId="11">[11]DAT2!#REF!</definedName>
    <definedName name="SANPA" localSheetId="12">[12]DAT2!#REF!</definedName>
    <definedName name="SANPA">[13]DAT2!#REF!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 localSheetId="9">[9]DAT2!#REF!</definedName>
    <definedName name="SANRA" localSheetId="10">[10]DAT2!#REF!</definedName>
    <definedName name="SANRA" localSheetId="11">[11]DAT2!#REF!</definedName>
    <definedName name="SANRA" localSheetId="12">[12]DAT2!#REF!</definedName>
    <definedName name="SANRA">[13]DAT2!#REF!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 localSheetId="9">[9]DAT2!#REF!</definedName>
    <definedName name="SANRAF" localSheetId="10">[10]DAT2!#REF!</definedName>
    <definedName name="SANRAF" localSheetId="11">[11]DAT2!#REF!</definedName>
    <definedName name="SANRAF" localSheetId="12">[12]DAT2!#REF!</definedName>
    <definedName name="SANRAF">[13]DAT2!#REF!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 localSheetId="9">[9]DAT2!#REF!</definedName>
    <definedName name="SANTA" localSheetId="10">[10]DAT2!#REF!</definedName>
    <definedName name="SANTA" localSheetId="11">[11]DAT2!#REF!</definedName>
    <definedName name="SANTA" localSheetId="12">[12]DAT2!#REF!</definedName>
    <definedName name="SANTA">[13]DAT2!#REF!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 localSheetId="9">[9]DAT2!#REF!</definedName>
    <definedName name="SANTABA" localSheetId="10">[10]DAT2!#REF!</definedName>
    <definedName name="SANTABA" localSheetId="11">[11]DAT2!#REF!</definedName>
    <definedName name="SANTABA" localSheetId="12">[12]DAT2!#REF!</definedName>
    <definedName name="SANTABA">[13]DAT2!#REF!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 localSheetId="9">[9]DAT2!#REF!</definedName>
    <definedName name="SANTACRU" localSheetId="10">[10]DAT2!#REF!</definedName>
    <definedName name="SANTACRU" localSheetId="11">[11]DAT2!#REF!</definedName>
    <definedName name="SANTACRU" localSheetId="12">[12]DAT2!#REF!</definedName>
    <definedName name="SANTACRU">[13]DAT2!#REF!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 localSheetId="9">[9]DAT2!#REF!</definedName>
    <definedName name="SANTODO" localSheetId="10">[10]DAT2!#REF!</definedName>
    <definedName name="SANTODO" localSheetId="11">[11]DAT2!#REF!</definedName>
    <definedName name="SANTODO" localSheetId="12">[12]DAT2!#REF!</definedName>
    <definedName name="SANTODO">[13]DAT2!#REF!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 localSheetId="9">[9]DAT2!#REF!</definedName>
    <definedName name="SAR" localSheetId="10">[10]DAT2!#REF!</definedName>
    <definedName name="SAR" localSheetId="11">[11]DAT2!#REF!</definedName>
    <definedName name="SAR" localSheetId="12">[12]DAT2!#REF!</definedName>
    <definedName name="SAR">[13]DAT2!#REF!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 localSheetId="9">[9]DAT2!#REF!</definedName>
    <definedName name="SARAP" localSheetId="10">[10]DAT2!#REF!</definedName>
    <definedName name="SARAP" localSheetId="11">[11]DAT2!#REF!</definedName>
    <definedName name="SARAP" localSheetId="12">[12]DAT2!#REF!</definedName>
    <definedName name="SARAP">[13]DAT2!#REF!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 localSheetId="9">[9]DAT2!#REF!</definedName>
    <definedName name="SIQUIRR" localSheetId="10">[10]DAT2!#REF!</definedName>
    <definedName name="SIQUIRR" localSheetId="11">[11]DAT2!#REF!</definedName>
    <definedName name="SIQUIRR" localSheetId="12">[12]DAT2!#REF!</definedName>
    <definedName name="SIQUIRR">[13]DAT2!#REF!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 localSheetId="9">[9]DAT2!#REF!</definedName>
    <definedName name="TALAMA" localSheetId="10">[10]DAT2!#REF!</definedName>
    <definedName name="TALAMA" localSheetId="11">[11]DAT2!#REF!</definedName>
    <definedName name="TALAMA" localSheetId="12">[12]DAT2!#REF!</definedName>
    <definedName name="TALAMA">[13]DAT2!#REF!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 localSheetId="9">[9]DAT2!#REF!</definedName>
    <definedName name="TARRAZ" localSheetId="10">[10]DAT2!#REF!</definedName>
    <definedName name="TARRAZ" localSheetId="11">[11]DAT2!#REF!</definedName>
    <definedName name="TARRAZ" localSheetId="12">[12]DAT2!#REF!</definedName>
    <definedName name="TARRAZ">[13]DAT2!#REF!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 localSheetId="9">[9]DAT2!#REF!</definedName>
    <definedName name="TIB" localSheetId="10">[10]DAT2!#REF!</definedName>
    <definedName name="TIB" localSheetId="11">[11]DAT2!#REF!</definedName>
    <definedName name="TIB" localSheetId="12">[12]DAT2!#REF!</definedName>
    <definedName name="TIB">[13]DAT2!#REF!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 localSheetId="9">[9]DAT2!#REF!</definedName>
    <definedName name="TILAR" localSheetId="10">[10]DAT2!#REF!</definedName>
    <definedName name="TILAR" localSheetId="11">[11]DAT2!#REF!</definedName>
    <definedName name="TILAR" localSheetId="12">[12]DAT2!#REF!</definedName>
    <definedName name="TILAR">[13]DAT2!#REF!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 localSheetId="9">[9]DAT2!#REF!</definedName>
    <definedName name="TURR" localSheetId="10">[10]DAT2!#REF!</definedName>
    <definedName name="TURR" localSheetId="11">[11]DAT2!#REF!</definedName>
    <definedName name="TURR" localSheetId="12">[12]DAT2!#REF!</definedName>
    <definedName name="TURR">[13]DAT2!#REF!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 localSheetId="9">[9]DAT2!#REF!</definedName>
    <definedName name="TURRI" localSheetId="10">[10]DAT2!#REF!</definedName>
    <definedName name="TURRI" localSheetId="11">[11]DAT2!#REF!</definedName>
    <definedName name="TURRI" localSheetId="12">[12]DAT2!#REF!</definedName>
    <definedName name="TURRI">[13]DAT2!#REF!</definedName>
    <definedName name="U">[13]!Tabla103[#All]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 localSheetId="9">[9]DAT2!#REF!</definedName>
    <definedName name="UPA" localSheetId="10">[10]DAT2!#REF!</definedName>
    <definedName name="UPA" localSheetId="11">[11]DAT2!#REF!</definedName>
    <definedName name="UPA" localSheetId="12">[12]DAT2!#REF!</definedName>
    <definedName name="UPA">[13]DAT2!#REF!</definedName>
    <definedName name="uu">[13]!Tabla103[#All]</definedName>
    <definedName name="uum">[13]!Tabla103[#All]</definedName>
    <definedName name="uuu">[13]!Tabla103[#All]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 localSheetId="9">[9]DAT2!#REF!</definedName>
    <definedName name="VASQUE" localSheetId="10">[10]DAT2!#REF!</definedName>
    <definedName name="VASQUE" localSheetId="11">[11]DAT2!#REF!</definedName>
    <definedName name="VASQUE" localSheetId="12">[12]DAT2!#REF!</definedName>
    <definedName name="VASQUE">[13]DAT2!#REF!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 localSheetId="9">[9]DAT2!#REF!</definedName>
    <definedName name="ZAR" localSheetId="10">[10]DAT2!#REF!</definedName>
    <definedName name="ZAR" localSheetId="11">[11]DAT2!#REF!</definedName>
    <definedName name="ZAR" localSheetId="12">[12]DAT2!#REF!</definedName>
    <definedName name="ZAR">[13]DAT2!#REF!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12" l="1"/>
  <c r="C13" i="13" s="1"/>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C36" i="11"/>
  <c r="C12" i="13" s="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C34" i="10"/>
  <c r="C11" i="13" s="1"/>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38" i="9"/>
  <c r="C10" i="13" s="1"/>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C38" i="8"/>
  <c r="C9" i="13" s="1"/>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C38" i="7"/>
  <c r="C8" i="13" s="1"/>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C39" i="6"/>
  <c r="C7" i="13" s="1"/>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8" i="5"/>
  <c r="C6" i="13" s="1"/>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6" i="4"/>
  <c r="C5" i="13" s="1"/>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7" i="3"/>
  <c r="C4" i="13" s="1"/>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6" i="2"/>
  <c r="C3" i="13" s="1"/>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6" i="1"/>
  <c r="C2" i="13" s="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6" i="12" l="1"/>
  <c r="D36" i="11"/>
  <c r="D34" i="10"/>
  <c r="D38" i="9"/>
  <c r="D10" i="13" s="1"/>
  <c r="E10" i="13" s="1"/>
  <c r="D38" i="8"/>
  <c r="D9" i="13" s="1"/>
  <c r="E9" i="13" s="1"/>
  <c r="D38" i="7"/>
  <c r="D39" i="6"/>
  <c r="D38" i="5"/>
  <c r="D36" i="4"/>
  <c r="D37" i="3"/>
  <c r="D36" i="2"/>
  <c r="D36" i="1"/>
  <c r="D2" i="13" s="1"/>
  <c r="E2" i="13" s="1"/>
  <c r="D37" i="11" l="1"/>
  <c r="D12" i="13"/>
  <c r="E12" i="13" s="1"/>
  <c r="D35" i="10"/>
  <c r="D11" i="13"/>
  <c r="E11" i="13" s="1"/>
  <c r="D39" i="9"/>
  <c r="D39" i="8"/>
  <c r="D39" i="7"/>
  <c r="D8" i="13"/>
  <c r="E8" i="13" s="1"/>
  <c r="D40" i="6"/>
  <c r="D7" i="13"/>
  <c r="E7" i="13" s="1"/>
  <c r="D39" i="5"/>
  <c r="D6" i="13"/>
  <c r="E6" i="13" s="1"/>
  <c r="D37" i="4"/>
  <c r="D5" i="13"/>
  <c r="E5" i="13" s="1"/>
  <c r="D37" i="2"/>
  <c r="D3" i="13"/>
  <c r="E3" i="13" s="1"/>
  <c r="D37" i="12"/>
  <c r="D13" i="13"/>
  <c r="E13" i="13" s="1"/>
  <c r="D38" i="3"/>
  <c r="D4" i="13"/>
  <c r="E4" i="13" s="1"/>
  <c r="D37" i="1"/>
  <c r="D14" i="13" l="1"/>
  <c r="C14" i="13"/>
  <c r="E14" i="13" l="1"/>
</calcChain>
</file>

<file path=xl/sharedStrings.xml><?xml version="1.0" encoding="utf-8"?>
<sst xmlns="http://schemas.openxmlformats.org/spreadsheetml/2006/main" count="721" uniqueCount="107">
  <si>
    <t>D37 CARTAGO</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</si>
  <si>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</si>
  <si>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</si>
  <si>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</si>
  <si>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</si>
  <si>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</si>
  <si>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</si>
  <si>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</si>
  <si>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</si>
  <si>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</si>
  <si>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</si>
  <si>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</si>
  <si>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</si>
  <si>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</si>
  <si>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</si>
  <si>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</si>
  <si>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</si>
  <si>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</si>
  <si>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</si>
  <si>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</si>
  <si>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</si>
  <si>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</si>
  <si>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</si>
  <si>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</si>
  <si>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</si>
  <si>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D38 PARAISO</t>
  </si>
  <si>
    <t>D39 LA UNIÓN</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</si>
  <si>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</si>
  <si>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D40 JIMÉNEZ</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</si>
  <si>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</si>
  <si>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áreas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</si>
  <si>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</si>
  <si>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D41 TURIALBA</t>
  </si>
  <si>
    <t>Cuatro Charlas de Cultura Preventiva (Una por año) con énfasis en temas de estafa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</si>
  <si>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ante Estafas"  dirigidas a las comunidades integradas al Programa de Seguridad Comunitaria, que se localicen, en los distritos que contemplan las área georreferenciadas del informe territorial de la Estrategia Sembremos Seguridad 2024, una por año.</t>
  </si>
  <si>
    <t>D42 ALVARADO</t>
  </si>
  <si>
    <t>Cuatro comercios capacitados e integrados al Programa  de Seguridad Comercial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</si>
  <si>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</si>
  <si>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Cuatro capacitaciones, en el tema de "Cultura Preventiva en zonas de riesgo",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</si>
  <si>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 venta de drogas"  dirigidas a las comunidades integradas al Programa de Seguridad Comunitaria que se localicen, en los distritos que contemplan las área georreferenciadas del informe territorial de la Estrategia Sembremos Seguridad 2024, una por año.</t>
  </si>
  <si>
    <t>D43 OREAMUNO</t>
  </si>
  <si>
    <t>D44 EL GUARCO</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</si>
  <si>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áreas georreferenciadas del informe territorial de la Estrategia Sembremos Seguridad 2024, una por año.</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</si>
  <si>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</si>
  <si>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capacitaciones, en el tema de "Denuncia en casos de receptación ",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</si>
  <si>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en casos de receptación"  dirigidas a las comunidades integradas al Programa de Seguridad Comunitaria, que se localicen, en los distritos que contemplan las área georreferenciadas del informe territorial de la Estrategia Sembremos Seguridad 2024, una por año.</t>
  </si>
  <si>
    <t>D45 TARRAZÚ</t>
  </si>
  <si>
    <t>D46 DOTA</t>
  </si>
  <si>
    <t>D47 LEÓN CORTÉS</t>
  </si>
  <si>
    <t>D48 GUADALUPE</t>
  </si>
  <si>
    <t>Delegación</t>
  </si>
  <si>
    <t>Promedio Regional</t>
  </si>
  <si>
    <t>D37</t>
  </si>
  <si>
    <t>D38</t>
  </si>
  <si>
    <t>D39</t>
  </si>
  <si>
    <t>D40</t>
  </si>
  <si>
    <t>D41</t>
  </si>
  <si>
    <t>D42</t>
  </si>
  <si>
    <t>D43</t>
  </si>
  <si>
    <t>D44</t>
  </si>
  <si>
    <t>D45</t>
  </si>
  <si>
    <t>D46</t>
  </si>
  <si>
    <t>D47</t>
  </si>
  <si>
    <t>D48</t>
  </si>
  <si>
    <t>CARTAGO</t>
  </si>
  <si>
    <t>PARAISO</t>
  </si>
  <si>
    <t>LA UNIÓN</t>
  </si>
  <si>
    <t>JIMÉNEZ</t>
  </si>
  <si>
    <t>TURRIALBA</t>
  </si>
  <si>
    <t>ALVARADO</t>
  </si>
  <si>
    <t>OREAMUNO</t>
  </si>
  <si>
    <t>EL GUARCO</t>
  </si>
  <si>
    <t>TARRAZÚ</t>
  </si>
  <si>
    <t>DOTA</t>
  </si>
  <si>
    <t>LEÓN CORTÉS</t>
  </si>
  <si>
    <t>GUADALUPE</t>
  </si>
  <si>
    <t>AVANCE</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</si>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</sst>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name val="Aptos Narrow"/>
      <family val="2"/>
      <scheme val="minor"/>
    </font>
    <font>
      <b/>
      <sz val="9"/>
      <color rgb="FF000000"/>
      <name val="Calibri"/>
      <family val="2"/>
    </font>
    <font>
      <b/>
      <sz val="9"/>
      <color theme="1"/>
      <name val="Calibri"/>
      <family val="2"/>
    </font>
    <font>
      <b/>
      <sz val="8"/>
      <name val="Aptos Narrow"/>
      <family val="2"/>
      <scheme val="minor"/>
    </font>
    <font>
      <sz val="11"/>
      <color rgb="FFFFC000"/>
      <name val="Aptos Narrow"/>
      <family val="2"/>
      <scheme val="minor"/>
    </font>
    <font>
      <sz val="11"/>
      <name val="Aptos Narrow"/>
      <family val="2"/>
      <scheme val="minor"/>
    </font>
    <font>
      <b/>
      <sz val="11"/>
      <color rgb="FFFFC000"/>
      <name val="Aptos Narrow"/>
      <family val="2"/>
      <scheme val="minor"/>
    </font>
    <font>
      <sz val="8"/>
      <name val="Aptos Narrow"/>
      <family val="2"/>
      <scheme val="minor"/>
    </font>
    <font>
      <sz val="10"/>
      <color rgb="FF000000"/>
      <name val="Times New Roman"/>
      <family val="1"/>
    </font>
    <font>
      <b/>
      <sz val="9"/>
      <name val="Arial"/>
      <family val="2"/>
    </font>
  </fonts>
  <fills count="23">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theme="4" tint="0.79989013336588644"/>
        <bgColor indexed="64"/>
      </patternFill>
    </fill>
    <fill>
      <patternFill patternType="solid">
        <fgColor theme="9" tint="0.79989013336588644"/>
        <bgColor indexed="64"/>
      </patternFill>
    </fill>
    <fill>
      <patternFill patternType="solid">
        <fgColor theme="5" tint="0.79989013336588644"/>
        <bgColor indexed="64"/>
      </patternFill>
    </fill>
    <fill>
      <patternFill patternType="solid">
        <fgColor rgb="FFE2EFD9"/>
        <bgColor indexed="64"/>
      </patternFill>
    </fill>
    <fill>
      <patternFill patternType="solid">
        <fgColor theme="4" tint="0.79998168889431442"/>
        <bgColor theme="4" tint="0.79998168889431442"/>
      </patternFill>
    </fill>
    <fill>
      <patternFill patternType="solid">
        <fgColor rgb="FFE2EFD9"/>
        <bgColor rgb="FFE2EFD9"/>
      </patternFill>
    </fill>
    <fill>
      <patternFill patternType="solid">
        <fgColor theme="9" tint="0.79998168889431442"/>
        <bgColor theme="9" tint="0.79998168889431442"/>
      </patternFill>
    </fill>
    <fill>
      <patternFill patternType="solid">
        <fgColor rgb="FFFBE4D5"/>
        <bgColor rgb="FFFBE4D5"/>
      </patternFill>
    </fill>
    <fill>
      <patternFill patternType="solid">
        <fgColor theme="5" tint="0.79998168889431442"/>
        <bgColor theme="5" tint="0.79998168889431442"/>
      </patternFill>
    </fill>
    <fill>
      <patternFill patternType="solid">
        <fgColor theme="1"/>
        <bgColor indexed="64"/>
      </patternFill>
    </fill>
    <fill>
      <patternFill patternType="solid">
        <fgColor rgb="FFFFC000"/>
        <bgColor indexed="64"/>
      </patternFill>
    </fill>
    <fill>
      <patternFill patternType="solid">
        <fgColor theme="0"/>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0" tint="-0.14999847407452621"/>
        <bgColor indexed="64"/>
      </patternFill>
    </fill>
  </fills>
  <borders count="19">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4" borderId="6" xfId="0" applyFont="1" applyFill="1" applyBorder="1" applyAlignment="1">
      <alignment horizontal="left" vertical="center" wrapText="1"/>
    </xf>
    <xf numFmtId="0" fontId="4" fillId="5" borderId="7" xfId="0" applyFont="1" applyFill="1" applyBorder="1" applyAlignment="1">
      <alignment horizontal="center" vertical="center" wrapText="1"/>
    </xf>
    <xf numFmtId="0" fontId="5" fillId="6" borderId="6" xfId="0" applyFont="1" applyFill="1" applyBorder="1" applyAlignment="1">
      <alignment horizontal="left" vertical="center" wrapText="1"/>
    </xf>
    <xf numFmtId="0" fontId="4" fillId="7" borderId="9"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2" fillId="0" borderId="0" xfId="0" applyFont="1" applyProtection="1">
      <protection locked="0"/>
    </xf>
    <xf numFmtId="0" fontId="4" fillId="8" borderId="4"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11"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3" borderId="9" xfId="0" applyFont="1" applyFill="1" applyBorder="1" applyAlignment="1">
      <alignment horizontal="left" vertical="center" wrapText="1"/>
    </xf>
    <xf numFmtId="0" fontId="6" fillId="12" borderId="6"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6" fillId="15" borderId="6"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11" borderId="6" xfId="0" applyFont="1" applyFill="1" applyBorder="1" applyAlignment="1">
      <alignment horizontal="left" vertical="center" wrapText="1"/>
    </xf>
    <xf numFmtId="0" fontId="6" fillId="6" borderId="6"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5" borderId="9" xfId="0" applyFont="1" applyFill="1" applyBorder="1" applyAlignment="1">
      <alignment horizontal="left" vertical="center" wrapText="1"/>
    </xf>
    <xf numFmtId="0" fontId="6" fillId="3" borderId="9" xfId="0" applyFont="1" applyFill="1" applyBorder="1" applyAlignment="1">
      <alignment horizontal="left" vertical="center" wrapText="1"/>
    </xf>
    <xf numFmtId="0" fontId="7" fillId="5" borderId="9" xfId="0" applyFont="1" applyFill="1" applyBorder="1" applyAlignment="1">
      <alignment horizontal="left" vertical="center" wrapText="1"/>
    </xf>
    <xf numFmtId="0" fontId="10" fillId="2" borderId="11" xfId="0" applyFont="1" applyFill="1" applyBorder="1"/>
    <xf numFmtId="0" fontId="9" fillId="19" borderId="9" xfId="0" applyFont="1" applyFill="1" applyBorder="1"/>
    <xf numFmtId="0" fontId="8" fillId="17" borderId="0" xfId="0" applyFont="1" applyFill="1" applyAlignment="1">
      <alignment horizontal="center"/>
    </xf>
    <xf numFmtId="0" fontId="0" fillId="0" borderId="9" xfId="0" applyBorder="1" applyAlignment="1">
      <alignment horizontal="center"/>
    </xf>
    <xf numFmtId="1" fontId="0" fillId="0" borderId="9" xfId="0" applyNumberFormat="1" applyBorder="1" applyAlignment="1">
      <alignment horizontal="center"/>
    </xf>
    <xf numFmtId="0" fontId="2" fillId="18" borderId="0" xfId="0" applyFont="1" applyFill="1" applyAlignment="1">
      <alignment horizontal="center"/>
    </xf>
    <xf numFmtId="0" fontId="2" fillId="19" borderId="9" xfId="0" applyFont="1" applyFill="1" applyBorder="1" applyAlignment="1">
      <alignment horizontal="center"/>
    </xf>
    <xf numFmtId="1" fontId="4" fillId="0" borderId="5" xfId="0" applyNumberFormat="1" applyFont="1" applyBorder="1" applyAlignment="1">
      <alignment horizontal="center" vertical="center" wrapText="1"/>
    </xf>
    <xf numFmtId="0" fontId="1" fillId="2" borderId="0" xfId="0" applyFont="1" applyFill="1" applyAlignment="1">
      <alignment horizontal="center"/>
    </xf>
    <xf numFmtId="0" fontId="0" fillId="0" borderId="9" xfId="0" applyBorder="1" applyProtection="1">
      <protection locked="0"/>
    </xf>
    <xf numFmtId="0" fontId="0" fillId="0" borderId="9" xfId="0" applyBorder="1" applyAlignment="1">
      <alignment horizontal="center"/>
    </xf>
    <xf numFmtId="0" fontId="3" fillId="20" borderId="0" xfId="0" applyFont="1" applyFill="1" applyProtection="1">
      <protection locked="0"/>
    </xf>
    <xf numFmtId="0" fontId="4" fillId="3" borderId="9" xfId="0" applyFont="1" applyFill="1" applyBorder="1" applyAlignment="1">
      <alignment horizontal="center" vertical="center" textRotation="90" wrapText="1"/>
    </xf>
    <xf numFmtId="0" fontId="2" fillId="0" borderId="9" xfId="0" applyFont="1" applyBorder="1" applyAlignment="1" applyProtection="1">
      <alignment horizontal="center" vertical="center"/>
      <protection locked="0"/>
    </xf>
    <xf numFmtId="0" fontId="4" fillId="5" borderId="9" xfId="0" applyFont="1" applyFill="1" applyBorder="1" applyAlignment="1">
      <alignment horizontal="center" vertical="center" textRotation="90" wrapText="1"/>
    </xf>
    <xf numFmtId="0" fontId="4" fillId="5" borderId="8"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textRotation="90" wrapText="1"/>
    </xf>
    <xf numFmtId="0" fontId="4" fillId="3" borderId="8" xfId="0" applyFont="1" applyFill="1" applyBorder="1" applyAlignment="1">
      <alignment horizontal="center" vertical="center" wrapText="1"/>
    </xf>
    <xf numFmtId="0" fontId="1" fillId="21" borderId="14" xfId="0" applyFont="1" applyFill="1" applyBorder="1" applyAlignment="1">
      <alignment horizontal="left" vertical="center" wrapText="1"/>
    </xf>
    <xf numFmtId="0" fontId="13" fillId="22" borderId="16" xfId="0" applyFont="1" applyFill="1" applyBorder="1" applyAlignment="1">
      <alignment horizontal="left" vertical="center" wrapText="1"/>
    </xf>
    <xf numFmtId="0" fontId="13" fillId="22" borderId="18" xfId="0" applyFont="1" applyFill="1" applyBorder="1" applyAlignment="1">
      <alignment horizontal="left" vertical="center" wrapText="1"/>
    </xf>
    <xf numFmtId="0" fontId="2" fillId="0" borderId="9" xfId="0" applyFont="1" applyBorder="1" applyAlignment="1" applyProtection="1">
      <alignment horizontal="center"/>
      <protection locked="0"/>
    </xf>
    <xf numFmtId="1" fontId="2" fillId="0" borderId="9" xfId="0" applyNumberFormat="1" applyFont="1" applyBorder="1" applyAlignment="1" applyProtection="1">
      <alignment horizontal="center" vertical="center"/>
      <protection locked="0"/>
    </xf>
    <xf numFmtId="10" fontId="1" fillId="21" borderId="0" xfId="0" applyNumberFormat="1" applyFont="1" applyFill="1" applyAlignment="1" applyProtection="1">
      <alignment horizontal="center"/>
      <protection locked="0"/>
    </xf>
    <xf numFmtId="0" fontId="4" fillId="3" borderId="4" xfId="0" applyFont="1" applyFill="1" applyBorder="1" applyAlignment="1">
      <alignment horizontal="center" vertical="center" textRotation="90" wrapText="1"/>
    </xf>
    <xf numFmtId="0" fontId="4" fillId="5" borderId="7" xfId="0" applyFont="1" applyFill="1" applyBorder="1" applyAlignment="1">
      <alignment horizontal="center" vertical="center" textRotation="90" wrapText="1"/>
    </xf>
    <xf numFmtId="0" fontId="4" fillId="8" borderId="4" xfId="0" applyFont="1" applyFill="1" applyBorder="1" applyAlignment="1">
      <alignment horizontal="center" vertical="center" textRotation="90" wrapText="1"/>
    </xf>
    <xf numFmtId="0" fontId="4" fillId="9" borderId="7" xfId="0" applyFont="1" applyFill="1" applyBorder="1" applyAlignment="1">
      <alignment horizontal="center" vertical="center" textRotation="90" wrapText="1"/>
    </xf>
    <xf numFmtId="0" fontId="4" fillId="10" borderId="9" xfId="0" applyFont="1" applyFill="1" applyBorder="1" applyAlignment="1">
      <alignment horizontal="center" vertical="center" textRotation="90" wrapText="1"/>
    </xf>
    <xf numFmtId="0" fontId="4" fillId="8" borderId="9" xfId="0" applyFont="1" applyFill="1" applyBorder="1" applyAlignment="1">
      <alignment horizontal="center" vertical="center" textRotation="90" wrapText="1"/>
    </xf>
    <xf numFmtId="0" fontId="4" fillId="12" borderId="4" xfId="0" applyFont="1" applyFill="1" applyBorder="1" applyAlignment="1">
      <alignment horizontal="center" vertical="center" textRotation="90" wrapText="1"/>
    </xf>
    <xf numFmtId="0" fontId="4" fillId="14" borderId="7" xfId="0" applyFont="1" applyFill="1" applyBorder="1" applyAlignment="1">
      <alignment horizontal="center" vertical="center" textRotation="90" wrapText="1"/>
    </xf>
    <xf numFmtId="0" fontId="4" fillId="16" borderId="9" xfId="0" applyFont="1" applyFill="1" applyBorder="1" applyAlignment="1">
      <alignment horizontal="center" vertical="center" textRotation="90" wrapText="1"/>
    </xf>
    <xf numFmtId="0" fontId="4" fillId="12" borderId="9" xfId="0" applyFont="1" applyFill="1" applyBorder="1" applyAlignment="1">
      <alignment horizontal="center" vertical="center" textRotation="90" wrapText="1"/>
    </xf>
    <xf numFmtId="10" fontId="0" fillId="0" borderId="9" xfId="0" applyNumberFormat="1" applyBorder="1" applyAlignment="1">
      <alignment horizontal="center"/>
    </xf>
    <xf numFmtId="0" fontId="1" fillId="2" borderId="1" xfId="0" applyFont="1" applyFill="1" applyBorder="1" applyAlignment="1">
      <alignment horizontal="center" vertical="center" textRotation="90"/>
    </xf>
    <xf numFmtId="0" fontId="1" fillId="2" borderId="12" xfId="0" applyFont="1" applyFill="1" applyBorder="1" applyAlignment="1">
      <alignment horizontal="center" vertical="center" textRotation="90"/>
    </xf>
    <xf numFmtId="0" fontId="4" fillId="3" borderId="13" xfId="0" applyFont="1" applyFill="1" applyBorder="1" applyAlignment="1">
      <alignment horizontal="center" vertical="center" textRotation="90" wrapText="1"/>
    </xf>
    <xf numFmtId="0" fontId="4" fillId="3" borderId="15"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8" fillId="17" borderId="9" xfId="0" applyFont="1" applyFill="1" applyBorder="1" applyAlignment="1">
      <alignment horizontal="center"/>
    </xf>
  </cellXfs>
  <cellStyles count="2">
    <cellStyle name="Normal" xfId="0" builtinId="0"/>
    <cellStyle name="Normal 2" xfId="1" xr:uid="{00000000-0005-0000-0000-000001000000}"/>
  </cellStyles>
  <dxfs count="37">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38%20PUMI%20JUNIO%20Revisado%20RGC%20(1).xlsx?D5E9C530" TargetMode="External"/><Relationship Id="rId1" Type="http://schemas.openxmlformats.org/officeDocument/2006/relationships/externalLinkPath" Target="file:///\\D5E9C530\D38%20PUMI%20JUNIO%20Revisado%20RGC%20(1).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39%20PUMI%20JUNIO%20Revisado%20RGC%20(1).xlsx?D5E9C530" TargetMode="External"/><Relationship Id="rId1" Type="http://schemas.openxmlformats.org/officeDocument/2006/relationships/externalLinkPath" Target="file:///\\D5E9C530\D39%20PUMI%20JUNIO%20Revisado%20RGC%20(1).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0%20PUMI%20JUNIO%20(1).xlsx?D5E9C530" TargetMode="External"/><Relationship Id="rId1" Type="http://schemas.openxmlformats.org/officeDocument/2006/relationships/externalLinkPath" Target="file:///\\D5E9C530\D40%20PUMI%20JUNIO%20(1).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1%20PUMI%20JUNIO%20Revisado%20RGC%20(1).xlsx?D5E9C530" TargetMode="External"/><Relationship Id="rId1" Type="http://schemas.openxmlformats.org/officeDocument/2006/relationships/externalLinkPath" Target="file:///\\D5E9C530\D41%20PUMI%20JUNIO%20Revisado%20RGC%20(1).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2%20PUMI%20JUNIO%20revisado%20RGC%20(1).xlsx?D5E9C530" TargetMode="External"/><Relationship Id="rId1" Type="http://schemas.openxmlformats.org/officeDocument/2006/relationships/externalLinkPath" Target="file:///\\D5E9C530\D42%20PUMI%20JUNIO%20revisado%20RGC%20(1).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3%20PUMI%20JUNIO%20%20Revisado%20RGC%20(1).xlsx?D5E9C530" TargetMode="External"/><Relationship Id="rId1" Type="http://schemas.openxmlformats.org/officeDocument/2006/relationships/externalLinkPath" Target="file:///\\D5E9C530\D43%20PUMI%20JUNIO%20%20Revisado%20RGC%20(1).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4%20EPUMI%20JUNIO%20Revisado%20RGC%20(1).xlsx?D5E9C530" TargetMode="External"/><Relationship Id="rId1" Type="http://schemas.openxmlformats.org/officeDocument/2006/relationships/externalLinkPath" Target="file:///\\D5E9C530\D44%20EPUMI%20JUNIO%20Revisado%20RGC%20(1).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5%20PUMI%20JUNIO%202025%20Revisado%20(1).xlsx?D5E9C530" TargetMode="External"/><Relationship Id="rId1" Type="http://schemas.openxmlformats.org/officeDocument/2006/relationships/externalLinkPath" Target="file:///\\D5E9C530\D45%20PUMI%20JUNIO%202025%20Revisado%20(1).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6%20PUMI%20JUNIO%20Revisado%20RGC%20(1).xlsx?D5E9C530" TargetMode="External"/><Relationship Id="rId1" Type="http://schemas.openxmlformats.org/officeDocument/2006/relationships/externalLinkPath" Target="file:///\\D5E9C530\D46%20PUMI%20JUNIO%20Revisado%20RGC%20(1).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7%20PUMI%20JUNIO%20%20Revisado%20RGC%20(1).xlsx?D5E9C530" TargetMode="External"/><Relationship Id="rId1" Type="http://schemas.openxmlformats.org/officeDocument/2006/relationships/externalLinkPath" Target="file:///\\D5E9C530\D47%20PUMI%20JUNIO%20%20Revisado%20RGC%20(1).xlsx"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48-PUMI%20JUNIO%20Revisado%20RGC%20(1).xlsx?D5E9C530" TargetMode="External"/><Relationship Id="rId1" Type="http://schemas.openxmlformats.org/officeDocument/2006/relationships/externalLinkPath" Target="file:///\\D5E9C530\D48-PUMI%20JUNIO%20Revisado%20RGC%20(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3/D37%20PUMI%20JUNIO%20Revisado%20RGC%20(1).xlsx?D5E9C530" TargetMode="External"/><Relationship Id="rId1" Type="http://schemas.openxmlformats.org/officeDocument/2006/relationships/externalLinkPath" Target="file:///\\D5E9C530\D37%20PUMI%20JUNIO%20Revisado%20RG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8 PARAISO PSCC "/>
      <sheetName val="D38 PARAISO VIF"/>
      <sheetName val="D38 PARAISO DARE"/>
      <sheetName val="D38 PARAISO GREAT"/>
      <sheetName val="D38 PARAIS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9 LA UNIÓN PSCC "/>
      <sheetName val="D39 LA UNIÓN VIF"/>
      <sheetName val="D39 LA UNIÓN DARE"/>
      <sheetName val="D39 LA UNIÓN GREAT"/>
      <sheetName val="D39 LA UNIÓN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0 JIMENEZ PSCC "/>
      <sheetName val="D40 JIMENEZ VIF"/>
      <sheetName val="D40 JIMENEZ DARE"/>
      <sheetName val="D40 JIMENEZ GREAT"/>
      <sheetName val="D40 JIMENEZ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1 TURRIALBA PSCC "/>
      <sheetName val="D41 TURRIALBA VIF"/>
      <sheetName val="D41 TURRIALBA DARE"/>
      <sheetName val="D41 TURRIALBA GREAT"/>
      <sheetName val="D41 TURRIALB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2 ALVARADO PSCC "/>
      <sheetName val="D42 ALVARADO VIF"/>
      <sheetName val="D42 ALVARADO DARE"/>
      <sheetName val="D42 ALVARADO GREAT"/>
      <sheetName val="D42 ALVARAD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6 OREAMUNO PSCC "/>
      <sheetName val="D46 OREAMUNO VIF"/>
      <sheetName val="D46 OREAMUNO DARE"/>
      <sheetName val="D46 OREAMUNO GREAT"/>
      <sheetName val="D46 OREAMUN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4 EL GUARCO PSCC "/>
      <sheetName val="D44 EL GUARCO VIF"/>
      <sheetName val="D44 EL GUARCO DARE"/>
      <sheetName val="D44 EL GUARCO GREAT"/>
      <sheetName val="D44 EL GUARC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5 TARRAZÚ PSCC "/>
      <sheetName val="D45 TARRAZÚ VIF"/>
      <sheetName val="D45 TARRAZÚ DARE"/>
      <sheetName val="D45 TARRAZÚ GREAT"/>
      <sheetName val="D45 TARRAZÚ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6 DOTA PSCC "/>
      <sheetName val="D46 DOTA VIF"/>
      <sheetName val="D46 DOTA DARE"/>
      <sheetName val="D46 DOTA GREAT"/>
      <sheetName val="D46 DOT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7 LEÓN CORTÉS PSCC "/>
      <sheetName val="D47 LEÓN CORTÉS VIF"/>
      <sheetName val="D47 LEÓN CORTÉS DARE"/>
      <sheetName val="D47 LEÓN CORTÉS GREAT"/>
      <sheetName val="D47 LEÓN CORTÉ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48 GUADALUPE PSCC "/>
      <sheetName val="D48 GUADALUPE VIF"/>
      <sheetName val="D48 GUADALUPE DARE"/>
      <sheetName val="D48 GUADALUPE GREAT"/>
      <sheetName val="D48 GUADALUPE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7 CARTAGO PSCC "/>
      <sheetName val="D37 CARTAGO VIF"/>
      <sheetName val="D37 CARTAGO DARE"/>
      <sheetName val="D37 CARTAGO GREAT"/>
      <sheetName val="D37 CARTAGO MPAS"/>
      <sheetName val="Totales PDIF"/>
      <sheetName val="Totales Política Pública"/>
      <sheetName val="DAT1"/>
      <sheetName val="DAT2"/>
      <sheetName val="D37 PUMI JUNIO Revisado RGC (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7"/>
  <sheetViews>
    <sheetView zoomScale="80" zoomScaleNormal="80" workbookViewId="0">
      <selection activeCell="M20" sqref="M20"/>
    </sheetView>
  </sheetViews>
  <sheetFormatPr baseColWidth="10" defaultColWidth="11.42578125" defaultRowHeight="15" x14ac:dyDescent="0.25"/>
  <cols>
    <col min="1" max="1" width="8" style="2" customWidth="1"/>
    <col min="2" max="2" width="88.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x14ac:dyDescent="0.25">
      <c r="A2" s="68"/>
      <c r="B2" s="39"/>
      <c r="C2" s="3">
        <v>2026</v>
      </c>
      <c r="D2" s="3" t="s">
        <v>16</v>
      </c>
      <c r="E2" s="42"/>
      <c r="F2" s="42"/>
      <c r="G2" s="42"/>
      <c r="H2" s="42"/>
      <c r="I2" s="42"/>
      <c r="J2" s="42"/>
      <c r="K2" s="42"/>
      <c r="L2" s="42"/>
      <c r="M2" s="42"/>
      <c r="N2" s="42"/>
      <c r="O2" s="42"/>
      <c r="P2" s="42"/>
    </row>
    <row r="3" spans="1:16" ht="81" customHeight="1" x14ac:dyDescent="0.25">
      <c r="A3" s="56" t="s">
        <v>18</v>
      </c>
      <c r="B3" s="5" t="s">
        <v>17</v>
      </c>
      <c r="C3" s="7">
        <v>2</v>
      </c>
      <c r="D3" s="38">
        <f t="shared" ref="D3:D7" si="0">SUM(E3:P3)</f>
        <v>1</v>
      </c>
      <c r="E3" s="44"/>
      <c r="F3" s="44">
        <v>1</v>
      </c>
      <c r="G3" s="44"/>
      <c r="H3" s="44"/>
      <c r="I3" s="44"/>
      <c r="J3" s="44"/>
      <c r="K3" s="44"/>
      <c r="L3" s="44"/>
      <c r="M3" s="44"/>
      <c r="N3" s="44"/>
      <c r="O3" s="44"/>
      <c r="P3" s="44"/>
    </row>
    <row r="4" spans="1:16" ht="81" customHeight="1" thickBot="1" x14ac:dyDescent="0.3">
      <c r="A4" s="57" t="s">
        <v>20</v>
      </c>
      <c r="B4" s="8" t="s">
        <v>19</v>
      </c>
      <c r="C4" s="46">
        <v>2</v>
      </c>
      <c r="D4" s="38">
        <f t="shared" si="0"/>
        <v>0</v>
      </c>
      <c r="E4" s="44">
        <v>0</v>
      </c>
      <c r="F4" s="44">
        <v>0</v>
      </c>
      <c r="G4" s="44">
        <v>0</v>
      </c>
      <c r="H4" s="44">
        <v>0</v>
      </c>
      <c r="I4" s="44"/>
      <c r="J4" s="44"/>
      <c r="K4" s="44"/>
      <c r="L4" s="44"/>
      <c r="M4" s="44"/>
      <c r="N4" s="44"/>
      <c r="O4" s="44"/>
      <c r="P4" s="44"/>
    </row>
    <row r="5" spans="1:16" ht="81" customHeight="1" thickBot="1" x14ac:dyDescent="0.3">
      <c r="A5" s="48" t="s">
        <v>22</v>
      </c>
      <c r="B5" s="10" t="s">
        <v>21</v>
      </c>
      <c r="C5" s="47">
        <v>2</v>
      </c>
      <c r="D5" s="38">
        <f t="shared" si="0"/>
        <v>1</v>
      </c>
      <c r="E5" s="44">
        <v>0</v>
      </c>
      <c r="F5" s="44">
        <v>0</v>
      </c>
      <c r="G5" s="44">
        <v>0</v>
      </c>
      <c r="H5" s="44">
        <v>1</v>
      </c>
      <c r="I5" s="44"/>
      <c r="J5" s="44"/>
      <c r="K5" s="44"/>
      <c r="L5" s="44"/>
      <c r="M5" s="44"/>
      <c r="N5" s="44"/>
      <c r="O5" s="44"/>
      <c r="P5" s="44"/>
    </row>
    <row r="6" spans="1:16" ht="81" customHeight="1" x14ac:dyDescent="0.25">
      <c r="A6" s="56" t="s">
        <v>18</v>
      </c>
      <c r="B6" s="5" t="s">
        <v>23</v>
      </c>
      <c r="C6" s="49">
        <v>2</v>
      </c>
      <c r="D6" s="38">
        <f t="shared" si="0"/>
        <v>1</v>
      </c>
      <c r="E6" s="44"/>
      <c r="F6" s="44"/>
      <c r="G6" s="44">
        <v>1</v>
      </c>
      <c r="H6" s="44"/>
      <c r="I6" s="44"/>
      <c r="J6" s="44"/>
      <c r="K6" s="44"/>
      <c r="L6" s="44"/>
      <c r="M6" s="44"/>
      <c r="N6" s="44"/>
      <c r="O6" s="44"/>
      <c r="P6" s="44"/>
    </row>
    <row r="7" spans="1:16" ht="81" customHeight="1" x14ac:dyDescent="0.25">
      <c r="A7" s="43" t="s">
        <v>18</v>
      </c>
      <c r="B7" s="5" t="s">
        <v>24</v>
      </c>
      <c r="C7" s="49">
        <v>1</v>
      </c>
      <c r="D7" s="38">
        <f t="shared" si="0"/>
        <v>1</v>
      </c>
      <c r="E7" s="44"/>
      <c r="F7" s="44"/>
      <c r="G7" s="44"/>
      <c r="H7" s="44"/>
      <c r="I7" s="44">
        <v>1</v>
      </c>
      <c r="J7" s="44"/>
      <c r="K7" s="44"/>
      <c r="L7" s="44"/>
      <c r="M7" s="44"/>
      <c r="N7" s="44"/>
      <c r="O7" s="44"/>
      <c r="P7" s="44"/>
    </row>
    <row r="8" spans="1:16" ht="28.5" customHeight="1" x14ac:dyDescent="0.25">
      <c r="A8" s="69" t="s">
        <v>77</v>
      </c>
      <c r="B8" s="50" t="s">
        <v>78</v>
      </c>
      <c r="C8" s="49">
        <v>3</v>
      </c>
      <c r="D8" s="38">
        <f t="shared" ref="D8:D35" si="1">SUM(E8:O8)</f>
        <v>5</v>
      </c>
      <c r="E8" s="44"/>
      <c r="F8" s="44"/>
      <c r="G8" s="44">
        <v>2</v>
      </c>
      <c r="H8" s="44">
        <v>3</v>
      </c>
      <c r="I8" s="44"/>
      <c r="J8" s="44"/>
      <c r="K8" s="44"/>
      <c r="L8" s="44"/>
      <c r="M8" s="44"/>
      <c r="N8" s="44"/>
      <c r="O8" s="44"/>
      <c r="P8" s="40"/>
    </row>
    <row r="9" spans="1:16" ht="28.5" customHeight="1" x14ac:dyDescent="0.25">
      <c r="A9" s="70"/>
      <c r="B9" s="50" t="s">
        <v>79</v>
      </c>
      <c r="C9" s="49">
        <v>3</v>
      </c>
      <c r="D9" s="38">
        <f t="shared" si="1"/>
        <v>0</v>
      </c>
      <c r="E9" s="44"/>
      <c r="F9" s="44"/>
      <c r="G9" s="44"/>
      <c r="H9" s="44"/>
      <c r="I9" s="44"/>
      <c r="J9" s="44"/>
      <c r="K9" s="44"/>
      <c r="L9" s="44"/>
      <c r="M9" s="44"/>
      <c r="N9" s="44"/>
      <c r="O9" s="44"/>
      <c r="P9" s="40"/>
    </row>
    <row r="10" spans="1:16" ht="28.5" customHeight="1" x14ac:dyDescent="0.25">
      <c r="A10" s="70"/>
      <c r="B10" s="50" t="s">
        <v>80</v>
      </c>
      <c r="C10" s="49">
        <v>172</v>
      </c>
      <c r="D10" s="38">
        <f t="shared" si="1"/>
        <v>72</v>
      </c>
      <c r="E10" s="44">
        <v>12</v>
      </c>
      <c r="F10" s="44">
        <v>16</v>
      </c>
      <c r="G10" s="44">
        <v>13</v>
      </c>
      <c r="H10" s="44">
        <v>11</v>
      </c>
      <c r="I10" s="44">
        <v>18</v>
      </c>
      <c r="J10" s="44">
        <v>2</v>
      </c>
      <c r="K10" s="44"/>
      <c r="L10" s="44"/>
      <c r="M10" s="44"/>
      <c r="N10" s="44"/>
      <c r="O10" s="44"/>
      <c r="P10" s="40"/>
    </row>
    <row r="11" spans="1:16" ht="28.5" customHeight="1" x14ac:dyDescent="0.25">
      <c r="A11" s="70"/>
      <c r="B11" s="50" t="s">
        <v>81</v>
      </c>
      <c r="C11" s="49">
        <v>197</v>
      </c>
      <c r="D11" s="38">
        <f t="shared" si="1"/>
        <v>114</v>
      </c>
      <c r="E11" s="44"/>
      <c r="F11" s="44"/>
      <c r="G11" s="44">
        <v>30</v>
      </c>
      <c r="H11" s="44">
        <v>78</v>
      </c>
      <c r="I11" s="44">
        <v>6</v>
      </c>
      <c r="J11" s="44"/>
      <c r="K11" s="44"/>
      <c r="L11" s="44"/>
      <c r="M11" s="44"/>
      <c r="N11" s="44"/>
      <c r="O11" s="44"/>
      <c r="P11" s="40"/>
    </row>
    <row r="12" spans="1:16" ht="28.5" customHeight="1" x14ac:dyDescent="0.25">
      <c r="A12" s="70"/>
      <c r="B12" s="50" t="s">
        <v>82</v>
      </c>
      <c r="C12" s="49">
        <v>0</v>
      </c>
      <c r="D12" s="38">
        <f t="shared" si="1"/>
        <v>0</v>
      </c>
      <c r="E12" s="44"/>
      <c r="F12" s="44"/>
      <c r="G12" s="44"/>
      <c r="H12" s="44"/>
      <c r="I12" s="44"/>
      <c r="J12" s="44"/>
      <c r="K12" s="44"/>
      <c r="L12" s="44"/>
      <c r="M12" s="44"/>
      <c r="N12" s="44"/>
      <c r="O12" s="44"/>
      <c r="P12" s="40"/>
    </row>
    <row r="13" spans="1:16" ht="28.5" customHeight="1" x14ac:dyDescent="0.25">
      <c r="A13" s="70"/>
      <c r="B13" s="50" t="s">
        <v>83</v>
      </c>
      <c r="C13" s="49">
        <v>15</v>
      </c>
      <c r="D13" s="38">
        <f t="shared" si="1"/>
        <v>1</v>
      </c>
      <c r="E13" s="44"/>
      <c r="F13" s="44"/>
      <c r="G13" s="44">
        <v>1</v>
      </c>
      <c r="H13" s="44"/>
      <c r="I13" s="44"/>
      <c r="J13" s="44"/>
      <c r="K13" s="44"/>
      <c r="L13" s="44"/>
      <c r="M13" s="44"/>
      <c r="N13" s="44"/>
      <c r="O13" s="44"/>
      <c r="P13" s="40"/>
    </row>
    <row r="14" spans="1:16" ht="28.5" customHeight="1" x14ac:dyDescent="0.25">
      <c r="A14" s="70"/>
      <c r="B14" s="50" t="s">
        <v>84</v>
      </c>
      <c r="C14" s="49">
        <v>0</v>
      </c>
      <c r="D14" s="38">
        <f t="shared" si="1"/>
        <v>0</v>
      </c>
      <c r="E14" s="44"/>
      <c r="F14" s="44"/>
      <c r="G14" s="44"/>
      <c r="H14" s="44"/>
      <c r="I14" s="44"/>
      <c r="J14" s="44"/>
      <c r="K14" s="44"/>
      <c r="L14" s="44"/>
      <c r="M14" s="44"/>
      <c r="N14" s="44"/>
      <c r="O14" s="44"/>
      <c r="P14" s="40"/>
    </row>
    <row r="15" spans="1:16" ht="28.5" customHeight="1" x14ac:dyDescent="0.25">
      <c r="A15" s="70"/>
      <c r="B15" s="50" t="s">
        <v>85</v>
      </c>
      <c r="C15" s="49">
        <v>0</v>
      </c>
      <c r="D15" s="38">
        <f t="shared" si="1"/>
        <v>0</v>
      </c>
      <c r="E15" s="44"/>
      <c r="F15" s="44"/>
      <c r="G15" s="44"/>
      <c r="H15" s="44"/>
      <c r="I15" s="44"/>
      <c r="J15" s="44"/>
      <c r="K15" s="44"/>
      <c r="L15" s="44"/>
      <c r="M15" s="44"/>
      <c r="N15" s="44"/>
      <c r="O15" s="44"/>
      <c r="P15" s="40"/>
    </row>
    <row r="16" spans="1:16" ht="28.5" customHeight="1" x14ac:dyDescent="0.25">
      <c r="A16" s="70"/>
      <c r="B16" s="50" t="s">
        <v>86</v>
      </c>
      <c r="C16" s="49">
        <v>0</v>
      </c>
      <c r="D16" s="38">
        <f t="shared" si="1"/>
        <v>0</v>
      </c>
      <c r="E16" s="44"/>
      <c r="F16" s="44"/>
      <c r="G16" s="44"/>
      <c r="H16" s="44"/>
      <c r="I16" s="44"/>
      <c r="J16" s="44"/>
      <c r="K16" s="44"/>
      <c r="L16" s="44"/>
      <c r="M16" s="44"/>
      <c r="N16" s="44"/>
      <c r="O16" s="44"/>
      <c r="P16" s="40"/>
    </row>
    <row r="17" spans="1:16" ht="28.5" customHeight="1" x14ac:dyDescent="0.25">
      <c r="A17" s="70"/>
      <c r="B17" s="50" t="s">
        <v>87</v>
      </c>
      <c r="C17" s="49">
        <v>0</v>
      </c>
      <c r="D17" s="38">
        <f t="shared" si="1"/>
        <v>0</v>
      </c>
      <c r="E17" s="44"/>
      <c r="F17" s="44"/>
      <c r="G17" s="44"/>
      <c r="H17" s="44"/>
      <c r="I17" s="44"/>
      <c r="J17" s="44"/>
      <c r="K17" s="44"/>
      <c r="L17" s="44"/>
      <c r="M17" s="44"/>
      <c r="N17" s="44"/>
      <c r="O17" s="44"/>
      <c r="P17" s="40"/>
    </row>
    <row r="18" spans="1:16" ht="28.5" customHeight="1" x14ac:dyDescent="0.25">
      <c r="A18" s="70"/>
      <c r="B18" s="50" t="s">
        <v>88</v>
      </c>
      <c r="C18" s="49">
        <v>4</v>
      </c>
      <c r="D18" s="38">
        <f t="shared" si="1"/>
        <v>0</v>
      </c>
      <c r="E18" s="44"/>
      <c r="F18" s="44"/>
      <c r="G18" s="44"/>
      <c r="H18" s="44"/>
      <c r="I18" s="44"/>
      <c r="J18" s="44"/>
      <c r="K18" s="44"/>
      <c r="L18" s="44"/>
      <c r="M18" s="44"/>
      <c r="N18" s="44"/>
      <c r="O18" s="44"/>
      <c r="P18" s="40"/>
    </row>
    <row r="19" spans="1:16" ht="28.5" customHeight="1" x14ac:dyDescent="0.25">
      <c r="A19" s="70"/>
      <c r="B19" s="50" t="s">
        <v>89</v>
      </c>
      <c r="C19" s="49">
        <v>0</v>
      </c>
      <c r="D19" s="38">
        <f t="shared" si="1"/>
        <v>0</v>
      </c>
      <c r="E19" s="44"/>
      <c r="F19" s="44"/>
      <c r="G19" s="44"/>
      <c r="H19" s="44"/>
      <c r="I19" s="44"/>
      <c r="J19" s="44"/>
      <c r="K19" s="44"/>
      <c r="L19" s="44"/>
      <c r="M19" s="44"/>
      <c r="N19" s="44"/>
      <c r="O19" s="44"/>
      <c r="P19" s="40"/>
    </row>
    <row r="20" spans="1:16" ht="28.5" customHeight="1" x14ac:dyDescent="0.25">
      <c r="A20" s="70"/>
      <c r="B20" s="50" t="s">
        <v>90</v>
      </c>
      <c r="C20" s="49">
        <v>0</v>
      </c>
      <c r="D20" s="38">
        <f t="shared" si="1"/>
        <v>0</v>
      </c>
      <c r="E20" s="44"/>
      <c r="F20" s="44"/>
      <c r="G20" s="44"/>
      <c r="H20" s="44"/>
      <c r="I20" s="44"/>
      <c r="J20" s="44"/>
      <c r="K20" s="44"/>
      <c r="L20" s="44"/>
      <c r="M20" s="44"/>
      <c r="N20" s="44"/>
      <c r="O20" s="44"/>
      <c r="P20" s="40"/>
    </row>
    <row r="21" spans="1:16" ht="28.5" customHeight="1" x14ac:dyDescent="0.25">
      <c r="A21" s="70"/>
      <c r="B21" s="50" t="s">
        <v>91</v>
      </c>
      <c r="C21" s="49">
        <v>0</v>
      </c>
      <c r="D21" s="38">
        <f t="shared" si="1"/>
        <v>0</v>
      </c>
      <c r="E21" s="44"/>
      <c r="F21" s="44"/>
      <c r="G21" s="44"/>
      <c r="H21" s="44"/>
      <c r="I21" s="44"/>
      <c r="J21" s="44"/>
      <c r="K21" s="44"/>
      <c r="L21" s="44"/>
      <c r="M21" s="44"/>
      <c r="N21" s="44"/>
      <c r="O21" s="44"/>
      <c r="P21" s="40"/>
    </row>
    <row r="22" spans="1:16" ht="28.5" customHeight="1" x14ac:dyDescent="0.25">
      <c r="A22" s="70"/>
      <c r="B22" s="50" t="s">
        <v>92</v>
      </c>
      <c r="C22" s="49">
        <v>378</v>
      </c>
      <c r="D22" s="38">
        <f t="shared" si="1"/>
        <v>147</v>
      </c>
      <c r="E22" s="44">
        <v>32</v>
      </c>
      <c r="F22" s="44">
        <v>65</v>
      </c>
      <c r="G22" s="44">
        <v>15</v>
      </c>
      <c r="H22" s="44">
        <v>24</v>
      </c>
      <c r="I22" s="44">
        <v>11</v>
      </c>
      <c r="J22" s="44"/>
      <c r="K22" s="44"/>
      <c r="L22" s="44"/>
      <c r="M22" s="44"/>
      <c r="N22" s="44"/>
      <c r="O22" s="44"/>
      <c r="P22" s="40"/>
    </row>
    <row r="23" spans="1:16" ht="28.5" customHeight="1" x14ac:dyDescent="0.25">
      <c r="A23" s="70"/>
      <c r="B23" s="50" t="s">
        <v>93</v>
      </c>
      <c r="C23" s="49">
        <v>2</v>
      </c>
      <c r="D23" s="38">
        <f t="shared" si="1"/>
        <v>0</v>
      </c>
      <c r="E23" s="44"/>
      <c r="F23" s="44"/>
      <c r="G23" s="44"/>
      <c r="H23" s="44"/>
      <c r="I23" s="44"/>
      <c r="J23" s="44"/>
      <c r="K23" s="44"/>
      <c r="L23" s="44"/>
      <c r="M23" s="44"/>
      <c r="N23" s="44"/>
      <c r="O23" s="44"/>
      <c r="P23" s="40"/>
    </row>
    <row r="24" spans="1:16" ht="24" customHeight="1" x14ac:dyDescent="0.25">
      <c r="A24" s="70"/>
      <c r="B24" s="51" t="s">
        <v>94</v>
      </c>
      <c r="C24" s="49">
        <v>8</v>
      </c>
      <c r="D24" s="38">
        <f t="shared" si="1"/>
        <v>4</v>
      </c>
      <c r="E24" s="44"/>
      <c r="F24" s="44">
        <v>2</v>
      </c>
      <c r="G24" s="44">
        <v>2</v>
      </c>
      <c r="H24" s="44"/>
      <c r="I24" s="44"/>
      <c r="J24" s="44"/>
      <c r="K24" s="44"/>
      <c r="L24" s="44"/>
      <c r="M24" s="44"/>
      <c r="N24" s="44"/>
      <c r="O24" s="44"/>
      <c r="P24" s="40"/>
    </row>
    <row r="25" spans="1:16" ht="24" customHeight="1" x14ac:dyDescent="0.25">
      <c r="A25" s="70"/>
      <c r="B25" s="51" t="s">
        <v>95</v>
      </c>
      <c r="C25" s="49">
        <v>8</v>
      </c>
      <c r="D25" s="38">
        <f t="shared" si="1"/>
        <v>7</v>
      </c>
      <c r="E25" s="44"/>
      <c r="F25" s="44"/>
      <c r="G25" s="44">
        <v>1</v>
      </c>
      <c r="H25" s="44">
        <v>6</v>
      </c>
      <c r="I25" s="44"/>
      <c r="J25" s="44"/>
      <c r="K25" s="44"/>
      <c r="L25" s="44"/>
      <c r="M25" s="44"/>
      <c r="N25" s="44"/>
      <c r="O25" s="44"/>
      <c r="P25" s="40"/>
    </row>
    <row r="26" spans="1:16" ht="24" customHeight="1" x14ac:dyDescent="0.25">
      <c r="A26" s="70"/>
      <c r="B26" s="51" t="s">
        <v>96</v>
      </c>
      <c r="C26" s="49">
        <v>8</v>
      </c>
      <c r="D26" s="38">
        <f t="shared" si="1"/>
        <v>0</v>
      </c>
      <c r="E26" s="44"/>
      <c r="F26" s="44"/>
      <c r="G26" s="44"/>
      <c r="H26" s="44"/>
      <c r="I26" s="44"/>
      <c r="J26" s="44"/>
      <c r="K26" s="44"/>
      <c r="L26" s="44"/>
      <c r="M26" s="44"/>
      <c r="N26" s="44"/>
      <c r="O26" s="44"/>
      <c r="P26" s="40"/>
    </row>
    <row r="27" spans="1:16" ht="24" customHeight="1" x14ac:dyDescent="0.25">
      <c r="A27" s="70"/>
      <c r="B27" s="51" t="s">
        <v>97</v>
      </c>
      <c r="C27" s="49">
        <v>8</v>
      </c>
      <c r="D27" s="38">
        <f t="shared" si="1"/>
        <v>1</v>
      </c>
      <c r="E27" s="44"/>
      <c r="F27" s="44"/>
      <c r="G27" s="44"/>
      <c r="H27" s="44"/>
      <c r="I27" s="44"/>
      <c r="J27" s="44">
        <v>1</v>
      </c>
      <c r="K27" s="44"/>
      <c r="L27" s="44"/>
      <c r="M27" s="44"/>
      <c r="N27" s="44"/>
      <c r="O27" s="44"/>
      <c r="P27" s="40"/>
    </row>
    <row r="28" spans="1:16" ht="24" customHeight="1" x14ac:dyDescent="0.25">
      <c r="A28" s="70"/>
      <c r="B28" s="51" t="s">
        <v>98</v>
      </c>
      <c r="C28" s="49">
        <v>8</v>
      </c>
      <c r="D28" s="38">
        <f t="shared" si="1"/>
        <v>0</v>
      </c>
      <c r="E28" s="44"/>
      <c r="F28" s="44"/>
      <c r="G28" s="44"/>
      <c r="H28" s="44"/>
      <c r="I28" s="44"/>
      <c r="J28" s="44"/>
      <c r="K28" s="44"/>
      <c r="L28" s="44"/>
      <c r="M28" s="44"/>
      <c r="N28" s="44"/>
      <c r="O28" s="44"/>
      <c r="P28" s="40"/>
    </row>
    <row r="29" spans="1:16" ht="24" customHeight="1" x14ac:dyDescent="0.25">
      <c r="A29" s="70"/>
      <c r="B29" s="51" t="s">
        <v>99</v>
      </c>
      <c r="C29" s="49">
        <v>1</v>
      </c>
      <c r="D29" s="38">
        <f t="shared" si="1"/>
        <v>0</v>
      </c>
      <c r="E29" s="44"/>
      <c r="F29" s="44"/>
      <c r="G29" s="44"/>
      <c r="H29" s="44"/>
      <c r="I29" s="44"/>
      <c r="J29" s="44"/>
      <c r="K29" s="44"/>
      <c r="L29" s="44"/>
      <c r="M29" s="44"/>
      <c r="N29" s="44"/>
      <c r="O29" s="44"/>
      <c r="P29" s="40"/>
    </row>
    <row r="30" spans="1:16" ht="24" customHeight="1" x14ac:dyDescent="0.25">
      <c r="A30" s="70"/>
      <c r="B30" s="51" t="s">
        <v>100</v>
      </c>
      <c r="C30" s="49">
        <v>1</v>
      </c>
      <c r="D30" s="38">
        <f t="shared" si="1"/>
        <v>0</v>
      </c>
      <c r="E30" s="44"/>
      <c r="F30" s="44"/>
      <c r="G30" s="44"/>
      <c r="H30" s="44"/>
      <c r="I30" s="44"/>
      <c r="J30" s="44"/>
      <c r="K30" s="44"/>
      <c r="L30" s="44"/>
      <c r="M30" s="44"/>
      <c r="N30" s="44"/>
      <c r="O30" s="44"/>
      <c r="P30" s="40"/>
    </row>
    <row r="31" spans="1:16" ht="24" customHeight="1" x14ac:dyDescent="0.25">
      <c r="A31" s="70"/>
      <c r="B31" s="51" t="s">
        <v>101</v>
      </c>
      <c r="C31" s="49">
        <v>1</v>
      </c>
      <c r="D31" s="38">
        <f t="shared" si="1"/>
        <v>0</v>
      </c>
      <c r="E31" s="44"/>
      <c r="F31" s="44"/>
      <c r="G31" s="44"/>
      <c r="H31" s="44"/>
      <c r="I31" s="44"/>
      <c r="J31" s="44"/>
      <c r="K31" s="44"/>
      <c r="L31" s="44"/>
      <c r="M31" s="44"/>
      <c r="N31" s="44"/>
      <c r="O31" s="44"/>
      <c r="P31" s="40"/>
    </row>
    <row r="32" spans="1:16" ht="24" customHeight="1" x14ac:dyDescent="0.25">
      <c r="A32" s="70"/>
      <c r="B32" s="51" t="s">
        <v>102</v>
      </c>
      <c r="C32" s="49">
        <v>1</v>
      </c>
      <c r="D32" s="38">
        <f t="shared" si="1"/>
        <v>0</v>
      </c>
      <c r="E32" s="44"/>
      <c r="F32" s="44"/>
      <c r="G32" s="44"/>
      <c r="H32" s="44"/>
      <c r="I32" s="44"/>
      <c r="J32" s="44"/>
      <c r="K32" s="44"/>
      <c r="L32" s="44"/>
      <c r="M32" s="44"/>
      <c r="N32" s="44"/>
      <c r="O32" s="44"/>
      <c r="P32" s="40"/>
    </row>
    <row r="33" spans="1:16" ht="24" customHeight="1" x14ac:dyDescent="0.25">
      <c r="A33" s="70"/>
      <c r="B33" s="51" t="s">
        <v>103</v>
      </c>
      <c r="C33" s="49">
        <v>1</v>
      </c>
      <c r="D33" s="38">
        <f t="shared" si="1"/>
        <v>0</v>
      </c>
      <c r="E33" s="44"/>
      <c r="F33" s="44"/>
      <c r="G33" s="44"/>
      <c r="H33" s="44"/>
      <c r="I33" s="44"/>
      <c r="J33" s="44"/>
      <c r="K33" s="44"/>
      <c r="L33" s="44"/>
      <c r="M33" s="44"/>
      <c r="N33" s="44"/>
      <c r="O33" s="44"/>
      <c r="P33" s="40"/>
    </row>
    <row r="34" spans="1:16" ht="24" customHeight="1" x14ac:dyDescent="0.25">
      <c r="A34" s="70"/>
      <c r="B34" s="51" t="s">
        <v>104</v>
      </c>
      <c r="C34" s="49">
        <v>1</v>
      </c>
      <c r="D34" s="38">
        <f t="shared" si="1"/>
        <v>0</v>
      </c>
      <c r="E34" s="44"/>
      <c r="F34" s="44"/>
      <c r="G34" s="44"/>
      <c r="H34" s="44"/>
      <c r="I34" s="44"/>
      <c r="J34" s="44"/>
      <c r="K34" s="44"/>
      <c r="L34" s="44"/>
      <c r="M34" s="44"/>
      <c r="N34" s="44"/>
      <c r="O34" s="44"/>
      <c r="P34" s="40"/>
    </row>
    <row r="35" spans="1:16" ht="24" customHeight="1" thickBot="1" x14ac:dyDescent="0.3">
      <c r="A35" s="71"/>
      <c r="B35" s="52" t="s">
        <v>105</v>
      </c>
      <c r="C35" s="49">
        <v>1</v>
      </c>
      <c r="D35" s="38">
        <f t="shared" si="1"/>
        <v>0</v>
      </c>
      <c r="E35" s="44"/>
      <c r="F35" s="44"/>
      <c r="G35" s="44"/>
      <c r="H35" s="44"/>
      <c r="I35" s="44"/>
      <c r="J35" s="44"/>
      <c r="K35" s="44"/>
      <c r="L35" s="44"/>
      <c r="M35" s="44"/>
      <c r="N35" s="44"/>
      <c r="O35" s="44"/>
      <c r="P35" s="40"/>
    </row>
    <row r="36" spans="1:16" x14ac:dyDescent="0.25">
      <c r="C36" s="53">
        <f>SUM(C3:C35)</f>
        <v>830</v>
      </c>
      <c r="D36" s="54">
        <f>SUM(D3:D35)</f>
        <v>355</v>
      </c>
    </row>
    <row r="37" spans="1:16" x14ac:dyDescent="0.25">
      <c r="C37" s="13"/>
      <c r="D37" s="55">
        <f>D36/C36</f>
        <v>0.42771084337349397</v>
      </c>
    </row>
  </sheetData>
  <sheetProtection algorithmName="SHA-512" hashValue="XD4Dd2ld2ujQLqWZOjUbEy8aZNKXJvcB45pIKA+u/345bkkN6igXm8UPHHpRuvh2mi7cXnNKf0zguSalZnOmcg==" saltValue="PXfvKyQ8ksAxTp7kA8Okgg==" spinCount="100000" sheet="1" objects="1" scenarios="1" autoFilter="0"/>
  <mergeCells count="2">
    <mergeCell ref="A1:A2"/>
    <mergeCell ref="A8:A35"/>
  </mergeCells>
  <conditionalFormatting sqref="C3:D3 D4:D7">
    <cfRule type="dataBar" priority="43">
      <dataBar>
        <cfvo type="min"/>
        <cfvo type="max"/>
        <color rgb="FF008AEF"/>
      </dataBar>
      <extLst>
        <ext xmlns:x14="http://schemas.microsoft.com/office/spreadsheetml/2009/9/main" uri="{B025F937-C7B1-47D3-B67F-A62EFF666E3E}">
          <x14:id>{16C78C3B-5A0A-4EF9-A8DE-43797D877E7E}</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{536BD148-4850-4D29-8896-8BC30A6C0910}</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{6ADBFFCB-C240-4E69-92BD-2F2404E75012}</x14:id>
        </ext>
      </extLst>
    </cfRule>
  </conditionalFormatting>
  <conditionalFormatting sqref="C6:D6">
    <cfRule type="dataBar" priority="6">
      <dataBar>
        <cfvo type="min"/>
        <cfvo type="max"/>
        <color rgb="FF008AEF"/>
      </dataBar>
      <extLst>
        <ext xmlns:x14="http://schemas.microsoft.com/office/spreadsheetml/2009/9/main" uri="{B025F937-C7B1-47D3-B67F-A62EFF666E3E}">
          <x14:id>{2CAA9661-DFE1-4F96-A6E3-98CE4E685937}</x14:id>
        </ext>
      </extLst>
    </cfRule>
  </conditionalFormatting>
  <conditionalFormatting sqref="C7:D7">
    <cfRule type="dataBar" priority="7">
      <dataBar>
        <cfvo type="min"/>
        <cfvo type="max"/>
        <color rgb="FF008AEF"/>
      </dataBar>
      <extLst>
        <ext xmlns:x14="http://schemas.microsoft.com/office/spreadsheetml/2009/9/main" uri="{B025F937-C7B1-47D3-B67F-A62EFF666E3E}">
          <x14:id>{0C8A8893-0F92-4467-9084-467DD5785619}</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{A55E866D-8D8D-441C-A025-86EE1ABD1462}</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{35A71600-D563-4BF3-9ED0-9753C547ECF6}</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{638F553F-9AB0-456A-9E7A-D59DD0AFA30F}</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{13D2D495-B254-4B9F-AE94-0239902D27F9}</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{CCAD61A4-3644-414D-9DEB-2A838A9C8AB7}</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{BA36F823-EECE-479E-99E9-534456F0F189}</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{CBB5B750-18C9-4A45-B1F1-AE0D417E342D}</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{3190456E-EB5D-44A9-A4D2-279BBE25350B}</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{699A4E07-7A7E-4E48-A9D1-10F9EA50A065}</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{5DEBEF59-93A3-4F49-93B8-1DDAF3888629}</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{3B6DDDF7-EE94-453E-A6AC-97AA32D80145}</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{4486A05E-14C0-4C76-BCA7-92DA210DB48B}</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{D1BCE8B6-7A11-4DB7-95E1-4886D7EF6157}</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{8427C909-E695-42F4-823B-7F06A64E126F}</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{FD9DFCEC-8747-43B8-BBBB-AF5695860DF5}</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{62EB295D-FE18-4E85-B096-0F20756D3639}</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{0956E2CE-30B2-4C4E-9244-A48DBC053A16}</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{CAB03EE0-7A50-4934-82D9-B9A5B3B3747D}</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{B44848B6-DE9E-4E24-B4CC-0D449276E0FB}</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{1C827ACC-8197-445C-9EF3-8574A6AD324A}</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{80275B9C-62EC-4EA1-9AB0-EA82D6F70BF1}</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{5DA906D2-FAF0-4199-9C12-077A539EA767}</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{29DAE931-CBE8-4227-8742-A1D62AC266DD}</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{928E6910-AC0D-4AE4-B290-16A3A262EBC4}</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{F9EB86DF-1C46-4686-8686-91D509909D74}</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{E6D4D149-A55D-4028-BF29-495C72ED1E7F}</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{E6AAA654-A05A-4CCB-9320-D3C6137FF85D}</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{07DCBA12-9730-4436-B5CB-2DB627585280}</x14:id>
        </ext>
      </extLst>
    </cfRule>
  </conditionalFormatting>
  <conditionalFormatting sqref="E3:F31 E32:O35">
    <cfRule type="cellIs" dxfId="36" priority="1" operator="greaterThan">
      <formula>0</formula>
    </cfRule>
  </conditionalFormatting>
  <conditionalFormatting sqref="G8:O31">
    <cfRule type="cellIs" dxfId="35" priority="11" operator="greaterThan">
      <formula>0</formula>
    </cfRule>
  </conditionalFormatting>
  <conditionalFormatting sqref="G3:P7">
    <cfRule type="cellIs" dxfId="34"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6C78C3B-5A0A-4EF9-A8DE-43797D877E7E}">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536BD148-4850-4D29-8896-8BC30A6C0910}">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ADBFFCB-C240-4E69-92BD-2F2404E75012}">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2CAA9661-DFE1-4F96-A6E3-98CE4E68593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C8A8893-0F92-4467-9084-467DD578561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55E866D-8D8D-441C-A025-86EE1ABD146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35A71600-D563-4BF3-9ED0-9753C547ECF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38F553F-9AB0-456A-9E7A-D59DD0AFA30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13D2D495-B254-4B9F-AE94-0239902D27F9}">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CAD61A4-3644-414D-9DEB-2A838A9C8AB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A36F823-EECE-479E-99E9-534456F0F18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BB5B750-18C9-4A45-B1F1-AE0D417E342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190456E-EB5D-44A9-A4D2-279BBE25350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699A4E07-7A7E-4E48-A9D1-10F9EA50A065}">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DEBEF59-93A3-4F49-93B8-1DDAF3888629}">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B6DDDF7-EE94-453E-A6AC-97AA32D8014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486A05E-14C0-4C76-BCA7-92DA210DB48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1BCE8B6-7A11-4DB7-95E1-4886D7EF615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427C909-E695-42F4-823B-7F06A64E126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FD9DFCEC-8747-43B8-BBBB-AF5695860DF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2EB295D-FE18-4E85-B096-0F20756D3639}">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956E2CE-30B2-4C4E-9244-A48DBC053A1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CAB03EE0-7A50-4934-82D9-B9A5B3B3747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44848B6-DE9E-4E24-B4CC-0D449276E0FB}">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C827ACC-8197-445C-9EF3-8574A6AD324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0275B9C-62EC-4EA1-9AB0-EA82D6F70BF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5DA906D2-FAF0-4199-9C12-077A539EA767}">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29DAE931-CBE8-4227-8742-A1D62AC266D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28E6910-AC0D-4AE4-B290-16A3A262EBC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9EB86DF-1C46-4686-8686-91D509909D7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6D4D149-A55D-4028-BF29-495C72ED1E7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6AAA654-A05A-4CCB-9320-D3C6137FF85D}">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07DCBA12-9730-4436-B5CB-2DB627585280}">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7"/>
  <sheetViews>
    <sheetView zoomScale="80" zoomScaleNormal="80" workbookViewId="0">
      <selection activeCell="I6" sqref="I6"/>
    </sheetView>
  </sheetViews>
  <sheetFormatPr baseColWidth="10" defaultColWidth="11.42578125" defaultRowHeight="15" x14ac:dyDescent="0.25"/>
  <cols>
    <col min="1" max="1" width="6.7109375" style="2" customWidth="1"/>
    <col min="2" max="2" width="85.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25</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x14ac:dyDescent="0.25">
      <c r="A2" s="68"/>
      <c r="B2" s="39"/>
      <c r="C2" s="3">
        <v>2026</v>
      </c>
      <c r="D2" s="3" t="s">
        <v>16</v>
      </c>
      <c r="E2" s="42"/>
      <c r="F2" s="42"/>
      <c r="G2" s="42"/>
      <c r="H2" s="42"/>
      <c r="I2" s="42"/>
      <c r="J2" s="42"/>
      <c r="K2" s="42"/>
      <c r="L2" s="42"/>
      <c r="M2" s="42"/>
      <c r="N2" s="42"/>
      <c r="O2" s="42"/>
      <c r="P2" s="42"/>
    </row>
    <row r="3" spans="1:16" ht="81" customHeight="1" x14ac:dyDescent="0.25">
      <c r="A3" s="58" t="s">
        <v>18</v>
      </c>
      <c r="B3" s="14" t="s">
        <v>17</v>
      </c>
      <c r="C3" s="7">
        <v>2</v>
      </c>
      <c r="D3" s="38">
        <f t="shared" ref="D3:D7" si="0">SUM(E3:P3)</f>
        <v>1</v>
      </c>
      <c r="E3" s="44"/>
      <c r="F3" s="44"/>
      <c r="G3" s="44">
        <v>1</v>
      </c>
      <c r="H3" s="44"/>
      <c r="I3" s="44"/>
      <c r="J3" s="44"/>
      <c r="K3" s="44"/>
      <c r="L3" s="44"/>
      <c r="M3" s="44"/>
      <c r="N3" s="44"/>
      <c r="O3" s="44"/>
      <c r="P3" s="44"/>
    </row>
    <row r="4" spans="1:16" ht="81" customHeight="1" thickBot="1" x14ac:dyDescent="0.3">
      <c r="A4" s="59" t="s">
        <v>20</v>
      </c>
      <c r="B4" s="8" t="s">
        <v>19</v>
      </c>
      <c r="C4" s="46">
        <v>2</v>
      </c>
      <c r="D4" s="38">
        <f t="shared" si="0"/>
        <v>2</v>
      </c>
      <c r="E4" s="44">
        <v>0</v>
      </c>
      <c r="F4" s="44">
        <v>0</v>
      </c>
      <c r="G4" s="44">
        <v>0</v>
      </c>
      <c r="H4" s="44">
        <v>0</v>
      </c>
      <c r="I4" s="44">
        <v>2</v>
      </c>
      <c r="J4" s="44"/>
      <c r="K4" s="44"/>
      <c r="L4" s="44"/>
      <c r="M4" s="44"/>
      <c r="N4" s="44"/>
      <c r="O4" s="44"/>
      <c r="P4" s="44"/>
    </row>
    <row r="5" spans="1:16" ht="81" customHeight="1" thickBot="1" x14ac:dyDescent="0.3">
      <c r="A5" s="60" t="s">
        <v>22</v>
      </c>
      <c r="B5" s="10" t="s">
        <v>21</v>
      </c>
      <c r="C5" s="47">
        <v>2</v>
      </c>
      <c r="D5" s="38">
        <f t="shared" si="0"/>
        <v>1</v>
      </c>
      <c r="E5" s="44">
        <v>0</v>
      </c>
      <c r="F5" s="44">
        <v>0</v>
      </c>
      <c r="G5" s="44">
        <v>0</v>
      </c>
      <c r="H5" s="44">
        <v>0</v>
      </c>
      <c r="I5" s="44">
        <v>1</v>
      </c>
      <c r="J5" s="44"/>
      <c r="K5" s="44"/>
      <c r="L5" s="44"/>
      <c r="M5" s="44"/>
      <c r="N5" s="44"/>
      <c r="O5" s="44"/>
      <c r="P5" s="44"/>
    </row>
    <row r="6" spans="1:16" ht="81" customHeight="1" x14ac:dyDescent="0.25">
      <c r="A6" s="58" t="s">
        <v>18</v>
      </c>
      <c r="B6" s="14" t="s">
        <v>23</v>
      </c>
      <c r="C6" s="49">
        <v>2</v>
      </c>
      <c r="D6" s="38">
        <f t="shared" si="0"/>
        <v>2</v>
      </c>
      <c r="E6" s="44">
        <v>1</v>
      </c>
      <c r="F6" s="44"/>
      <c r="G6" s="44"/>
      <c r="H6" s="44">
        <v>1</v>
      </c>
      <c r="I6" s="44"/>
      <c r="J6" s="44"/>
      <c r="K6" s="44"/>
      <c r="L6" s="44"/>
      <c r="M6" s="44"/>
      <c r="N6" s="44"/>
      <c r="O6" s="44"/>
      <c r="P6" s="44"/>
    </row>
    <row r="7" spans="1:16" ht="81" customHeight="1" x14ac:dyDescent="0.25">
      <c r="A7" s="61" t="s">
        <v>18</v>
      </c>
      <c r="B7" s="14" t="s">
        <v>24</v>
      </c>
      <c r="C7" s="49">
        <v>1</v>
      </c>
      <c r="D7" s="38">
        <f t="shared" si="0"/>
        <v>1</v>
      </c>
      <c r="E7" s="44"/>
      <c r="F7" s="44"/>
      <c r="G7" s="44">
        <v>1</v>
      </c>
      <c r="H7" s="44"/>
      <c r="I7" s="44"/>
      <c r="J7" s="44"/>
      <c r="K7" s="44"/>
      <c r="L7" s="44"/>
      <c r="M7" s="44"/>
      <c r="N7" s="44"/>
      <c r="O7" s="44"/>
      <c r="P7" s="44"/>
    </row>
    <row r="8" spans="1:16" ht="28.5" customHeight="1" x14ac:dyDescent="0.25">
      <c r="A8" s="69" t="s">
        <v>77</v>
      </c>
      <c r="B8" s="50" t="s">
        <v>78</v>
      </c>
      <c r="C8" s="49">
        <v>3</v>
      </c>
      <c r="D8" s="38">
        <f t="shared" ref="D8:D35" si="1">SUM(E8:O8)</f>
        <v>2</v>
      </c>
      <c r="E8" s="44">
        <v>1</v>
      </c>
      <c r="F8" s="44">
        <v>1</v>
      </c>
      <c r="G8" s="44"/>
      <c r="H8" s="44"/>
      <c r="I8" s="44"/>
      <c r="J8" s="44"/>
      <c r="K8" s="44"/>
      <c r="L8" s="44"/>
      <c r="M8" s="44"/>
      <c r="N8" s="44"/>
      <c r="O8" s="44"/>
      <c r="P8" s="40"/>
    </row>
    <row r="9" spans="1:16" ht="28.5" customHeight="1" x14ac:dyDescent="0.25">
      <c r="A9" s="70"/>
      <c r="B9" s="50" t="s">
        <v>79</v>
      </c>
      <c r="C9" s="49">
        <v>3</v>
      </c>
      <c r="D9" s="38">
        <f t="shared" si="1"/>
        <v>0</v>
      </c>
      <c r="E9" s="44"/>
      <c r="F9" s="44"/>
      <c r="G9" s="44"/>
      <c r="H9" s="44"/>
      <c r="I9" s="44"/>
      <c r="J9" s="44"/>
      <c r="K9" s="44"/>
      <c r="L9" s="44"/>
      <c r="M9" s="44"/>
      <c r="N9" s="44"/>
      <c r="O9" s="44"/>
      <c r="P9" s="40"/>
    </row>
    <row r="10" spans="1:16" ht="28.5" customHeight="1" x14ac:dyDescent="0.25">
      <c r="A10" s="70"/>
      <c r="B10" s="50" t="s">
        <v>80</v>
      </c>
      <c r="C10" s="49">
        <v>92</v>
      </c>
      <c r="D10" s="38">
        <f t="shared" si="1"/>
        <v>41</v>
      </c>
      <c r="E10" s="44">
        <v>2</v>
      </c>
      <c r="F10" s="44">
        <v>11</v>
      </c>
      <c r="G10" s="44">
        <v>8</v>
      </c>
      <c r="H10" s="44">
        <v>10</v>
      </c>
      <c r="I10" s="44">
        <v>9</v>
      </c>
      <c r="J10" s="44">
        <v>1</v>
      </c>
      <c r="K10" s="44"/>
      <c r="L10" s="44"/>
      <c r="M10" s="44"/>
      <c r="N10" s="44"/>
      <c r="O10" s="44"/>
      <c r="P10" s="40"/>
    </row>
    <row r="11" spans="1:16" ht="28.5" customHeight="1" x14ac:dyDescent="0.25">
      <c r="A11" s="70"/>
      <c r="B11" s="50" t="s">
        <v>81</v>
      </c>
      <c r="C11" s="49">
        <v>70</v>
      </c>
      <c r="D11" s="38">
        <f t="shared" si="1"/>
        <v>32</v>
      </c>
      <c r="E11" s="44">
        <v>1</v>
      </c>
      <c r="F11" s="44"/>
      <c r="G11" s="44">
        <v>9</v>
      </c>
      <c r="H11" s="44">
        <v>12</v>
      </c>
      <c r="I11" s="44"/>
      <c r="J11" s="44">
        <v>10</v>
      </c>
      <c r="K11" s="44"/>
      <c r="L11" s="44"/>
      <c r="M11" s="44"/>
      <c r="N11" s="44"/>
      <c r="O11" s="44"/>
      <c r="P11" s="40"/>
    </row>
    <row r="12" spans="1:16" ht="28.5" customHeight="1" x14ac:dyDescent="0.25">
      <c r="A12" s="70"/>
      <c r="B12" s="50" t="s">
        <v>82</v>
      </c>
      <c r="C12" s="49">
        <v>0</v>
      </c>
      <c r="D12" s="38">
        <f t="shared" si="1"/>
        <v>0</v>
      </c>
      <c r="E12" s="44"/>
      <c r="F12" s="44"/>
      <c r="G12" s="44"/>
      <c r="H12" s="44"/>
      <c r="I12" s="44"/>
      <c r="J12" s="44"/>
      <c r="K12" s="44"/>
      <c r="L12" s="44"/>
      <c r="M12" s="44"/>
      <c r="N12" s="44"/>
      <c r="O12" s="44"/>
      <c r="P12" s="40"/>
    </row>
    <row r="13" spans="1:16" ht="28.5" customHeight="1" x14ac:dyDescent="0.25">
      <c r="A13" s="70"/>
      <c r="B13" s="50" t="s">
        <v>83</v>
      </c>
      <c r="C13" s="49">
        <v>20</v>
      </c>
      <c r="D13" s="38">
        <f t="shared" si="1"/>
        <v>0</v>
      </c>
      <c r="E13" s="44"/>
      <c r="F13" s="44"/>
      <c r="G13" s="44"/>
      <c r="H13" s="44"/>
      <c r="I13" s="44"/>
      <c r="J13" s="44"/>
      <c r="K13" s="44"/>
      <c r="L13" s="44"/>
      <c r="M13" s="44"/>
      <c r="N13" s="44"/>
      <c r="O13" s="44"/>
      <c r="P13" s="40"/>
    </row>
    <row r="14" spans="1:16" ht="28.5" customHeight="1" x14ac:dyDescent="0.25">
      <c r="A14" s="70"/>
      <c r="B14" s="50" t="s">
        <v>84</v>
      </c>
      <c r="C14" s="49">
        <v>0</v>
      </c>
      <c r="D14" s="38">
        <f t="shared" si="1"/>
        <v>0</v>
      </c>
      <c r="E14" s="44"/>
      <c r="F14" s="44"/>
      <c r="G14" s="44"/>
      <c r="H14" s="44"/>
      <c r="I14" s="44"/>
      <c r="J14" s="44"/>
      <c r="K14" s="44"/>
      <c r="L14" s="44"/>
      <c r="M14" s="44"/>
      <c r="N14" s="44"/>
      <c r="O14" s="44"/>
      <c r="P14" s="40"/>
    </row>
    <row r="15" spans="1:16" ht="28.5" customHeight="1" x14ac:dyDescent="0.25">
      <c r="A15" s="70"/>
      <c r="B15" s="50" t="s">
        <v>85</v>
      </c>
      <c r="C15" s="49">
        <v>0</v>
      </c>
      <c r="D15" s="38">
        <f t="shared" si="1"/>
        <v>0</v>
      </c>
      <c r="E15" s="44"/>
      <c r="F15" s="44"/>
      <c r="G15" s="44"/>
      <c r="H15" s="44"/>
      <c r="I15" s="44"/>
      <c r="J15" s="44"/>
      <c r="K15" s="44"/>
      <c r="L15" s="44"/>
      <c r="M15" s="44"/>
      <c r="N15" s="44"/>
      <c r="O15" s="44"/>
      <c r="P15" s="40"/>
    </row>
    <row r="16" spans="1:16" ht="28.5" customHeight="1" x14ac:dyDescent="0.25">
      <c r="A16" s="70"/>
      <c r="B16" s="50" t="s">
        <v>86</v>
      </c>
      <c r="C16" s="49">
        <v>0</v>
      </c>
      <c r="D16" s="38">
        <f t="shared" si="1"/>
        <v>0</v>
      </c>
      <c r="E16" s="44"/>
      <c r="F16" s="44"/>
      <c r="G16" s="44"/>
      <c r="H16" s="44"/>
      <c r="I16" s="44"/>
      <c r="J16" s="44"/>
      <c r="K16" s="44"/>
      <c r="L16" s="44"/>
      <c r="M16" s="44"/>
      <c r="N16" s="44"/>
      <c r="O16" s="44"/>
      <c r="P16" s="40"/>
    </row>
    <row r="17" spans="1:16" ht="28.5" customHeight="1" x14ac:dyDescent="0.25">
      <c r="A17" s="70"/>
      <c r="B17" s="50" t="s">
        <v>87</v>
      </c>
      <c r="C17" s="49">
        <v>0</v>
      </c>
      <c r="D17" s="38">
        <f t="shared" si="1"/>
        <v>0</v>
      </c>
      <c r="E17" s="44"/>
      <c r="F17" s="44"/>
      <c r="G17" s="44"/>
      <c r="H17" s="44"/>
      <c r="I17" s="44"/>
      <c r="J17" s="44"/>
      <c r="K17" s="44"/>
      <c r="L17" s="44"/>
      <c r="M17" s="44"/>
      <c r="N17" s="44"/>
      <c r="O17" s="44"/>
      <c r="P17" s="40"/>
    </row>
    <row r="18" spans="1:16" ht="28.5" customHeight="1" x14ac:dyDescent="0.25">
      <c r="A18" s="70"/>
      <c r="B18" s="50" t="s">
        <v>88</v>
      </c>
      <c r="C18" s="49">
        <v>0</v>
      </c>
      <c r="D18" s="38">
        <f t="shared" si="1"/>
        <v>0</v>
      </c>
      <c r="E18" s="44"/>
      <c r="F18" s="44"/>
      <c r="G18" s="44"/>
      <c r="H18" s="44"/>
      <c r="I18" s="44"/>
      <c r="J18" s="44"/>
      <c r="K18" s="44"/>
      <c r="L18" s="44"/>
      <c r="M18" s="44"/>
      <c r="N18" s="44"/>
      <c r="O18" s="44"/>
      <c r="P18" s="40"/>
    </row>
    <row r="19" spans="1:16" ht="28.5" customHeight="1" x14ac:dyDescent="0.25">
      <c r="A19" s="70"/>
      <c r="B19" s="50" t="s">
        <v>89</v>
      </c>
      <c r="C19" s="49">
        <v>0</v>
      </c>
      <c r="D19" s="38">
        <f t="shared" si="1"/>
        <v>0</v>
      </c>
      <c r="E19" s="44"/>
      <c r="F19" s="44"/>
      <c r="G19" s="44"/>
      <c r="H19" s="44"/>
      <c r="I19" s="44"/>
      <c r="J19" s="44"/>
      <c r="K19" s="44"/>
      <c r="L19" s="44"/>
      <c r="M19" s="44"/>
      <c r="N19" s="44"/>
      <c r="O19" s="44"/>
      <c r="P19" s="40"/>
    </row>
    <row r="20" spans="1:16" ht="28.5" customHeight="1" x14ac:dyDescent="0.25">
      <c r="A20" s="70"/>
      <c r="B20" s="50" t="s">
        <v>90</v>
      </c>
      <c r="C20" s="49">
        <v>0</v>
      </c>
      <c r="D20" s="38">
        <f t="shared" si="1"/>
        <v>0</v>
      </c>
      <c r="E20" s="44"/>
      <c r="F20" s="44"/>
      <c r="G20" s="44"/>
      <c r="H20" s="44"/>
      <c r="I20" s="44"/>
      <c r="J20" s="44"/>
      <c r="K20" s="44"/>
      <c r="L20" s="44"/>
      <c r="M20" s="44"/>
      <c r="N20" s="44"/>
      <c r="O20" s="44"/>
      <c r="P20" s="40"/>
    </row>
    <row r="21" spans="1:16" ht="28.5" customHeight="1" x14ac:dyDescent="0.25">
      <c r="A21" s="70"/>
      <c r="B21" s="50" t="s">
        <v>91</v>
      </c>
      <c r="C21" s="49">
        <v>0</v>
      </c>
      <c r="D21" s="38">
        <f t="shared" si="1"/>
        <v>0</v>
      </c>
      <c r="E21" s="44"/>
      <c r="F21" s="44"/>
      <c r="G21" s="44"/>
      <c r="H21" s="44"/>
      <c r="I21" s="44"/>
      <c r="J21" s="44"/>
      <c r="K21" s="44"/>
      <c r="L21" s="44"/>
      <c r="M21" s="44"/>
      <c r="N21" s="44"/>
      <c r="O21" s="44"/>
      <c r="P21" s="40"/>
    </row>
    <row r="22" spans="1:16" ht="28.5" customHeight="1" x14ac:dyDescent="0.25">
      <c r="A22" s="70"/>
      <c r="B22" s="50" t="s">
        <v>92</v>
      </c>
      <c r="C22" s="49">
        <v>52</v>
      </c>
      <c r="D22" s="38">
        <f t="shared" si="1"/>
        <v>24</v>
      </c>
      <c r="E22" s="44">
        <v>12</v>
      </c>
      <c r="F22" s="44"/>
      <c r="G22" s="44">
        <v>2</v>
      </c>
      <c r="H22" s="44">
        <v>10</v>
      </c>
      <c r="I22" s="44"/>
      <c r="J22" s="44"/>
      <c r="K22" s="44"/>
      <c r="L22" s="44"/>
      <c r="M22" s="44"/>
      <c r="N22" s="44"/>
      <c r="O22" s="44"/>
      <c r="P22" s="40"/>
    </row>
    <row r="23" spans="1:16" ht="28.5" customHeight="1" x14ac:dyDescent="0.25">
      <c r="A23" s="70"/>
      <c r="B23" s="50" t="s">
        <v>93</v>
      </c>
      <c r="C23" s="49">
        <v>2</v>
      </c>
      <c r="D23" s="38">
        <f t="shared" si="1"/>
        <v>1</v>
      </c>
      <c r="E23" s="44"/>
      <c r="F23" s="44"/>
      <c r="G23" s="44">
        <v>1</v>
      </c>
      <c r="H23" s="44"/>
      <c r="I23" s="44"/>
      <c r="J23" s="44"/>
      <c r="K23" s="44"/>
      <c r="L23" s="44"/>
      <c r="M23" s="44"/>
      <c r="N23" s="44"/>
      <c r="O23" s="44"/>
      <c r="P23" s="40"/>
    </row>
    <row r="24" spans="1:16" ht="24" customHeight="1" x14ac:dyDescent="0.25">
      <c r="A24" s="70"/>
      <c r="B24" s="51" t="s">
        <v>94</v>
      </c>
      <c r="C24" s="49">
        <v>6</v>
      </c>
      <c r="D24" s="38">
        <f t="shared" si="1"/>
        <v>4</v>
      </c>
      <c r="E24" s="44"/>
      <c r="F24" s="44">
        <v>1</v>
      </c>
      <c r="G24" s="44">
        <v>3</v>
      </c>
      <c r="H24" s="44"/>
      <c r="I24" s="44"/>
      <c r="J24" s="44"/>
      <c r="K24" s="44"/>
      <c r="L24" s="44"/>
      <c r="M24" s="44"/>
      <c r="N24" s="44"/>
      <c r="O24" s="44"/>
      <c r="P24" s="40"/>
    </row>
    <row r="25" spans="1:16" ht="24" customHeight="1" x14ac:dyDescent="0.25">
      <c r="A25" s="70"/>
      <c r="B25" s="51" t="s">
        <v>95</v>
      </c>
      <c r="C25" s="49">
        <v>6</v>
      </c>
      <c r="D25" s="38">
        <f t="shared" si="1"/>
        <v>6</v>
      </c>
      <c r="E25" s="44"/>
      <c r="F25" s="44"/>
      <c r="G25" s="44">
        <v>1</v>
      </c>
      <c r="H25" s="44">
        <v>5</v>
      </c>
      <c r="I25" s="44"/>
      <c r="J25" s="44"/>
      <c r="K25" s="44"/>
      <c r="L25" s="44"/>
      <c r="M25" s="44"/>
      <c r="N25" s="44"/>
      <c r="O25" s="44"/>
      <c r="P25" s="40"/>
    </row>
    <row r="26" spans="1:16" ht="24" customHeight="1" x14ac:dyDescent="0.25">
      <c r="A26" s="70"/>
      <c r="B26" s="51" t="s">
        <v>96</v>
      </c>
      <c r="C26" s="49">
        <v>6</v>
      </c>
      <c r="D26" s="38">
        <f t="shared" si="1"/>
        <v>6</v>
      </c>
      <c r="E26" s="44"/>
      <c r="F26" s="44"/>
      <c r="G26" s="44"/>
      <c r="H26" s="44"/>
      <c r="I26" s="44">
        <v>6</v>
      </c>
      <c r="J26" s="44"/>
      <c r="K26" s="44"/>
      <c r="L26" s="44"/>
      <c r="M26" s="44"/>
      <c r="N26" s="44"/>
      <c r="O26" s="44"/>
      <c r="P26" s="40"/>
    </row>
    <row r="27" spans="1:16" ht="24" customHeight="1" x14ac:dyDescent="0.25">
      <c r="A27" s="70"/>
      <c r="B27" s="51" t="s">
        <v>97</v>
      </c>
      <c r="C27" s="49">
        <v>6</v>
      </c>
      <c r="D27" s="38">
        <f t="shared" si="1"/>
        <v>2</v>
      </c>
      <c r="E27" s="44"/>
      <c r="F27" s="44"/>
      <c r="G27" s="44"/>
      <c r="H27" s="44"/>
      <c r="I27" s="44"/>
      <c r="J27" s="44">
        <v>2</v>
      </c>
      <c r="K27" s="44"/>
      <c r="L27" s="44"/>
      <c r="M27" s="44"/>
      <c r="N27" s="44"/>
      <c r="O27" s="44"/>
      <c r="P27" s="40"/>
    </row>
    <row r="28" spans="1:16" ht="24" customHeight="1" x14ac:dyDescent="0.25">
      <c r="A28" s="70"/>
      <c r="B28" s="51" t="s">
        <v>98</v>
      </c>
      <c r="C28" s="49">
        <v>6</v>
      </c>
      <c r="D28" s="38">
        <f t="shared" si="1"/>
        <v>0</v>
      </c>
      <c r="E28" s="44"/>
      <c r="F28" s="44"/>
      <c r="G28" s="44"/>
      <c r="H28" s="44"/>
      <c r="I28" s="44"/>
      <c r="J28" s="44"/>
      <c r="K28" s="44"/>
      <c r="L28" s="44"/>
      <c r="M28" s="44"/>
      <c r="N28" s="44"/>
      <c r="O28" s="44"/>
      <c r="P28" s="40"/>
    </row>
    <row r="29" spans="1:16" ht="24" customHeight="1" x14ac:dyDescent="0.25">
      <c r="A29" s="70"/>
      <c r="B29" s="51" t="s">
        <v>99</v>
      </c>
      <c r="C29" s="49">
        <v>1</v>
      </c>
      <c r="D29" s="38">
        <f t="shared" si="1"/>
        <v>0</v>
      </c>
      <c r="E29" s="44"/>
      <c r="F29" s="44"/>
      <c r="G29" s="44"/>
      <c r="H29" s="44"/>
      <c r="I29" s="44"/>
      <c r="J29" s="44"/>
      <c r="K29" s="44"/>
      <c r="L29" s="44"/>
      <c r="M29" s="44"/>
      <c r="N29" s="44"/>
      <c r="O29" s="44"/>
      <c r="P29" s="40"/>
    </row>
    <row r="30" spans="1:16" ht="24" customHeight="1" x14ac:dyDescent="0.25">
      <c r="A30" s="70"/>
      <c r="B30" s="51" t="s">
        <v>100</v>
      </c>
      <c r="C30" s="49">
        <v>1</v>
      </c>
      <c r="D30" s="38">
        <f t="shared" si="1"/>
        <v>0</v>
      </c>
      <c r="E30" s="44"/>
      <c r="F30" s="44"/>
      <c r="G30" s="44"/>
      <c r="H30" s="44"/>
      <c r="I30" s="44"/>
      <c r="J30" s="44"/>
      <c r="K30" s="44"/>
      <c r="L30" s="44"/>
      <c r="M30" s="44"/>
      <c r="N30" s="44"/>
      <c r="O30" s="44"/>
      <c r="P30" s="40"/>
    </row>
    <row r="31" spans="1:16" ht="24" customHeight="1" x14ac:dyDescent="0.25">
      <c r="A31" s="70"/>
      <c r="B31" s="51" t="s">
        <v>101</v>
      </c>
      <c r="C31" s="49">
        <v>1</v>
      </c>
      <c r="D31" s="38">
        <f t="shared" si="1"/>
        <v>0</v>
      </c>
      <c r="E31" s="44"/>
      <c r="F31" s="44"/>
      <c r="G31" s="44"/>
      <c r="H31" s="44"/>
      <c r="I31" s="44"/>
      <c r="J31" s="44"/>
      <c r="K31" s="44"/>
      <c r="L31" s="44"/>
      <c r="M31" s="44"/>
      <c r="N31" s="44"/>
      <c r="O31" s="44"/>
      <c r="P31" s="40"/>
    </row>
    <row r="32" spans="1:16" ht="24" customHeight="1" x14ac:dyDescent="0.25">
      <c r="A32" s="70"/>
      <c r="B32" s="51" t="s">
        <v>102</v>
      </c>
      <c r="C32" s="49">
        <v>1</v>
      </c>
      <c r="D32" s="38">
        <f t="shared" si="1"/>
        <v>0</v>
      </c>
      <c r="E32" s="44"/>
      <c r="F32" s="44"/>
      <c r="G32" s="44"/>
      <c r="H32" s="44"/>
      <c r="I32" s="44"/>
      <c r="J32" s="44"/>
      <c r="K32" s="44"/>
      <c r="L32" s="44"/>
      <c r="M32" s="44"/>
      <c r="N32" s="44"/>
      <c r="O32" s="44"/>
      <c r="P32" s="40"/>
    </row>
    <row r="33" spans="1:16" ht="24" customHeight="1" x14ac:dyDescent="0.25">
      <c r="A33" s="70"/>
      <c r="B33" s="51" t="s">
        <v>103</v>
      </c>
      <c r="C33" s="49">
        <v>1</v>
      </c>
      <c r="D33" s="38">
        <f t="shared" si="1"/>
        <v>0</v>
      </c>
      <c r="E33" s="44"/>
      <c r="F33" s="44"/>
      <c r="G33" s="44"/>
      <c r="H33" s="44"/>
      <c r="I33" s="44"/>
      <c r="J33" s="44"/>
      <c r="K33" s="44"/>
      <c r="L33" s="44"/>
      <c r="M33" s="44"/>
      <c r="N33" s="44"/>
      <c r="O33" s="44"/>
      <c r="P33" s="40"/>
    </row>
    <row r="34" spans="1:16" ht="24" customHeight="1" x14ac:dyDescent="0.25">
      <c r="A34" s="70"/>
      <c r="B34" s="51" t="s">
        <v>104</v>
      </c>
      <c r="C34" s="49">
        <v>1</v>
      </c>
      <c r="D34" s="38">
        <f t="shared" si="1"/>
        <v>0</v>
      </c>
      <c r="E34" s="44"/>
      <c r="F34" s="44"/>
      <c r="G34" s="44"/>
      <c r="H34" s="44"/>
      <c r="I34" s="44"/>
      <c r="J34" s="44"/>
      <c r="K34" s="44"/>
      <c r="L34" s="44"/>
      <c r="M34" s="44"/>
      <c r="N34" s="44"/>
      <c r="O34" s="44"/>
      <c r="P34" s="40"/>
    </row>
    <row r="35" spans="1:16" ht="24" customHeight="1" thickBot="1" x14ac:dyDescent="0.3">
      <c r="A35" s="71"/>
      <c r="B35" s="52" t="s">
        <v>105</v>
      </c>
      <c r="C35" s="49">
        <v>1</v>
      </c>
      <c r="D35" s="38">
        <f t="shared" si="1"/>
        <v>0</v>
      </c>
      <c r="E35" s="44"/>
      <c r="F35" s="44"/>
      <c r="G35" s="44"/>
      <c r="H35" s="44"/>
      <c r="I35" s="44"/>
      <c r="J35" s="44"/>
      <c r="K35" s="44"/>
      <c r="L35" s="44"/>
      <c r="M35" s="44"/>
      <c r="N35" s="44"/>
      <c r="O35" s="44"/>
      <c r="P35" s="40"/>
    </row>
    <row r="36" spans="1:16" x14ac:dyDescent="0.25">
      <c r="C36" s="53">
        <f>SUM(C3:C35)</f>
        <v>288</v>
      </c>
      <c r="D36" s="54">
        <f>SUM(D3:D35)</f>
        <v>125</v>
      </c>
    </row>
    <row r="37" spans="1:16" x14ac:dyDescent="0.25">
      <c r="C37" s="13"/>
      <c r="D37" s="55">
        <f>D36/C36</f>
        <v>0.43402777777777779</v>
      </c>
    </row>
  </sheetData>
  <sheetProtection algorithmName="SHA-512" hashValue="J8x1kBcg4nZKNXz9uxu68QlQes9mR3oBV8F1GirsdUJXkM89OZK5U7yUMtcVSi3Vmq57anNf5SY6gb57f6fDtA==" saltValue="tAxqEX4ZHdIqpMcHViTk7A==" spinCount="100000" sheet="1" objects="1" scenarios="1" autoFilter="0"/>
  <mergeCells count="2">
    <mergeCell ref="A1:A2"/>
    <mergeCell ref="A8:A35"/>
  </mergeCells>
  <conditionalFormatting sqref="C3:D3 D4:D7">
    <cfRule type="dataBar" priority="44">
      <dataBar>
        <cfvo type="min"/>
        <cfvo type="max"/>
        <color rgb="FF008AEF"/>
      </dataBar>
      <extLst>
        <ext xmlns:x14="http://schemas.microsoft.com/office/spreadsheetml/2009/9/main" uri="{B025F937-C7B1-47D3-B67F-A62EFF666E3E}">
          <x14:id>{F18E2A25-7008-4C60-8E9A-1F43404C4482}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{E68EC1C4-994D-46AF-AD16-B78C7A522472}</x14:id>
        </ext>
      </extLst>
    </cfRule>
  </conditionalFormatting>
  <conditionalFormatting sqref="C5:D5">
    <cfRule type="dataBar" priority="5">
      <dataBar>
        <cfvo type="min"/>
        <cfvo type="max"/>
        <color rgb="FF008AEF"/>
      </dataBar>
      <extLst>
        <ext xmlns:x14="http://schemas.microsoft.com/office/spreadsheetml/2009/9/main" uri="{B025F937-C7B1-47D3-B67F-A62EFF666E3E}">
          <x14:id>{D3C12BE1-9594-4A3D-BA08-BEC9475D7DA5}</x14:id>
        </ext>
      </extLst>
    </cfRule>
  </conditionalFormatting>
  <conditionalFormatting sqref="C6:D6">
    <cfRule type="dataBar" priority="6">
      <dataBar>
        <cfvo type="min"/>
        <cfvo type="max"/>
        <color rgb="FF008AEF"/>
      </dataBar>
      <extLst>
        <ext xmlns:x14="http://schemas.microsoft.com/office/spreadsheetml/2009/9/main" uri="{B025F937-C7B1-47D3-B67F-A62EFF666E3E}">
          <x14:id>{B01A7B44-C1C9-40DA-B13D-C85BA4EBE332}</x14:id>
        </ext>
      </extLst>
    </cfRule>
  </conditionalFormatting>
  <conditionalFormatting sqref="C7:D7">
    <cfRule type="dataBar" priority="7">
      <dataBar>
        <cfvo type="min"/>
        <cfvo type="max"/>
        <color rgb="FF008AEF"/>
      </dataBar>
      <extLst>
        <ext xmlns:x14="http://schemas.microsoft.com/office/spreadsheetml/2009/9/main" uri="{B025F937-C7B1-47D3-B67F-A62EFF666E3E}">
          <x14:id>{77E6A462-56EC-40D5-BDF4-A7D598C05BBE}</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{7F7B6FF6-6A1C-4E2F-8CA7-028B149ED550}</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{6268D825-1B76-42AB-A54A-6D43076D19CE}</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{8B5A9C47-3096-43FF-BB28-DA3BA3CABAF9}</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{B9AD45D4-AF5D-4FE7-8597-DF92C9420821}</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{8AF2B69E-0F23-47A6-AD3A-8CD16CB8BE4D}</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{CB7A7325-5B02-41B7-B3AA-BA0A43AFF934}</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{24813E51-4114-44E4-BE72-310C69129EF7}</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{3BCEDBAB-C774-4194-9B8B-5BBFD3EF5AB1}</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{10A43A9E-5DB4-4666-8D2F-661AE12AC547}</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{7F20574E-B635-4B40-892E-B4E6D16CA18D}</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{2BC92AD3-F0B4-4516-9C9D-E973E91A78B3}</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{CFEB01C5-E938-4896-A744-1ABC0885F655}</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{96BD692B-ED61-47EC-A294-47A173DF16F0}</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{BBC35A49-1C9F-457A-80B2-EA148D072F80}</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{AC3CD3AC-D0D4-44BD-8779-45962C92A35A}</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{E40F7A88-CC36-482F-9C5E-12DFC0ADB079}</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{27E59E94-9064-477E-B714-88CB998688F4}</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{8BD3A126-B96F-4B04-952A-E02FA894BF96}</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{DDD65BEC-3173-47C4-928B-265AC2FDB68E}</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{C1341EAA-66A8-4321-A0E5-236F05ADDD06}</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{EEABA7A4-5A04-4DDA-91E8-DA59E607ADE4}</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{AC23068B-E69B-42A1-82D5-EA1C5DBB07C5}</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{3060E302-AFAF-457D-AC30-4A6330BD552A}</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{7E7489F3-170F-4672-9FDE-212DC691C6D1}</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{BD6DE054-950A-40ED-B3C3-01CAA2ADA5AC}</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{DFFF2FAA-C59D-469F-8951-E01FCE5A1070}</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{A19159EF-AE18-4F9E-AE22-A624C68C8E11}</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{FF49D0C0-5B0A-4757-9F58-A6BE2052E937}</x14:id>
        </ext>
      </extLst>
    </cfRule>
  </conditionalFormatting>
  <conditionalFormatting sqref="E3:F31 E32:O35">
    <cfRule type="cellIs" dxfId="33" priority="1" operator="greaterThan">
      <formula>0</formula>
    </cfRule>
  </conditionalFormatting>
  <conditionalFormatting sqref="G8:O31">
    <cfRule type="cellIs" dxfId="32" priority="11" operator="greaterThan">
      <formula>0</formula>
    </cfRule>
  </conditionalFormatting>
  <conditionalFormatting sqref="G3:P7">
    <cfRule type="cellIs" dxfId="31"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F18E2A25-7008-4C60-8E9A-1F43404C4482}">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E68EC1C4-994D-46AF-AD16-B78C7A52247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3C12BE1-9594-4A3D-BA08-BEC9475D7DA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01A7B44-C1C9-40DA-B13D-C85BA4EBE33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7E6A462-56EC-40D5-BDF4-A7D598C05BB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F7B6FF6-6A1C-4E2F-8CA7-028B149ED55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268D825-1B76-42AB-A54A-6D43076D19CE}">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B5A9C47-3096-43FF-BB28-DA3BA3CABAF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9AD45D4-AF5D-4FE7-8597-DF92C942082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AF2B69E-0F23-47A6-AD3A-8CD16CB8BE4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CB7A7325-5B02-41B7-B3AA-BA0A43AFF93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24813E51-4114-44E4-BE72-310C69129EF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BCEDBAB-C774-4194-9B8B-5BBFD3EF5AB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0A43A9E-5DB4-4666-8D2F-661AE12AC54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F20574E-B635-4B40-892E-B4E6D16CA18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2BC92AD3-F0B4-4516-9C9D-E973E91A78B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CFEB01C5-E938-4896-A744-1ABC0885F65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96BD692B-ED61-47EC-A294-47A173DF16F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BC35A49-1C9F-457A-80B2-EA148D072F80}">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C3CD3AC-D0D4-44BD-8779-45962C92A35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40F7A88-CC36-482F-9C5E-12DFC0ADB079}">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27E59E94-9064-477E-B714-88CB998688F4}">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BD3A126-B96F-4B04-952A-E02FA894BF9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DD65BEC-3173-47C4-928B-265AC2FDB68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1341EAA-66A8-4321-A0E5-236F05ADDD0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EABA7A4-5A04-4DDA-91E8-DA59E607ADE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AC23068B-E69B-42A1-82D5-EA1C5DBB07C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060E302-AFAF-457D-AC30-4A6330BD552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E7489F3-170F-4672-9FDE-212DC691C6D1}">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D6DE054-950A-40ED-B3C3-01CAA2ADA5AC}">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FFF2FAA-C59D-469F-8951-E01FCE5A1070}">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19159EF-AE18-4F9E-AE22-A624C68C8E1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F49D0C0-5B0A-4757-9F58-A6BE2052E937}">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8"/>
  <sheetViews>
    <sheetView zoomScale="70" zoomScaleNormal="70" workbookViewId="0">
      <selection activeCell="L22" sqref="L22"/>
    </sheetView>
  </sheetViews>
  <sheetFormatPr baseColWidth="10" defaultColWidth="11.42578125" defaultRowHeight="15" x14ac:dyDescent="0.25"/>
  <cols>
    <col min="1" max="1" width="8.140625" style="2" customWidth="1"/>
    <col min="2" max="2" width="88"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26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x14ac:dyDescent="0.25">
      <c r="A2" s="68"/>
      <c r="B2" s="39"/>
      <c r="C2" s="3">
        <v>2026</v>
      </c>
      <c r="D2" s="3" t="s">
        <v>16</v>
      </c>
      <c r="E2" s="42"/>
      <c r="F2" s="42"/>
      <c r="G2" s="42"/>
      <c r="H2" s="42"/>
      <c r="I2" s="42"/>
      <c r="J2" s="42"/>
      <c r="K2" s="42"/>
      <c r="L2" s="42"/>
      <c r="M2" s="42"/>
      <c r="N2" s="42"/>
      <c r="O2" s="42"/>
      <c r="P2" s="42"/>
    </row>
    <row r="3" spans="1:16" ht="81" customHeight="1" thickBot="1" x14ac:dyDescent="0.3">
      <c r="A3" s="6" t="s">
        <v>18</v>
      </c>
      <c r="B3" s="15" t="s">
        <v>17</v>
      </c>
      <c r="C3" s="7">
        <v>2</v>
      </c>
      <c r="D3" s="38">
        <f t="shared" ref="D3:D8" si="0">SUM(E3:P3)</f>
        <v>0</v>
      </c>
      <c r="E3" s="44"/>
      <c r="F3" s="44"/>
      <c r="G3" s="44"/>
      <c r="H3" s="44"/>
      <c r="I3" s="44"/>
      <c r="J3" s="44"/>
      <c r="K3" s="44"/>
      <c r="L3" s="44"/>
      <c r="M3" s="44"/>
      <c r="N3" s="44"/>
      <c r="O3" s="44"/>
      <c r="P3" s="44"/>
    </row>
    <row r="4" spans="1:16" ht="81" customHeight="1" thickBot="1" x14ac:dyDescent="0.3">
      <c r="A4" s="9" t="s">
        <v>20</v>
      </c>
      <c r="B4" s="16" t="s">
        <v>19</v>
      </c>
      <c r="C4" s="46">
        <v>2</v>
      </c>
      <c r="D4" s="38">
        <f t="shared" si="0"/>
        <v>0</v>
      </c>
      <c r="E4" s="44">
        <v>0</v>
      </c>
      <c r="F4" s="44">
        <v>0</v>
      </c>
      <c r="G4" s="44">
        <v>0</v>
      </c>
      <c r="H4" s="44">
        <v>0</v>
      </c>
      <c r="I4" s="44"/>
      <c r="J4" s="44"/>
      <c r="K4" s="44"/>
      <c r="L4" s="44"/>
      <c r="M4" s="44"/>
      <c r="N4" s="44"/>
      <c r="O4" s="44"/>
      <c r="P4" s="44"/>
    </row>
    <row r="5" spans="1:16" ht="81" customHeight="1" thickBot="1" x14ac:dyDescent="0.3">
      <c r="A5" s="11" t="s">
        <v>22</v>
      </c>
      <c r="B5" s="10" t="s">
        <v>21</v>
      </c>
      <c r="C5" s="47">
        <v>2</v>
      </c>
      <c r="D5" s="38">
        <f t="shared" si="0"/>
        <v>0</v>
      </c>
      <c r="E5" s="44">
        <v>0</v>
      </c>
      <c r="F5" s="44">
        <v>0</v>
      </c>
      <c r="G5" s="44">
        <v>0</v>
      </c>
      <c r="H5" s="44">
        <v>0</v>
      </c>
      <c r="I5" s="44"/>
      <c r="J5" s="44"/>
      <c r="K5" s="44"/>
      <c r="L5" s="44"/>
      <c r="M5" s="44"/>
      <c r="N5" s="44"/>
      <c r="O5" s="44"/>
      <c r="P5" s="44"/>
    </row>
    <row r="6" spans="1:16" ht="81" customHeight="1" thickBot="1" x14ac:dyDescent="0.3">
      <c r="A6" s="6" t="s">
        <v>18</v>
      </c>
      <c r="B6" s="17" t="s">
        <v>27</v>
      </c>
      <c r="C6" s="49">
        <v>1</v>
      </c>
      <c r="D6" s="38">
        <f t="shared" si="0"/>
        <v>0</v>
      </c>
      <c r="E6" s="44"/>
      <c r="F6" s="44"/>
      <c r="G6" s="44"/>
      <c r="H6" s="44"/>
      <c r="I6" s="44"/>
      <c r="J6" s="44"/>
      <c r="K6" s="44"/>
      <c r="L6" s="44"/>
      <c r="M6" s="44"/>
      <c r="N6" s="44"/>
      <c r="O6" s="44"/>
      <c r="P6" s="44"/>
    </row>
    <row r="7" spans="1:16" ht="81" customHeight="1" thickBot="1" x14ac:dyDescent="0.3">
      <c r="A7" s="12" t="s">
        <v>18</v>
      </c>
      <c r="B7" s="17" t="s">
        <v>23</v>
      </c>
      <c r="C7" s="49">
        <v>2</v>
      </c>
      <c r="D7" s="38">
        <f t="shared" si="0"/>
        <v>0</v>
      </c>
      <c r="E7" s="44"/>
      <c r="F7" s="44"/>
      <c r="G7" s="44"/>
      <c r="H7" s="44"/>
      <c r="I7" s="44"/>
      <c r="J7" s="44"/>
      <c r="K7" s="44"/>
      <c r="L7" s="44"/>
      <c r="M7" s="44"/>
      <c r="N7" s="44"/>
      <c r="O7" s="44"/>
      <c r="P7" s="44"/>
    </row>
    <row r="8" spans="1:16" ht="81" customHeight="1" thickBot="1" x14ac:dyDescent="0.3">
      <c r="A8" s="12" t="s">
        <v>18</v>
      </c>
      <c r="B8" s="17" t="s">
        <v>24</v>
      </c>
      <c r="C8" s="49">
        <v>1</v>
      </c>
      <c r="D8" s="38">
        <f t="shared" si="0"/>
        <v>0</v>
      </c>
      <c r="E8" s="44"/>
      <c r="F8" s="44"/>
      <c r="G8" s="44"/>
      <c r="H8" s="44"/>
      <c r="I8" s="44"/>
      <c r="J8" s="44"/>
      <c r="K8" s="44"/>
      <c r="L8" s="44"/>
      <c r="M8" s="44"/>
      <c r="N8" s="44"/>
      <c r="O8" s="44"/>
      <c r="P8" s="44"/>
    </row>
    <row r="9" spans="1:16" ht="28.5" customHeight="1" x14ac:dyDescent="0.25">
      <c r="A9" s="69" t="s">
        <v>77</v>
      </c>
      <c r="B9" s="50" t="s">
        <v>78</v>
      </c>
      <c r="C9" s="49">
        <v>3</v>
      </c>
      <c r="D9" s="38">
        <f t="shared" ref="D9:D36" si="1">SUM(E9:O9)</f>
        <v>0</v>
      </c>
      <c r="E9" s="44"/>
      <c r="F9" s="44"/>
      <c r="G9" s="44"/>
      <c r="H9" s="44"/>
      <c r="I9" s="44"/>
      <c r="J9" s="44"/>
      <c r="K9" s="44"/>
      <c r="L9" s="44"/>
      <c r="M9" s="44"/>
      <c r="N9" s="44"/>
      <c r="O9" s="44"/>
      <c r="P9" s="40"/>
    </row>
    <row r="10" spans="1:16" ht="28.5" customHeight="1" x14ac:dyDescent="0.25">
      <c r="A10" s="70"/>
      <c r="B10" s="50" t="s">
        <v>79</v>
      </c>
      <c r="C10" s="49">
        <v>2</v>
      </c>
      <c r="D10" s="38">
        <f t="shared" si="1"/>
        <v>0</v>
      </c>
      <c r="E10" s="44"/>
      <c r="F10" s="44"/>
      <c r="G10" s="44"/>
      <c r="H10" s="44"/>
      <c r="I10" s="44"/>
      <c r="J10" s="44"/>
      <c r="K10" s="44"/>
      <c r="L10" s="44"/>
      <c r="M10" s="44"/>
      <c r="N10" s="44"/>
      <c r="O10" s="44"/>
      <c r="P10" s="40"/>
    </row>
    <row r="11" spans="1:16" ht="28.5" customHeight="1" x14ac:dyDescent="0.25">
      <c r="A11" s="70"/>
      <c r="B11" s="50" t="s">
        <v>80</v>
      </c>
      <c r="C11" s="49">
        <v>124</v>
      </c>
      <c r="D11" s="38">
        <f t="shared" si="1"/>
        <v>68</v>
      </c>
      <c r="E11" s="44">
        <v>10</v>
      </c>
      <c r="F11" s="44">
        <v>12</v>
      </c>
      <c r="G11" s="44">
        <v>14</v>
      </c>
      <c r="H11" s="44">
        <v>20</v>
      </c>
      <c r="I11" s="44">
        <v>11</v>
      </c>
      <c r="J11" s="44">
        <v>1</v>
      </c>
      <c r="K11" s="44"/>
      <c r="L11" s="44"/>
      <c r="M11" s="44"/>
      <c r="N11" s="44"/>
      <c r="O11" s="44"/>
      <c r="P11" s="40"/>
    </row>
    <row r="12" spans="1:16" ht="28.5" customHeight="1" x14ac:dyDescent="0.25">
      <c r="A12" s="70"/>
      <c r="B12" s="50" t="s">
        <v>81</v>
      </c>
      <c r="C12" s="49">
        <v>127</v>
      </c>
      <c r="D12" s="38">
        <f t="shared" si="1"/>
        <v>39</v>
      </c>
      <c r="E12" s="44"/>
      <c r="F12" s="44"/>
      <c r="G12" s="44">
        <v>22</v>
      </c>
      <c r="H12" s="44">
        <v>17</v>
      </c>
      <c r="I12" s="44"/>
      <c r="J12" s="44"/>
      <c r="K12" s="44"/>
      <c r="L12" s="44"/>
      <c r="M12" s="44"/>
      <c r="N12" s="44"/>
      <c r="O12" s="44"/>
      <c r="P12" s="40"/>
    </row>
    <row r="13" spans="1:16" ht="28.5" customHeight="1" x14ac:dyDescent="0.25">
      <c r="A13" s="70"/>
      <c r="B13" s="50" t="s">
        <v>82</v>
      </c>
      <c r="C13" s="49">
        <v>0</v>
      </c>
      <c r="D13" s="38">
        <f t="shared" si="1"/>
        <v>0</v>
      </c>
      <c r="E13" s="44"/>
      <c r="F13" s="44"/>
      <c r="G13" s="44"/>
      <c r="H13" s="44"/>
      <c r="I13" s="44"/>
      <c r="J13" s="44"/>
      <c r="K13" s="44"/>
      <c r="L13" s="44"/>
      <c r="M13" s="44"/>
      <c r="N13" s="44"/>
      <c r="O13" s="44"/>
      <c r="P13" s="40"/>
    </row>
    <row r="14" spans="1:16" ht="28.5" customHeight="1" x14ac:dyDescent="0.25">
      <c r="A14" s="70"/>
      <c r="B14" s="50" t="s">
        <v>83</v>
      </c>
      <c r="C14" s="49">
        <v>13</v>
      </c>
      <c r="D14" s="38">
        <f t="shared" si="1"/>
        <v>0</v>
      </c>
      <c r="E14" s="44"/>
      <c r="F14" s="44"/>
      <c r="G14" s="44"/>
      <c r="H14" s="44"/>
      <c r="I14" s="44"/>
      <c r="J14" s="44"/>
      <c r="K14" s="44"/>
      <c r="L14" s="44"/>
      <c r="M14" s="44"/>
      <c r="N14" s="44"/>
      <c r="O14" s="44"/>
      <c r="P14" s="40"/>
    </row>
    <row r="15" spans="1:16" ht="28.5" customHeight="1" x14ac:dyDescent="0.25">
      <c r="A15" s="70"/>
      <c r="B15" s="50" t="s">
        <v>84</v>
      </c>
      <c r="C15" s="49">
        <v>0</v>
      </c>
      <c r="D15" s="38">
        <f t="shared" si="1"/>
        <v>0</v>
      </c>
      <c r="E15" s="44"/>
      <c r="F15" s="44"/>
      <c r="G15" s="44"/>
      <c r="H15" s="44"/>
      <c r="I15" s="44"/>
      <c r="J15" s="44"/>
      <c r="K15" s="44"/>
      <c r="L15" s="44"/>
      <c r="M15" s="44"/>
      <c r="N15" s="44"/>
      <c r="O15" s="44"/>
      <c r="P15" s="40"/>
    </row>
    <row r="16" spans="1:16" ht="28.5" customHeight="1" x14ac:dyDescent="0.25">
      <c r="A16" s="70"/>
      <c r="B16" s="50" t="s">
        <v>85</v>
      </c>
      <c r="C16" s="49">
        <v>3</v>
      </c>
      <c r="D16" s="38">
        <f t="shared" si="1"/>
        <v>0</v>
      </c>
      <c r="E16" s="44"/>
      <c r="F16" s="44"/>
      <c r="G16" s="44"/>
      <c r="H16" s="44"/>
      <c r="I16" s="44"/>
      <c r="J16" s="44"/>
      <c r="K16" s="44"/>
      <c r="L16" s="44"/>
      <c r="M16" s="44"/>
      <c r="N16" s="44"/>
      <c r="O16" s="44"/>
      <c r="P16" s="40"/>
    </row>
    <row r="17" spans="1:16" ht="28.5" customHeight="1" x14ac:dyDescent="0.25">
      <c r="A17" s="70"/>
      <c r="B17" s="50" t="s">
        <v>86</v>
      </c>
      <c r="C17" s="49">
        <v>0</v>
      </c>
      <c r="D17" s="38">
        <f t="shared" si="1"/>
        <v>0</v>
      </c>
      <c r="E17" s="44"/>
      <c r="F17" s="44"/>
      <c r="G17" s="44"/>
      <c r="H17" s="44"/>
      <c r="I17" s="44"/>
      <c r="J17" s="44"/>
      <c r="K17" s="44"/>
      <c r="L17" s="44"/>
      <c r="M17" s="44"/>
      <c r="N17" s="44"/>
      <c r="O17" s="44"/>
      <c r="P17" s="40"/>
    </row>
    <row r="18" spans="1:16" ht="28.5" customHeight="1" x14ac:dyDescent="0.25">
      <c r="A18" s="70"/>
      <c r="B18" s="50" t="s">
        <v>87</v>
      </c>
      <c r="C18" s="49">
        <v>0</v>
      </c>
      <c r="D18" s="38">
        <f t="shared" si="1"/>
        <v>0</v>
      </c>
      <c r="E18" s="44"/>
      <c r="F18" s="44"/>
      <c r="G18" s="44"/>
      <c r="H18" s="44"/>
      <c r="I18" s="44"/>
      <c r="J18" s="44"/>
      <c r="K18" s="44"/>
      <c r="L18" s="44"/>
      <c r="M18" s="44"/>
      <c r="N18" s="44"/>
      <c r="O18" s="44"/>
      <c r="P18" s="40"/>
    </row>
    <row r="19" spans="1:16" ht="28.5" customHeight="1" x14ac:dyDescent="0.25">
      <c r="A19" s="70"/>
      <c r="B19" s="50" t="s">
        <v>88</v>
      </c>
      <c r="C19" s="49">
        <v>2</v>
      </c>
      <c r="D19" s="38">
        <f t="shared" si="1"/>
        <v>0</v>
      </c>
      <c r="E19" s="44"/>
      <c r="F19" s="44"/>
      <c r="G19" s="44"/>
      <c r="H19" s="44"/>
      <c r="I19" s="44"/>
      <c r="J19" s="44"/>
      <c r="K19" s="44"/>
      <c r="L19" s="44"/>
      <c r="M19" s="44"/>
      <c r="N19" s="44"/>
      <c r="O19" s="44"/>
      <c r="P19" s="40"/>
    </row>
    <row r="20" spans="1:16" ht="28.5" customHeight="1" x14ac:dyDescent="0.25">
      <c r="A20" s="70"/>
      <c r="B20" s="50" t="s">
        <v>89</v>
      </c>
      <c r="C20" s="49">
        <v>0</v>
      </c>
      <c r="D20" s="38">
        <f t="shared" si="1"/>
        <v>0</v>
      </c>
      <c r="E20" s="44"/>
      <c r="F20" s="44"/>
      <c r="G20" s="44"/>
      <c r="H20" s="44"/>
      <c r="I20" s="44"/>
      <c r="J20" s="44"/>
      <c r="K20" s="44"/>
      <c r="L20" s="44"/>
      <c r="M20" s="44"/>
      <c r="N20" s="44"/>
      <c r="O20" s="44"/>
      <c r="P20" s="40"/>
    </row>
    <row r="21" spans="1:16" ht="28.5" customHeight="1" x14ac:dyDescent="0.25">
      <c r="A21" s="70"/>
      <c r="B21" s="50" t="s">
        <v>90</v>
      </c>
      <c r="C21" s="49">
        <v>0</v>
      </c>
      <c r="D21" s="38">
        <f t="shared" si="1"/>
        <v>0</v>
      </c>
      <c r="E21" s="44"/>
      <c r="F21" s="44"/>
      <c r="G21" s="44"/>
      <c r="H21" s="44"/>
      <c r="I21" s="44"/>
      <c r="J21" s="44"/>
      <c r="K21" s="44"/>
      <c r="L21" s="44"/>
      <c r="M21" s="44"/>
      <c r="N21" s="44"/>
      <c r="O21" s="44"/>
      <c r="P21" s="40"/>
    </row>
    <row r="22" spans="1:16" ht="28.5" customHeight="1" x14ac:dyDescent="0.25">
      <c r="A22" s="70"/>
      <c r="B22" s="50" t="s">
        <v>91</v>
      </c>
      <c r="C22" s="49">
        <v>0</v>
      </c>
      <c r="D22" s="38">
        <f t="shared" si="1"/>
        <v>0</v>
      </c>
      <c r="E22" s="44"/>
      <c r="F22" s="44"/>
      <c r="G22" s="44"/>
      <c r="H22" s="44"/>
      <c r="I22" s="44"/>
      <c r="J22" s="44"/>
      <c r="K22" s="44"/>
      <c r="L22" s="44"/>
      <c r="M22" s="44"/>
      <c r="N22" s="44"/>
      <c r="O22" s="44"/>
      <c r="P22" s="40"/>
    </row>
    <row r="23" spans="1:16" ht="28.5" customHeight="1" x14ac:dyDescent="0.25">
      <c r="A23" s="70"/>
      <c r="B23" s="50" t="s">
        <v>92</v>
      </c>
      <c r="C23" s="49">
        <v>80</v>
      </c>
      <c r="D23" s="38">
        <f t="shared" si="1"/>
        <v>49</v>
      </c>
      <c r="E23" s="44">
        <v>20</v>
      </c>
      <c r="F23" s="44"/>
      <c r="G23" s="44">
        <v>9</v>
      </c>
      <c r="H23" s="44">
        <v>20</v>
      </c>
      <c r="I23" s="44"/>
      <c r="J23" s="44"/>
      <c r="K23" s="44"/>
      <c r="L23" s="44"/>
      <c r="M23" s="44"/>
      <c r="N23" s="44"/>
      <c r="O23" s="44"/>
      <c r="P23" s="40"/>
    </row>
    <row r="24" spans="1:16" ht="28.5" customHeight="1" x14ac:dyDescent="0.25">
      <c r="A24" s="70"/>
      <c r="B24" s="50" t="s">
        <v>93</v>
      </c>
      <c r="C24" s="49">
        <v>0</v>
      </c>
      <c r="D24" s="38">
        <f t="shared" si="1"/>
        <v>0</v>
      </c>
      <c r="E24" s="44"/>
      <c r="F24" s="44"/>
      <c r="G24" s="44"/>
      <c r="H24" s="44"/>
      <c r="I24" s="44"/>
      <c r="J24" s="44"/>
      <c r="K24" s="44"/>
      <c r="L24" s="44"/>
      <c r="M24" s="44"/>
      <c r="N24" s="44"/>
      <c r="O24" s="44"/>
      <c r="P24" s="40"/>
    </row>
    <row r="25" spans="1:16" ht="24" customHeight="1" x14ac:dyDescent="0.25">
      <c r="A25" s="70"/>
      <c r="B25" s="51" t="s">
        <v>94</v>
      </c>
      <c r="C25" s="49">
        <v>8</v>
      </c>
      <c r="D25" s="38">
        <f t="shared" si="1"/>
        <v>8</v>
      </c>
      <c r="E25" s="44"/>
      <c r="F25" s="44"/>
      <c r="G25" s="44">
        <v>8</v>
      </c>
      <c r="H25" s="44"/>
      <c r="I25" s="44"/>
      <c r="J25" s="44"/>
      <c r="K25" s="44"/>
      <c r="L25" s="44"/>
      <c r="M25" s="44"/>
      <c r="N25" s="44"/>
      <c r="O25" s="44"/>
      <c r="P25" s="40"/>
    </row>
    <row r="26" spans="1:16" ht="24" customHeight="1" x14ac:dyDescent="0.25">
      <c r="A26" s="70"/>
      <c r="B26" s="51" t="s">
        <v>95</v>
      </c>
      <c r="C26" s="49">
        <v>8</v>
      </c>
      <c r="D26" s="38">
        <f t="shared" si="1"/>
        <v>8</v>
      </c>
      <c r="E26" s="44"/>
      <c r="F26" s="44"/>
      <c r="G26" s="44"/>
      <c r="H26" s="44">
        <v>8</v>
      </c>
      <c r="I26" s="44"/>
      <c r="J26" s="44"/>
      <c r="K26" s="44"/>
      <c r="L26" s="44"/>
      <c r="M26" s="44"/>
      <c r="N26" s="44"/>
      <c r="O26" s="44"/>
      <c r="P26" s="40"/>
    </row>
    <row r="27" spans="1:16" ht="24" customHeight="1" x14ac:dyDescent="0.25">
      <c r="A27" s="70"/>
      <c r="B27" s="51" t="s">
        <v>96</v>
      </c>
      <c r="C27" s="49">
        <v>8</v>
      </c>
      <c r="D27" s="38">
        <f t="shared" si="1"/>
        <v>8</v>
      </c>
      <c r="E27" s="44"/>
      <c r="F27" s="44"/>
      <c r="G27" s="44"/>
      <c r="H27" s="44"/>
      <c r="I27" s="44">
        <v>8</v>
      </c>
      <c r="J27" s="44"/>
      <c r="K27" s="44"/>
      <c r="L27" s="44"/>
      <c r="M27" s="44"/>
      <c r="N27" s="44"/>
      <c r="O27" s="44"/>
      <c r="P27" s="40"/>
    </row>
    <row r="28" spans="1:16" ht="24" customHeight="1" x14ac:dyDescent="0.25">
      <c r="A28" s="70"/>
      <c r="B28" s="51" t="s">
        <v>97</v>
      </c>
      <c r="C28" s="49">
        <v>8</v>
      </c>
      <c r="D28" s="38">
        <f t="shared" si="1"/>
        <v>0</v>
      </c>
      <c r="E28" s="44"/>
      <c r="F28" s="44"/>
      <c r="G28" s="44"/>
      <c r="H28" s="44"/>
      <c r="I28" s="44"/>
      <c r="J28" s="44"/>
      <c r="K28" s="44"/>
      <c r="L28" s="44"/>
      <c r="M28" s="44"/>
      <c r="N28" s="44"/>
      <c r="O28" s="44"/>
      <c r="P28" s="40"/>
    </row>
    <row r="29" spans="1:16" ht="24" customHeight="1" x14ac:dyDescent="0.25">
      <c r="A29" s="70"/>
      <c r="B29" s="51" t="s">
        <v>98</v>
      </c>
      <c r="C29" s="49">
        <v>8</v>
      </c>
      <c r="D29" s="38">
        <f t="shared" si="1"/>
        <v>0</v>
      </c>
      <c r="E29" s="44"/>
      <c r="F29" s="44"/>
      <c r="G29" s="44"/>
      <c r="H29" s="44"/>
      <c r="I29" s="44"/>
      <c r="J29" s="44"/>
      <c r="K29" s="44"/>
      <c r="L29" s="44"/>
      <c r="M29" s="44"/>
      <c r="N29" s="44"/>
      <c r="O29" s="44"/>
      <c r="P29" s="40"/>
    </row>
    <row r="30" spans="1:16" ht="24" customHeight="1" x14ac:dyDescent="0.25">
      <c r="A30" s="70"/>
      <c r="B30" s="51" t="s">
        <v>99</v>
      </c>
      <c r="C30" s="49">
        <v>1</v>
      </c>
      <c r="D30" s="38">
        <f t="shared" si="1"/>
        <v>0</v>
      </c>
      <c r="E30" s="44"/>
      <c r="F30" s="44"/>
      <c r="G30" s="44"/>
      <c r="H30" s="44"/>
      <c r="I30" s="44"/>
      <c r="J30" s="44"/>
      <c r="K30" s="44"/>
      <c r="L30" s="44"/>
      <c r="M30" s="44"/>
      <c r="N30" s="44"/>
      <c r="O30" s="44"/>
      <c r="P30" s="40"/>
    </row>
    <row r="31" spans="1:16" ht="24" customHeight="1" x14ac:dyDescent="0.25">
      <c r="A31" s="70"/>
      <c r="B31" s="51" t="s">
        <v>100</v>
      </c>
      <c r="C31" s="49">
        <v>1</v>
      </c>
      <c r="D31" s="38">
        <f t="shared" si="1"/>
        <v>0</v>
      </c>
      <c r="E31" s="44"/>
      <c r="F31" s="44"/>
      <c r="G31" s="44"/>
      <c r="H31" s="44"/>
      <c r="I31" s="44"/>
      <c r="J31" s="44"/>
      <c r="K31" s="44"/>
      <c r="L31" s="44"/>
      <c r="M31" s="44"/>
      <c r="N31" s="44"/>
      <c r="O31" s="44"/>
      <c r="P31" s="40"/>
    </row>
    <row r="32" spans="1:16" ht="24" customHeight="1" x14ac:dyDescent="0.25">
      <c r="A32" s="70"/>
      <c r="B32" s="51" t="s">
        <v>101</v>
      </c>
      <c r="C32" s="49">
        <v>1</v>
      </c>
      <c r="D32" s="38">
        <f t="shared" si="1"/>
        <v>0</v>
      </c>
      <c r="E32" s="44"/>
      <c r="F32" s="44"/>
      <c r="G32" s="44"/>
      <c r="H32" s="44"/>
      <c r="I32" s="44"/>
      <c r="J32" s="44"/>
      <c r="K32" s="44"/>
      <c r="L32" s="44"/>
      <c r="M32" s="44"/>
      <c r="N32" s="44"/>
      <c r="O32" s="44"/>
      <c r="P32" s="40"/>
    </row>
    <row r="33" spans="1:16" ht="24" customHeight="1" x14ac:dyDescent="0.25">
      <c r="A33" s="70"/>
      <c r="B33" s="51" t="s">
        <v>102</v>
      </c>
      <c r="C33" s="49">
        <v>1</v>
      </c>
      <c r="D33" s="38">
        <f t="shared" si="1"/>
        <v>0</v>
      </c>
      <c r="E33" s="44"/>
      <c r="F33" s="44"/>
      <c r="G33" s="44"/>
      <c r="H33" s="44"/>
      <c r="I33" s="44"/>
      <c r="J33" s="44"/>
      <c r="K33" s="44"/>
      <c r="L33" s="44"/>
      <c r="M33" s="44"/>
      <c r="N33" s="44"/>
      <c r="O33" s="44"/>
      <c r="P33" s="40"/>
    </row>
    <row r="34" spans="1:16" ht="24" customHeight="1" x14ac:dyDescent="0.25">
      <c r="A34" s="70"/>
      <c r="B34" s="51" t="s">
        <v>103</v>
      </c>
      <c r="C34" s="49">
        <v>1</v>
      </c>
      <c r="D34" s="38">
        <f t="shared" si="1"/>
        <v>0</v>
      </c>
      <c r="E34" s="44"/>
      <c r="F34" s="44"/>
      <c r="G34" s="44"/>
      <c r="H34" s="44"/>
      <c r="I34" s="44"/>
      <c r="J34" s="44"/>
      <c r="K34" s="44"/>
      <c r="L34" s="44"/>
      <c r="M34" s="44"/>
      <c r="N34" s="44"/>
      <c r="O34" s="44"/>
      <c r="P34" s="40"/>
    </row>
    <row r="35" spans="1:16" ht="24" customHeight="1" x14ac:dyDescent="0.25">
      <c r="A35" s="70"/>
      <c r="B35" s="51" t="s">
        <v>104</v>
      </c>
      <c r="C35" s="49">
        <v>1</v>
      </c>
      <c r="D35" s="38">
        <f t="shared" si="1"/>
        <v>0</v>
      </c>
      <c r="E35" s="44"/>
      <c r="F35" s="44"/>
      <c r="G35" s="44"/>
      <c r="H35" s="44"/>
      <c r="I35" s="44"/>
      <c r="J35" s="44"/>
      <c r="K35" s="44"/>
      <c r="L35" s="44"/>
      <c r="M35" s="44"/>
      <c r="N35" s="44"/>
      <c r="O35" s="44"/>
      <c r="P35" s="40"/>
    </row>
    <row r="36" spans="1:16" ht="24" customHeight="1" thickBot="1" x14ac:dyDescent="0.3">
      <c r="A36" s="71"/>
      <c r="B36" s="52" t="s">
        <v>105</v>
      </c>
      <c r="C36" s="49">
        <v>1</v>
      </c>
      <c r="D36" s="38">
        <f t="shared" si="1"/>
        <v>0</v>
      </c>
      <c r="E36" s="44"/>
      <c r="F36" s="44"/>
      <c r="G36" s="44"/>
      <c r="H36" s="44"/>
      <c r="I36" s="44"/>
      <c r="J36" s="44"/>
      <c r="K36" s="44"/>
      <c r="L36" s="44"/>
      <c r="M36" s="44"/>
      <c r="N36" s="44"/>
      <c r="O36" s="44"/>
      <c r="P36" s="40"/>
    </row>
    <row r="37" spans="1:16" x14ac:dyDescent="0.25">
      <c r="C37" s="53">
        <f>SUM(C3:C36)</f>
        <v>411</v>
      </c>
      <c r="D37" s="54">
        <f>SUM(D3:D36)</f>
        <v>180</v>
      </c>
    </row>
    <row r="38" spans="1:16" x14ac:dyDescent="0.25">
      <c r="C38" s="13"/>
      <c r="D38" s="55">
        <f>D37/C37</f>
        <v>0.43795620437956206</v>
      </c>
    </row>
  </sheetData>
  <sheetProtection algorithmName="SHA-512" hashValue="LMprD+Uk9KwADYmSSugGbb0DolEMRy/EvcR9GF6bGK4ldGOzLnaffTVBX/ABpauw4UdY7UyNZMmJwdYAx2+9fQ==" saltValue="MTfi9RsKokTyVC7GkluQ/w==" spinCount="100000" sheet="1" objects="1" scenarios="1" autoFilter="0"/>
  <mergeCells count="2">
    <mergeCell ref="A1:A2"/>
    <mergeCell ref="A9:A36"/>
  </mergeCells>
  <conditionalFormatting sqref="C3:D3 D4:D8">
    <cfRule type="dataBar" priority="45">
      <dataBar>
        <cfvo type="min"/>
        <cfvo type="max"/>
        <color rgb="FF008AEF"/>
      </dataBar>
      <extLst>
        <ext xmlns:x14="http://schemas.microsoft.com/office/spreadsheetml/2009/9/main" uri="{B025F937-C7B1-47D3-B67F-A62EFF666E3E}">
          <x14:id>{59A8CA23-C6C0-453E-9E8B-02A384C7D5BB}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{9D19FECE-4B9E-4E0D-BAAC-C1D4A8A41F99}</x14:id>
        </ext>
      </extLst>
    </cfRule>
  </conditionalFormatting>
  <conditionalFormatting sqref="C5:D5">
    <cfRule type="dataBar" priority="5">
      <dataBar>
        <cfvo type="min"/>
        <cfvo type="max"/>
        <color rgb="FF008AEF"/>
      </dataBar>
      <extLst>
        <ext xmlns:x14="http://schemas.microsoft.com/office/spreadsheetml/2009/9/main" uri="{B025F937-C7B1-47D3-B67F-A62EFF666E3E}">
          <x14:id>{F3CBB8E8-6896-47EB-9025-9976604E01DE}</x14:id>
        </ext>
      </extLst>
    </cfRule>
  </conditionalFormatting>
  <conditionalFormatting sqref="C6:D6">
    <cfRule type="dataBar" priority="6">
      <dataBar>
        <cfvo type="min"/>
        <cfvo type="max"/>
        <color rgb="FF008AEF"/>
      </dataBar>
      <extLst>
        <ext xmlns:x14="http://schemas.microsoft.com/office/spreadsheetml/2009/9/main" uri="{B025F937-C7B1-47D3-B67F-A62EFF666E3E}">
          <x14:id>{D21512EC-12BA-4F31-95B2-6EE9787F5080}</x14:id>
        </ext>
      </extLst>
    </cfRule>
  </conditionalFormatting>
  <conditionalFormatting sqref="C7:D7">
    <cfRule type="dataBar" priority="7">
      <dataBar>
        <cfvo type="min"/>
        <cfvo type="max"/>
        <color rgb="FF008AEF"/>
      </dataBar>
      <extLst>
        <ext xmlns:x14="http://schemas.microsoft.com/office/spreadsheetml/2009/9/main" uri="{B025F937-C7B1-47D3-B67F-A62EFF666E3E}">
          <x14:id>{52A117D2-9DA4-4E40-B3CB-E5133D230D35}</x14:id>
        </ext>
      </extLst>
    </cfRule>
  </conditionalFormatting>
  <conditionalFormatting sqref="C8:D8">
    <cfRule type="dataBar" priority="8">
      <dataBar>
        <cfvo type="min"/>
        <cfvo type="max"/>
        <color rgb="FF008AEF"/>
      </dataBar>
      <extLst>
        <ext xmlns:x14="http://schemas.microsoft.com/office/spreadsheetml/2009/9/main" uri="{B025F937-C7B1-47D3-B67F-A62EFF666E3E}">
          <x14:id>{B0F4013A-8456-4777-8EAB-1879FC59DD1F}</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{DBFA907D-775C-4E0A-96C4-4779A77734CB}</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{F68E799C-A7AE-42EF-B224-79B416CA13E0}</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{DF89D7E1-0367-4E98-8AC8-F5C57655247F}</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{7C58D4F9-B9CF-4F24-8268-01F12DC7DA20}</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{FD26CB38-5EC7-4692-95F7-9BE93948434F}</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{0EDFD48F-64B1-4261-B3AC-DF3BFDCD70F0}</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{F2D5BC9B-A1C3-4D18-97A8-2AC861244832}</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{CBFA2B2C-2123-4573-82DC-62B1B926DCBD}</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{A187ED16-7C5D-4D44-AF25-E5DE8509ADF8}</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{DC8D1014-A3E8-418E-A037-445AA958E52F}</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{863D7D92-DDC9-4D1B-A15D-47788B5B6D7B}</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{6D7447D0-58A4-4C61-A766-8D5FB22FE912}</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{0EF0DFC4-9600-4F68-BFBD-99F8E3939735}</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{06483A8E-B918-45C9-AB76-ABBD9A8004BF}</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{7BE18D8E-E0A5-4A8F-AE92-6E9E1320B3C2}</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{C835F69A-D891-49C3-9431-6070684F991C}</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{3E395B9A-85A9-46FC-BD6F-0259A436B788}</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{5B9DF18E-62C1-4E79-B927-B6D5ADB7B602}</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{CEB9B513-5790-43AA-B360-D70902E89D91}</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{EA00BA36-7699-4A78-B3DE-8114E3BEF23B}</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{F1AAA73B-4987-4213-A788-EE1D1E3693CE}</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{7578F5BD-4A1F-4B91-9FE8-476F20BBA896}</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{1BF27886-F31F-45F3-B5E6-EBB513525676}</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{F186FA84-1F76-4ACB-9BC3-3B23D533C6EE}</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{443A9B51-C7B7-4D16-9D5B-EF1A12E276A4}</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{29EA1FA0-B1AB-41BD-B252-BABF2C62B7E5}</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{21D85DDA-FCB0-44A5-AD00-3496954094DD}</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{B77765E1-F631-42D9-80C3-CA0A8BDD0ADF}</x14:id>
        </ext>
      </extLst>
    </cfRule>
  </conditionalFormatting>
  <conditionalFormatting sqref="E3:F32 E33:O36">
    <cfRule type="cellIs" dxfId="30" priority="1" operator="greaterThan">
      <formula>0</formula>
    </cfRule>
  </conditionalFormatting>
  <conditionalFormatting sqref="G9:O32">
    <cfRule type="cellIs" dxfId="29" priority="11" operator="greaterThan">
      <formula>0</formula>
    </cfRule>
  </conditionalFormatting>
  <conditionalFormatting sqref="G3:P8">
    <cfRule type="cellIs" dxfId="28"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9A8CA23-C6C0-453E-9E8B-02A384C7D5BB}">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9D19FECE-4B9E-4E0D-BAAC-C1D4A8A41F99}">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3CBB8E8-6896-47EB-9025-9976604E01D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21512EC-12BA-4F31-95B2-6EE9787F508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52A117D2-9DA4-4E40-B3CB-E5133D230D3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0F4013A-8456-4777-8EAB-1879FC59DD1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BFA907D-775C-4E0A-96C4-4779A77734C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68E799C-A7AE-42EF-B224-79B416CA13E0}">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DF89D7E1-0367-4E98-8AC8-F5C57655247F}">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C58D4F9-B9CF-4F24-8268-01F12DC7DA2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D26CB38-5EC7-4692-95F7-9BE93948434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0EDFD48F-64B1-4261-B3AC-DF3BFDCD70F0}">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2D5BC9B-A1C3-4D18-97A8-2AC861244832}">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BFA2B2C-2123-4573-82DC-62B1B926DCBD}">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A187ED16-7C5D-4D44-AF25-E5DE8509ADF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C8D1014-A3E8-418E-A037-445AA958E52F}">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63D7D92-DDC9-4D1B-A15D-47788B5B6D7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D7447D0-58A4-4C61-A766-8D5FB22FE91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0EF0DFC4-9600-4F68-BFBD-99F8E393973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6483A8E-B918-45C9-AB76-ABBD9A8004BF}">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7BE18D8E-E0A5-4A8F-AE92-6E9E1320B3C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835F69A-D891-49C3-9431-6070684F991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E395B9A-85A9-46FC-BD6F-0259A436B788}">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B9DF18E-62C1-4E79-B927-B6D5ADB7B60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EB9B513-5790-43AA-B360-D70902E89D9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A00BA36-7699-4A78-B3DE-8114E3BEF23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1AAA73B-4987-4213-A788-EE1D1E3693CE}">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7578F5BD-4A1F-4B91-9FE8-476F20BBA89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BF27886-F31F-45F3-B5E6-EBB51352567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186FA84-1F76-4ACB-9BC3-3B23D533C6E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43A9B51-C7B7-4D16-9D5B-EF1A12E276A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29EA1FA0-B1AB-41BD-B252-BABF2C62B7E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1D85DDA-FCB0-44A5-AD00-3496954094DD}">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B77765E1-F631-42D9-80C3-CA0A8BDD0ADF}">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7"/>
  <sheetViews>
    <sheetView topLeftCell="B1" zoomScale="70" zoomScaleNormal="70" workbookViewId="0">
      <selection activeCell="O6" sqref="O6"/>
    </sheetView>
  </sheetViews>
  <sheetFormatPr baseColWidth="10" defaultColWidth="11.42578125" defaultRowHeight="15" x14ac:dyDescent="0.25"/>
  <cols>
    <col min="1" max="1" width="6.85546875" style="2" customWidth="1"/>
    <col min="2" max="2" width="104"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28</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x14ac:dyDescent="0.25">
      <c r="A3" s="56" t="s">
        <v>18</v>
      </c>
      <c r="B3" s="5" t="s">
        <v>17</v>
      </c>
      <c r="C3" s="7">
        <v>2</v>
      </c>
      <c r="D3" s="38">
        <f t="shared" ref="D3:D7" si="0">SUM(E3:P3)</f>
        <v>1</v>
      </c>
      <c r="E3" s="44">
        <v>1</v>
      </c>
      <c r="F3" s="44"/>
      <c r="G3" s="44"/>
      <c r="H3" s="44"/>
      <c r="I3" s="44"/>
      <c r="J3" s="44"/>
      <c r="K3" s="44"/>
      <c r="L3" s="44"/>
      <c r="M3" s="44"/>
      <c r="N3" s="44"/>
      <c r="O3" s="44"/>
      <c r="P3" s="44"/>
    </row>
    <row r="4" spans="1:16" ht="81" customHeight="1" thickBot="1" x14ac:dyDescent="0.3">
      <c r="A4" s="57" t="s">
        <v>20</v>
      </c>
      <c r="B4" s="18" t="s">
        <v>19</v>
      </c>
      <c r="C4" s="46">
        <v>2</v>
      </c>
      <c r="D4" s="38">
        <f t="shared" si="0"/>
        <v>1</v>
      </c>
      <c r="E4" s="44">
        <v>0</v>
      </c>
      <c r="F4" s="44">
        <v>0</v>
      </c>
      <c r="G4" s="44">
        <v>0</v>
      </c>
      <c r="H4" s="44">
        <v>0</v>
      </c>
      <c r="I4" s="44">
        <v>1</v>
      </c>
      <c r="J4" s="44"/>
      <c r="K4" s="44"/>
      <c r="L4" s="44"/>
      <c r="M4" s="44"/>
      <c r="N4" s="44"/>
      <c r="O4" s="44"/>
      <c r="P4" s="44"/>
    </row>
    <row r="5" spans="1:16" ht="81" customHeight="1" thickBot="1" x14ac:dyDescent="0.3">
      <c r="A5" s="48" t="s">
        <v>22</v>
      </c>
      <c r="B5" s="10" t="s">
        <v>29</v>
      </c>
      <c r="C5" s="47">
        <v>1</v>
      </c>
      <c r="D5" s="38">
        <f t="shared" si="0"/>
        <v>1</v>
      </c>
      <c r="E5" s="44">
        <v>0</v>
      </c>
      <c r="F5" s="44">
        <v>0</v>
      </c>
      <c r="G5" s="44">
        <v>0</v>
      </c>
      <c r="H5" s="44">
        <v>1</v>
      </c>
      <c r="I5" s="44"/>
      <c r="J5" s="44"/>
      <c r="K5" s="44"/>
      <c r="L5" s="44"/>
      <c r="M5" s="44"/>
      <c r="N5" s="44"/>
      <c r="O5" s="44"/>
      <c r="P5" s="44"/>
    </row>
    <row r="6" spans="1:16" ht="81" customHeight="1" x14ac:dyDescent="0.25">
      <c r="A6" s="56" t="s">
        <v>18</v>
      </c>
      <c r="B6" s="5" t="s">
        <v>30</v>
      </c>
      <c r="C6" s="49">
        <v>2</v>
      </c>
      <c r="D6" s="38">
        <f t="shared" si="0"/>
        <v>0</v>
      </c>
      <c r="E6" s="44"/>
      <c r="F6" s="44"/>
      <c r="G6" s="44"/>
      <c r="H6" s="44"/>
      <c r="I6" s="44"/>
      <c r="J6" s="44"/>
      <c r="K6" s="44"/>
      <c r="L6" s="44"/>
      <c r="M6" s="44"/>
      <c r="N6" s="44"/>
      <c r="O6" s="44"/>
      <c r="P6" s="44"/>
    </row>
    <row r="7" spans="1:16" ht="81" customHeight="1" x14ac:dyDescent="0.25">
      <c r="A7" s="43" t="s">
        <v>18</v>
      </c>
      <c r="B7" s="5" t="s">
        <v>31</v>
      </c>
      <c r="C7" s="49">
        <v>2</v>
      </c>
      <c r="D7" s="38">
        <f t="shared" si="0"/>
        <v>2</v>
      </c>
      <c r="E7" s="44">
        <v>2</v>
      </c>
      <c r="F7" s="44"/>
      <c r="G7" s="44"/>
      <c r="H7" s="44"/>
      <c r="I7" s="44"/>
      <c r="J7" s="44"/>
      <c r="K7" s="44"/>
      <c r="L7" s="44"/>
      <c r="M7" s="44"/>
      <c r="N7" s="44"/>
      <c r="O7" s="44"/>
      <c r="P7" s="44"/>
    </row>
    <row r="8" spans="1:16" ht="28.5" customHeight="1" x14ac:dyDescent="0.25">
      <c r="A8" s="69" t="s">
        <v>77</v>
      </c>
      <c r="B8" s="50" t="s">
        <v>78</v>
      </c>
      <c r="C8" s="49">
        <v>3</v>
      </c>
      <c r="D8" s="38">
        <f t="shared" ref="D8:D35" si="1">SUM(E8:O8)</f>
        <v>0</v>
      </c>
      <c r="E8" s="44"/>
      <c r="F8" s="44"/>
      <c r="G8" s="44"/>
      <c r="H8" s="44"/>
      <c r="I8" s="44"/>
      <c r="J8" s="44"/>
      <c r="K8" s="44"/>
      <c r="L8" s="44"/>
      <c r="M8" s="44"/>
      <c r="N8" s="44"/>
      <c r="O8" s="44"/>
      <c r="P8" s="40"/>
    </row>
    <row r="9" spans="1:16" ht="28.5" customHeight="1" x14ac:dyDescent="0.25">
      <c r="A9" s="70"/>
      <c r="B9" s="50" t="s">
        <v>79</v>
      </c>
      <c r="C9" s="49">
        <v>3</v>
      </c>
      <c r="D9" s="38">
        <f t="shared" si="1"/>
        <v>0</v>
      </c>
      <c r="E9" s="44"/>
      <c r="F9" s="44"/>
      <c r="G9" s="44"/>
      <c r="H9" s="44"/>
      <c r="I9" s="44"/>
      <c r="J9" s="44"/>
      <c r="K9" s="44"/>
      <c r="L9" s="44"/>
      <c r="M9" s="44"/>
      <c r="N9" s="44"/>
      <c r="O9" s="44"/>
      <c r="P9" s="40"/>
    </row>
    <row r="10" spans="1:16" ht="28.5" customHeight="1" x14ac:dyDescent="0.25">
      <c r="A10" s="70"/>
      <c r="B10" s="50" t="s">
        <v>80</v>
      </c>
      <c r="C10" s="49">
        <v>36</v>
      </c>
      <c r="D10" s="38">
        <f t="shared" si="1"/>
        <v>15</v>
      </c>
      <c r="E10" s="44">
        <v>1</v>
      </c>
      <c r="F10" s="44">
        <v>4</v>
      </c>
      <c r="G10" s="44">
        <v>1</v>
      </c>
      <c r="H10" s="44"/>
      <c r="I10" s="44">
        <v>9</v>
      </c>
      <c r="J10" s="44"/>
      <c r="K10" s="44"/>
      <c r="L10" s="44"/>
      <c r="M10" s="44"/>
      <c r="N10" s="44"/>
      <c r="O10" s="44"/>
      <c r="P10" s="40"/>
    </row>
    <row r="11" spans="1:16" ht="28.5" customHeight="1" x14ac:dyDescent="0.25">
      <c r="A11" s="70"/>
      <c r="B11" s="50" t="s">
        <v>81</v>
      </c>
      <c r="C11" s="49">
        <v>148</v>
      </c>
      <c r="D11" s="38">
        <f t="shared" si="1"/>
        <v>37</v>
      </c>
      <c r="E11" s="44"/>
      <c r="F11" s="44"/>
      <c r="G11" s="44">
        <v>28</v>
      </c>
      <c r="H11" s="44">
        <v>9</v>
      </c>
      <c r="I11" s="44"/>
      <c r="J11" s="44"/>
      <c r="K11" s="44"/>
      <c r="L11" s="44"/>
      <c r="M11" s="44"/>
      <c r="N11" s="44"/>
      <c r="O11" s="44"/>
      <c r="P11" s="40"/>
    </row>
    <row r="12" spans="1:16" ht="28.5" customHeight="1" x14ac:dyDescent="0.25">
      <c r="A12" s="70"/>
      <c r="B12" s="50" t="s">
        <v>82</v>
      </c>
      <c r="C12" s="49">
        <v>0</v>
      </c>
      <c r="D12" s="38">
        <f t="shared" si="1"/>
        <v>0</v>
      </c>
      <c r="E12" s="44"/>
      <c r="F12" s="44"/>
      <c r="G12" s="44"/>
      <c r="H12" s="44"/>
      <c r="I12" s="44"/>
      <c r="J12" s="44"/>
      <c r="K12" s="44"/>
      <c r="L12" s="44"/>
      <c r="M12" s="44"/>
      <c r="N12" s="44"/>
      <c r="O12" s="44"/>
      <c r="P12" s="40"/>
    </row>
    <row r="13" spans="1:16" ht="28.5" customHeight="1" x14ac:dyDescent="0.25">
      <c r="A13" s="70"/>
      <c r="B13" s="50" t="s">
        <v>83</v>
      </c>
      <c r="C13" s="49">
        <v>0</v>
      </c>
      <c r="D13" s="38">
        <f t="shared" si="1"/>
        <v>0</v>
      </c>
      <c r="E13" s="44"/>
      <c r="F13" s="44"/>
      <c r="G13" s="44"/>
      <c r="H13" s="44"/>
      <c r="I13" s="44"/>
      <c r="J13" s="44"/>
      <c r="K13" s="44"/>
      <c r="L13" s="44"/>
      <c r="M13" s="44"/>
      <c r="N13" s="44"/>
      <c r="O13" s="44"/>
      <c r="P13" s="40"/>
    </row>
    <row r="14" spans="1:16" ht="28.5" customHeight="1" x14ac:dyDescent="0.25">
      <c r="A14" s="70"/>
      <c r="B14" s="50" t="s">
        <v>84</v>
      </c>
      <c r="C14" s="49">
        <v>0</v>
      </c>
      <c r="D14" s="38">
        <f t="shared" si="1"/>
        <v>0</v>
      </c>
      <c r="E14" s="44"/>
      <c r="F14" s="44"/>
      <c r="G14" s="44"/>
      <c r="H14" s="44"/>
      <c r="I14" s="44"/>
      <c r="J14" s="44"/>
      <c r="K14" s="44"/>
      <c r="L14" s="44"/>
      <c r="M14" s="44"/>
      <c r="N14" s="44"/>
      <c r="O14" s="44"/>
      <c r="P14" s="40"/>
    </row>
    <row r="15" spans="1:16" ht="28.5" customHeight="1" x14ac:dyDescent="0.25">
      <c r="A15" s="70"/>
      <c r="B15" s="50" t="s">
        <v>85</v>
      </c>
      <c r="C15" s="49">
        <v>0</v>
      </c>
      <c r="D15" s="38">
        <f t="shared" si="1"/>
        <v>0</v>
      </c>
      <c r="E15" s="44"/>
      <c r="F15" s="44"/>
      <c r="G15" s="44"/>
      <c r="H15" s="44"/>
      <c r="I15" s="44"/>
      <c r="J15" s="44"/>
      <c r="K15" s="44"/>
      <c r="L15" s="44"/>
      <c r="M15" s="44"/>
      <c r="N15" s="44"/>
      <c r="O15" s="44"/>
      <c r="P15" s="40"/>
    </row>
    <row r="16" spans="1:16" ht="28.5" customHeight="1" x14ac:dyDescent="0.25">
      <c r="A16" s="70"/>
      <c r="B16" s="50" t="s">
        <v>86</v>
      </c>
      <c r="C16" s="49">
        <v>0</v>
      </c>
      <c r="D16" s="38">
        <f t="shared" si="1"/>
        <v>0</v>
      </c>
      <c r="E16" s="44"/>
      <c r="F16" s="44"/>
      <c r="G16" s="44"/>
      <c r="H16" s="44"/>
      <c r="I16" s="44"/>
      <c r="J16" s="44"/>
      <c r="K16" s="44"/>
      <c r="L16" s="44"/>
      <c r="M16" s="44"/>
      <c r="N16" s="44"/>
      <c r="O16" s="44"/>
      <c r="P16" s="40"/>
    </row>
    <row r="17" spans="1:16" ht="28.5" customHeight="1" x14ac:dyDescent="0.25">
      <c r="A17" s="70"/>
      <c r="B17" s="50" t="s">
        <v>87</v>
      </c>
      <c r="C17" s="49">
        <v>0</v>
      </c>
      <c r="D17" s="38">
        <f t="shared" si="1"/>
        <v>0</v>
      </c>
      <c r="E17" s="44"/>
      <c r="F17" s="44"/>
      <c r="G17" s="44"/>
      <c r="H17" s="44"/>
      <c r="I17" s="44"/>
      <c r="J17" s="44"/>
      <c r="K17" s="44"/>
      <c r="L17" s="44"/>
      <c r="M17" s="44"/>
      <c r="N17" s="44"/>
      <c r="O17" s="44"/>
      <c r="P17" s="40"/>
    </row>
    <row r="18" spans="1:16" ht="28.5" customHeight="1" x14ac:dyDescent="0.25">
      <c r="A18" s="70"/>
      <c r="B18" s="50" t="s">
        <v>88</v>
      </c>
      <c r="C18" s="49">
        <v>0</v>
      </c>
      <c r="D18" s="38">
        <f t="shared" si="1"/>
        <v>0</v>
      </c>
      <c r="E18" s="44"/>
      <c r="F18" s="44"/>
      <c r="G18" s="44"/>
      <c r="H18" s="44"/>
      <c r="I18" s="44"/>
      <c r="J18" s="44"/>
      <c r="K18" s="44"/>
      <c r="L18" s="44"/>
      <c r="M18" s="44"/>
      <c r="N18" s="44"/>
      <c r="O18" s="44"/>
      <c r="P18" s="40"/>
    </row>
    <row r="19" spans="1:16" ht="28.5" customHeight="1" x14ac:dyDescent="0.25">
      <c r="A19" s="70"/>
      <c r="B19" s="50" t="s">
        <v>89</v>
      </c>
      <c r="C19" s="49">
        <v>0</v>
      </c>
      <c r="D19" s="38">
        <f t="shared" si="1"/>
        <v>0</v>
      </c>
      <c r="E19" s="44"/>
      <c r="F19" s="44"/>
      <c r="G19" s="44"/>
      <c r="H19" s="44"/>
      <c r="I19" s="44"/>
      <c r="J19" s="44"/>
      <c r="K19" s="44"/>
      <c r="L19" s="44"/>
      <c r="M19" s="44"/>
      <c r="N19" s="44"/>
      <c r="O19" s="44"/>
      <c r="P19" s="40"/>
    </row>
    <row r="20" spans="1:16" ht="28.5" customHeight="1" x14ac:dyDescent="0.25">
      <c r="A20" s="70"/>
      <c r="B20" s="50" t="s">
        <v>90</v>
      </c>
      <c r="C20" s="49">
        <v>0</v>
      </c>
      <c r="D20" s="38">
        <f t="shared" si="1"/>
        <v>0</v>
      </c>
      <c r="E20" s="44"/>
      <c r="F20" s="44"/>
      <c r="G20" s="44"/>
      <c r="H20" s="44"/>
      <c r="I20" s="44"/>
      <c r="J20" s="44"/>
      <c r="K20" s="44"/>
      <c r="L20" s="44"/>
      <c r="M20" s="44"/>
      <c r="N20" s="44"/>
      <c r="O20" s="44"/>
      <c r="P20" s="40"/>
    </row>
    <row r="21" spans="1:16" ht="28.5" customHeight="1" x14ac:dyDescent="0.25">
      <c r="A21" s="70"/>
      <c r="B21" s="50" t="s">
        <v>91</v>
      </c>
      <c r="C21" s="49">
        <v>0</v>
      </c>
      <c r="D21" s="38">
        <f t="shared" si="1"/>
        <v>0</v>
      </c>
      <c r="E21" s="44"/>
      <c r="F21" s="44"/>
      <c r="G21" s="44"/>
      <c r="H21" s="44"/>
      <c r="I21" s="44"/>
      <c r="J21" s="44"/>
      <c r="K21" s="44"/>
      <c r="L21" s="44"/>
      <c r="M21" s="44"/>
      <c r="N21" s="44"/>
      <c r="O21" s="44"/>
      <c r="P21" s="40"/>
    </row>
    <row r="22" spans="1:16" ht="28.5" customHeight="1" x14ac:dyDescent="0.25">
      <c r="A22" s="70"/>
      <c r="B22" s="50" t="s">
        <v>92</v>
      </c>
      <c r="C22" s="49">
        <v>0</v>
      </c>
      <c r="D22" s="38">
        <f t="shared" si="1"/>
        <v>0</v>
      </c>
      <c r="E22" s="44"/>
      <c r="F22" s="44"/>
      <c r="G22" s="44"/>
      <c r="H22" s="44"/>
      <c r="I22" s="44"/>
      <c r="J22" s="44"/>
      <c r="K22" s="44"/>
      <c r="L22" s="44"/>
      <c r="M22" s="44"/>
      <c r="N22" s="44"/>
      <c r="O22" s="44"/>
      <c r="P22" s="40"/>
    </row>
    <row r="23" spans="1:16" ht="28.5" customHeight="1" x14ac:dyDescent="0.25">
      <c r="A23" s="70"/>
      <c r="B23" s="50" t="s">
        <v>93</v>
      </c>
      <c r="C23" s="49">
        <v>3</v>
      </c>
      <c r="D23" s="38">
        <f t="shared" si="1"/>
        <v>1</v>
      </c>
      <c r="E23" s="44">
        <v>1</v>
      </c>
      <c r="F23" s="44"/>
      <c r="G23" s="44"/>
      <c r="H23" s="44"/>
      <c r="I23" s="44"/>
      <c r="J23" s="44"/>
      <c r="K23" s="44"/>
      <c r="L23" s="44"/>
      <c r="M23" s="44"/>
      <c r="N23" s="44"/>
      <c r="O23" s="44"/>
      <c r="P23" s="40"/>
    </row>
    <row r="24" spans="1:16" ht="24" customHeight="1" x14ac:dyDescent="0.25">
      <c r="A24" s="70"/>
      <c r="B24" s="51" t="s">
        <v>94</v>
      </c>
      <c r="C24" s="49">
        <v>4</v>
      </c>
      <c r="D24" s="38">
        <f t="shared" si="1"/>
        <v>3</v>
      </c>
      <c r="E24" s="44"/>
      <c r="F24" s="44"/>
      <c r="G24" s="44">
        <v>3</v>
      </c>
      <c r="H24" s="44"/>
      <c r="I24" s="44"/>
      <c r="J24" s="44"/>
      <c r="K24" s="44"/>
      <c r="L24" s="44"/>
      <c r="M24" s="44"/>
      <c r="N24" s="44"/>
      <c r="O24" s="44"/>
      <c r="P24" s="40"/>
    </row>
    <row r="25" spans="1:16" ht="24" customHeight="1" x14ac:dyDescent="0.25">
      <c r="A25" s="70"/>
      <c r="B25" s="51" t="s">
        <v>95</v>
      </c>
      <c r="C25" s="49">
        <v>4</v>
      </c>
      <c r="D25" s="38">
        <f t="shared" si="1"/>
        <v>4</v>
      </c>
      <c r="E25" s="44"/>
      <c r="F25" s="44"/>
      <c r="G25" s="44"/>
      <c r="H25" s="44">
        <v>4</v>
      </c>
      <c r="I25" s="44"/>
      <c r="J25" s="44"/>
      <c r="K25" s="44"/>
      <c r="L25" s="44"/>
      <c r="M25" s="44"/>
      <c r="N25" s="44"/>
      <c r="O25" s="44"/>
      <c r="P25" s="40"/>
    </row>
    <row r="26" spans="1:16" ht="24" customHeight="1" x14ac:dyDescent="0.25">
      <c r="A26" s="70"/>
      <c r="B26" s="51" t="s">
        <v>96</v>
      </c>
      <c r="C26" s="49">
        <v>4</v>
      </c>
      <c r="D26" s="38">
        <f t="shared" si="1"/>
        <v>4</v>
      </c>
      <c r="E26" s="44"/>
      <c r="F26" s="44"/>
      <c r="G26" s="44"/>
      <c r="H26" s="44"/>
      <c r="I26" s="44">
        <v>4</v>
      </c>
      <c r="J26" s="44"/>
      <c r="K26" s="44"/>
      <c r="L26" s="44"/>
      <c r="M26" s="44"/>
      <c r="N26" s="44"/>
      <c r="O26" s="44"/>
      <c r="P26" s="40"/>
    </row>
    <row r="27" spans="1:16" ht="24" customHeight="1" x14ac:dyDescent="0.25">
      <c r="A27" s="70"/>
      <c r="B27" s="51" t="s">
        <v>97</v>
      </c>
      <c r="C27" s="49">
        <v>4</v>
      </c>
      <c r="D27" s="38">
        <f t="shared" si="1"/>
        <v>0</v>
      </c>
      <c r="E27" s="44"/>
      <c r="F27" s="44"/>
      <c r="G27" s="44"/>
      <c r="H27" s="44"/>
      <c r="I27" s="44"/>
      <c r="J27" s="44"/>
      <c r="K27" s="44"/>
      <c r="L27" s="44"/>
      <c r="M27" s="44"/>
      <c r="N27" s="44"/>
      <c r="O27" s="44"/>
      <c r="P27" s="40"/>
    </row>
    <row r="28" spans="1:16" ht="24" customHeight="1" x14ac:dyDescent="0.25">
      <c r="A28" s="70"/>
      <c r="B28" s="51" t="s">
        <v>98</v>
      </c>
      <c r="C28" s="49">
        <v>4</v>
      </c>
      <c r="D28" s="38">
        <f t="shared" si="1"/>
        <v>0</v>
      </c>
      <c r="E28" s="44"/>
      <c r="F28" s="44"/>
      <c r="G28" s="44"/>
      <c r="H28" s="44"/>
      <c r="I28" s="44"/>
      <c r="J28" s="44"/>
      <c r="K28" s="44"/>
      <c r="L28" s="44"/>
      <c r="M28" s="44"/>
      <c r="N28" s="44"/>
      <c r="O28" s="44"/>
      <c r="P28" s="40"/>
    </row>
    <row r="29" spans="1:16" ht="24" customHeight="1" x14ac:dyDescent="0.25">
      <c r="A29" s="70"/>
      <c r="B29" s="51" t="s">
        <v>99</v>
      </c>
      <c r="C29" s="49">
        <v>1</v>
      </c>
      <c r="D29" s="38">
        <f t="shared" si="1"/>
        <v>0</v>
      </c>
      <c r="E29" s="44"/>
      <c r="F29" s="44"/>
      <c r="G29" s="44"/>
      <c r="H29" s="44"/>
      <c r="I29" s="44"/>
      <c r="J29" s="44"/>
      <c r="K29" s="44"/>
      <c r="L29" s="44"/>
      <c r="M29" s="44"/>
      <c r="N29" s="44"/>
      <c r="O29" s="44"/>
      <c r="P29" s="40"/>
    </row>
    <row r="30" spans="1:16" ht="24" customHeight="1" x14ac:dyDescent="0.25">
      <c r="A30" s="70"/>
      <c r="B30" s="51" t="s">
        <v>100</v>
      </c>
      <c r="C30" s="49">
        <v>1</v>
      </c>
      <c r="D30" s="38">
        <f t="shared" si="1"/>
        <v>0</v>
      </c>
      <c r="E30" s="44"/>
      <c r="F30" s="44"/>
      <c r="G30" s="44"/>
      <c r="H30" s="44"/>
      <c r="I30" s="44"/>
      <c r="J30" s="44"/>
      <c r="K30" s="44"/>
      <c r="L30" s="44"/>
      <c r="M30" s="44"/>
      <c r="N30" s="44"/>
      <c r="O30" s="44"/>
      <c r="P30" s="40"/>
    </row>
    <row r="31" spans="1:16" ht="24" customHeight="1" x14ac:dyDescent="0.25">
      <c r="A31" s="70"/>
      <c r="B31" s="51" t="s">
        <v>101</v>
      </c>
      <c r="C31" s="49">
        <v>1</v>
      </c>
      <c r="D31" s="38">
        <f t="shared" si="1"/>
        <v>0</v>
      </c>
      <c r="E31" s="44"/>
      <c r="F31" s="44"/>
      <c r="G31" s="44"/>
      <c r="H31" s="44"/>
      <c r="I31" s="44"/>
      <c r="J31" s="44"/>
      <c r="K31" s="44"/>
      <c r="L31" s="44"/>
      <c r="M31" s="44"/>
      <c r="N31" s="44"/>
      <c r="O31" s="44"/>
      <c r="P31" s="40"/>
    </row>
    <row r="32" spans="1:16" ht="24" customHeight="1" x14ac:dyDescent="0.25">
      <c r="A32" s="70"/>
      <c r="B32" s="51" t="s">
        <v>102</v>
      </c>
      <c r="C32" s="49">
        <v>1</v>
      </c>
      <c r="D32" s="38">
        <f t="shared" si="1"/>
        <v>0</v>
      </c>
      <c r="E32" s="44"/>
      <c r="F32" s="44"/>
      <c r="G32" s="44"/>
      <c r="H32" s="44"/>
      <c r="I32" s="44"/>
      <c r="J32" s="44"/>
      <c r="K32" s="44"/>
      <c r="L32" s="44"/>
      <c r="M32" s="44"/>
      <c r="N32" s="44"/>
      <c r="O32" s="44"/>
      <c r="P32" s="40"/>
    </row>
    <row r="33" spans="1:16" ht="24" customHeight="1" x14ac:dyDescent="0.25">
      <c r="A33" s="70"/>
      <c r="B33" s="51" t="s">
        <v>103</v>
      </c>
      <c r="C33" s="49">
        <v>1</v>
      </c>
      <c r="D33" s="38">
        <f t="shared" si="1"/>
        <v>0</v>
      </c>
      <c r="E33" s="44"/>
      <c r="F33" s="44"/>
      <c r="G33" s="44"/>
      <c r="H33" s="44"/>
      <c r="I33" s="44"/>
      <c r="J33" s="44"/>
      <c r="K33" s="44"/>
      <c r="L33" s="44"/>
      <c r="M33" s="44"/>
      <c r="N33" s="44"/>
      <c r="O33" s="44"/>
      <c r="P33" s="40"/>
    </row>
    <row r="34" spans="1:16" ht="24" customHeight="1" x14ac:dyDescent="0.25">
      <c r="A34" s="70"/>
      <c r="B34" s="51" t="s">
        <v>104</v>
      </c>
      <c r="C34" s="49">
        <v>1</v>
      </c>
      <c r="D34" s="38">
        <f t="shared" si="1"/>
        <v>0</v>
      </c>
      <c r="E34" s="44"/>
      <c r="F34" s="44"/>
      <c r="G34" s="44"/>
      <c r="H34" s="44"/>
      <c r="I34" s="44"/>
      <c r="J34" s="44"/>
      <c r="K34" s="44"/>
      <c r="L34" s="44"/>
      <c r="M34" s="44"/>
      <c r="N34" s="44"/>
      <c r="O34" s="44"/>
      <c r="P34" s="40"/>
    </row>
    <row r="35" spans="1:16" ht="24" customHeight="1" thickBot="1" x14ac:dyDescent="0.3">
      <c r="A35" s="71"/>
      <c r="B35" s="52" t="s">
        <v>105</v>
      </c>
      <c r="C35" s="49">
        <v>1</v>
      </c>
      <c r="D35" s="38">
        <f t="shared" si="1"/>
        <v>0</v>
      </c>
      <c r="E35" s="44"/>
      <c r="F35" s="44"/>
      <c r="G35" s="44"/>
      <c r="H35" s="44"/>
      <c r="I35" s="44"/>
      <c r="J35" s="44"/>
      <c r="K35" s="44"/>
      <c r="L35" s="44"/>
      <c r="M35" s="44"/>
      <c r="N35" s="44"/>
      <c r="O35" s="44"/>
      <c r="P35" s="40"/>
    </row>
    <row r="36" spans="1:16" x14ac:dyDescent="0.25">
      <c r="C36" s="53">
        <f>SUM(C3:C35)</f>
        <v>229</v>
      </c>
      <c r="D36" s="54">
        <f>SUM(D3:D35)</f>
        <v>69</v>
      </c>
    </row>
    <row r="37" spans="1:16" x14ac:dyDescent="0.25">
      <c r="C37" s="13"/>
      <c r="D37" s="55">
        <f>D36/C36</f>
        <v>0.30131004366812225</v>
      </c>
    </row>
  </sheetData>
  <sheetProtection algorithmName="SHA-512" hashValue="rz7D5KxIb7pu/UAS2TbhbQWo6MFyWCR09+XhQWbS4P8ZBdvDDjc2T/s6e6wbL/9XIcMRLTpY1XZ1G/0BL77Hiw==" saltValue="fsAXIQyK0/62TinY23nAKw==" spinCount="100000" sheet="1" objects="1" scenarios="1" autoFilter="0"/>
  <mergeCells count="2">
    <mergeCell ref="A1:A2"/>
    <mergeCell ref="A8:A35"/>
  </mergeCells>
  <conditionalFormatting sqref="C3:D3 D4:D7">
    <cfRule type="dataBar" priority="46">
      <dataBar>
        <cfvo type="min"/>
        <cfvo type="max"/>
        <color rgb="FF008AEF"/>
      </dataBar>
      <extLst>
        <ext xmlns:x14="http://schemas.microsoft.com/office/spreadsheetml/2009/9/main" uri="{B025F937-C7B1-47D3-B67F-A62EFF666E3E}">
          <x14:id>{86712778-B6D8-4BE7-9F65-0EFB8150882B}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{4D68EF9B-DA39-4D42-B188-E8304D338169}</x14:id>
        </ext>
      </extLst>
    </cfRule>
  </conditionalFormatting>
  <conditionalFormatting sqref="C5:D5">
    <cfRule type="dataBar" priority="5">
      <dataBar>
        <cfvo type="min"/>
        <cfvo type="max"/>
        <color rgb="FF008AEF"/>
      </dataBar>
      <extLst>
        <ext xmlns:x14="http://schemas.microsoft.com/office/spreadsheetml/2009/9/main" uri="{B025F937-C7B1-47D3-B67F-A62EFF666E3E}">
          <x14:id>{91292466-9EE9-4B51-AB1E-D5DCF30B1B70}</x14:id>
        </ext>
      </extLst>
    </cfRule>
  </conditionalFormatting>
  <conditionalFormatting sqref="C6:D6">
    <cfRule type="dataBar" priority="6">
      <dataBar>
        <cfvo type="min"/>
        <cfvo type="max"/>
        <color rgb="FF008AEF"/>
      </dataBar>
      <extLst>
        <ext xmlns:x14="http://schemas.microsoft.com/office/spreadsheetml/2009/9/main" uri="{B025F937-C7B1-47D3-B67F-A62EFF666E3E}">
          <x14:id>{7C211AD8-557D-4132-91CE-5E0397076835}</x14:id>
        </ext>
      </extLst>
    </cfRule>
  </conditionalFormatting>
  <conditionalFormatting sqref="C7:D7">
    <cfRule type="dataBar" priority="7">
      <dataBar>
        <cfvo type="min"/>
        <cfvo type="max"/>
        <color rgb="FF008AEF"/>
      </dataBar>
      <extLst>
        <ext xmlns:x14="http://schemas.microsoft.com/office/spreadsheetml/2009/9/main" uri="{B025F937-C7B1-47D3-B67F-A62EFF666E3E}">
          <x14:id>{710FCEA5-B778-468B-A5C3-C1E24DB41324}</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{666FEE2F-B812-41B8-B2FE-02C9C3C6CC18}</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{7391B783-9AEF-4EF8-A5F3-0A96C01659F6}</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{E125DDE0-E5C7-48F0-9FE4-C57C569A9DD6}</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{DA1647B4-8FFF-4BF9-B619-C26ACCE1D51A}</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{E088465A-71DD-40E0-BCE6-3CF72AAB8B79}</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{442144D7-F72C-4C26-89F6-D34F8312979E}</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{B378737D-3432-4435-93F2-3EF652B8D8FF}</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{5DC0F40D-C1F2-4F9F-8C02-3ED6A2F5F89E}</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{CC26E0C8-2ADA-4717-A725-BCD3E2E9943A}</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{84D00B1E-5D18-425D-841A-35FE43FB8120}</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{C26D98B4-9924-451C-A4A4-456290873B18}</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{76C3CE06-345E-4627-83BA-9E512FC46943}</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{09F286F3-7798-4C85-A93B-1949B73E5FAA}</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{422B63F4-239E-4DF6-A5F2-C1559F3123BB}</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{3B1EE01B-3B0F-432C-A218-EFD8C0FC977D}</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{10CC2B6E-D30E-4FEE-8D16-A22433E7F316}</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{6CE3ED31-2FF8-4A73-BCDC-22B8FE407FDF}</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{B8528F4C-C42F-4CCD-A992-1A0D786AA228}</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{52E3F24C-F1D7-47BE-B96B-99EE1FFA91D5}</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{1C54B427-3BE4-47D9-ADC9-0C036E302E4A}</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{9B46AF98-EAC0-489A-8460-6B2EFB3DF0F6}</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{2BB0C34C-F6D4-4D46-8E92-B54F1165E5B0}</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{08633FB6-20C6-474B-B3E0-08ED60D3D340}</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{2CCFF5EF-0587-420F-B5D7-21064C37AB1B}</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{9D9FC3B1-F5C3-426D-9D83-3CDEBB08E42B}</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{4DA001D9-C4CC-4655-B7D4-C65E0479539C}</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{48C14798-B284-429B-BDBC-BF785F467BF1}</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{BF5FBD59-AA0B-4C1B-8C7B-5AEC4558C16D}</x14:id>
        </ext>
      </extLst>
    </cfRule>
  </conditionalFormatting>
  <conditionalFormatting sqref="E3:F31 E32:O35">
    <cfRule type="cellIs" dxfId="27" priority="1" operator="greaterThan">
      <formula>0</formula>
    </cfRule>
  </conditionalFormatting>
  <conditionalFormatting sqref="G8:O31">
    <cfRule type="cellIs" dxfId="26" priority="11" operator="greaterThan">
      <formula>0</formula>
    </cfRule>
  </conditionalFormatting>
  <conditionalFormatting sqref="G3:P7">
    <cfRule type="cellIs" dxfId="25"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6712778-B6D8-4BE7-9F65-0EFB8150882B}">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4D68EF9B-DA39-4D42-B188-E8304D338169}">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91292466-9EE9-4B51-AB1E-D5DCF30B1B7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C211AD8-557D-4132-91CE-5E0397076835}">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10FCEA5-B778-468B-A5C3-C1E24DB4132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666FEE2F-B812-41B8-B2FE-02C9C3C6CC1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7391B783-9AEF-4EF8-A5F3-0A96C01659F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125DDE0-E5C7-48F0-9FE4-C57C569A9DD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DA1647B4-8FFF-4BF9-B619-C26ACCE1D51A}">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088465A-71DD-40E0-BCE6-3CF72AAB8B7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42144D7-F72C-4C26-89F6-D34F8312979E}">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378737D-3432-4435-93F2-3EF652B8D8FF}">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5DC0F40D-C1F2-4F9F-8C02-3ED6A2F5F89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C26E0C8-2ADA-4717-A725-BCD3E2E9943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84D00B1E-5D18-425D-841A-35FE43FB812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26D98B4-9924-451C-A4A4-456290873B1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6C3CE06-345E-4627-83BA-9E512FC46943}">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9F286F3-7798-4C85-A93B-1949B73E5FA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422B63F4-239E-4DF6-A5F2-C1559F3123BB}">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B1EE01B-3B0F-432C-A218-EFD8C0FC977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0CC2B6E-D30E-4FEE-8D16-A22433E7F31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CE3ED31-2FF8-4A73-BCDC-22B8FE407FD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8528F4C-C42F-4CCD-A992-1A0D786AA228}">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2E3F24C-F1D7-47BE-B96B-99EE1FFA91D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C54B427-3BE4-47D9-ADC9-0C036E302E4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B46AF98-EAC0-489A-8460-6B2EFB3DF0F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BB0C34C-F6D4-4D46-8E92-B54F1165E5B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08633FB6-20C6-474B-B3E0-08ED60D3D340}">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CCFF5EF-0587-420F-B5D7-21064C37AB1B}">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D9FC3B1-F5C3-426D-9D83-3CDEBB08E42B}">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DA001D9-C4CC-4655-B7D4-C65E0479539C}">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48C14798-B284-429B-BDBC-BF785F467BF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BF5FBD59-AA0B-4C1B-8C7B-5AEC4558C16D}">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9"/>
  <sheetViews>
    <sheetView zoomScale="60" zoomScaleNormal="60" workbookViewId="0">
      <selection activeCell="K20" sqref="K20"/>
    </sheetView>
  </sheetViews>
  <sheetFormatPr baseColWidth="10" defaultColWidth="11.28515625" defaultRowHeight="15" x14ac:dyDescent="0.25"/>
  <cols>
    <col min="1" max="1" width="10.28515625" style="2" customWidth="1"/>
    <col min="2" max="2" width="88.42578125" style="2" customWidth="1"/>
    <col min="3" max="3" width="11.28515625" style="2"/>
    <col min="4" max="4" width="22.28515625" style="2" customWidth="1"/>
    <col min="5" max="9" width="17.28515625" style="2" customWidth="1"/>
    <col min="10" max="16384" width="11.28515625" style="2"/>
  </cols>
  <sheetData>
    <row r="1" spans="1:16" ht="61.5" customHeight="1" x14ac:dyDescent="0.25">
      <c r="A1" s="67" t="s">
        <v>1</v>
      </c>
      <c r="B1" s="39" t="s">
        <v>32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x14ac:dyDescent="0.25">
      <c r="A3" s="56" t="s">
        <v>18</v>
      </c>
      <c r="B3" s="5" t="s">
        <v>27</v>
      </c>
      <c r="C3" s="7">
        <v>2</v>
      </c>
      <c r="D3" s="38">
        <f t="shared" ref="D3:D9" si="0">SUM(E3:P3)</f>
        <v>0</v>
      </c>
      <c r="E3" s="44"/>
      <c r="F3" s="44"/>
      <c r="G3" s="44"/>
      <c r="H3" s="44"/>
      <c r="I3" s="44"/>
      <c r="J3" s="44"/>
      <c r="K3" s="44"/>
      <c r="L3" s="44"/>
      <c r="M3" s="44"/>
      <c r="N3" s="44"/>
      <c r="O3" s="44"/>
      <c r="P3" s="44"/>
    </row>
    <row r="4" spans="1:16" ht="81" customHeight="1" x14ac:dyDescent="0.25">
      <c r="A4" s="56" t="s">
        <v>18</v>
      </c>
      <c r="B4" s="5" t="s">
        <v>23</v>
      </c>
      <c r="C4" s="46">
        <v>2</v>
      </c>
      <c r="D4" s="38">
        <f t="shared" si="0"/>
        <v>0</v>
      </c>
      <c r="E4" s="44"/>
      <c r="F4" s="44"/>
      <c r="G4" s="44"/>
      <c r="H4" s="44"/>
      <c r="I4" s="44"/>
      <c r="J4" s="44"/>
      <c r="K4" s="44"/>
      <c r="L4" s="44"/>
      <c r="M4" s="44"/>
      <c r="N4" s="44"/>
      <c r="O4" s="44"/>
      <c r="P4" s="44"/>
    </row>
    <row r="5" spans="1:16" ht="81" customHeight="1" x14ac:dyDescent="0.25">
      <c r="A5" s="56" t="s">
        <v>18</v>
      </c>
      <c r="B5" s="5" t="s">
        <v>24</v>
      </c>
      <c r="C5" s="47">
        <v>1</v>
      </c>
      <c r="D5" s="38">
        <f t="shared" si="0"/>
        <v>0</v>
      </c>
      <c r="E5" s="44"/>
      <c r="F5" s="44"/>
      <c r="G5" s="44"/>
      <c r="H5" s="44"/>
      <c r="I5" s="44"/>
      <c r="J5" s="44"/>
      <c r="K5" s="44"/>
      <c r="L5" s="44"/>
      <c r="M5" s="44"/>
      <c r="N5" s="44"/>
      <c r="O5" s="44"/>
      <c r="P5" s="44"/>
    </row>
    <row r="6" spans="1:16" ht="81" customHeight="1" x14ac:dyDescent="0.25">
      <c r="A6" s="56" t="s">
        <v>18</v>
      </c>
      <c r="B6" s="5" t="s">
        <v>17</v>
      </c>
      <c r="C6" s="49">
        <v>2</v>
      </c>
      <c r="D6" s="38">
        <f t="shared" si="0"/>
        <v>0</v>
      </c>
      <c r="E6" s="44"/>
      <c r="F6" s="44"/>
      <c r="G6" s="44"/>
      <c r="H6" s="44"/>
      <c r="I6" s="44"/>
      <c r="J6" s="44"/>
      <c r="K6" s="44"/>
      <c r="L6" s="44"/>
      <c r="M6" s="44"/>
      <c r="N6" s="44"/>
      <c r="O6" s="44"/>
      <c r="P6" s="44"/>
    </row>
    <row r="7" spans="1:16" ht="81" customHeight="1" x14ac:dyDescent="0.25">
      <c r="A7" s="57" t="s">
        <v>20</v>
      </c>
      <c r="B7" s="19" t="s">
        <v>19</v>
      </c>
      <c r="C7" s="49">
        <v>2</v>
      </c>
      <c r="D7" s="38">
        <f t="shared" si="0"/>
        <v>0</v>
      </c>
      <c r="E7" s="44">
        <v>0</v>
      </c>
      <c r="F7" s="44">
        <v>0</v>
      </c>
      <c r="G7" s="44">
        <v>0</v>
      </c>
      <c r="H7" s="44">
        <v>0</v>
      </c>
      <c r="I7" s="44"/>
      <c r="J7" s="44"/>
      <c r="K7" s="44"/>
      <c r="L7" s="44"/>
      <c r="M7" s="44"/>
      <c r="N7" s="44"/>
      <c r="O7" s="44"/>
      <c r="P7" s="44"/>
    </row>
    <row r="8" spans="1:16" ht="81" customHeight="1" x14ac:dyDescent="0.25">
      <c r="A8" s="43" t="s">
        <v>18</v>
      </c>
      <c r="B8" s="20" t="s">
        <v>33</v>
      </c>
      <c r="C8" s="49">
        <v>1</v>
      </c>
      <c r="D8" s="38">
        <f t="shared" si="0"/>
        <v>0</v>
      </c>
      <c r="E8" s="44"/>
      <c r="F8" s="44"/>
      <c r="G8" s="44"/>
      <c r="H8" s="44"/>
      <c r="I8" s="44"/>
      <c r="J8" s="44"/>
      <c r="K8" s="44"/>
      <c r="L8" s="44"/>
      <c r="M8" s="44"/>
      <c r="N8" s="44"/>
      <c r="O8" s="44"/>
      <c r="P8" s="44"/>
    </row>
    <row r="9" spans="1:16" ht="81" customHeight="1" x14ac:dyDescent="0.25">
      <c r="A9" s="56" t="s">
        <v>18</v>
      </c>
      <c r="B9" s="20" t="s">
        <v>34</v>
      </c>
      <c r="C9" s="49">
        <v>2</v>
      </c>
      <c r="D9" s="38">
        <f t="shared" si="0"/>
        <v>0</v>
      </c>
      <c r="E9" s="44"/>
      <c r="F9" s="44"/>
      <c r="G9" s="44"/>
      <c r="H9" s="44"/>
      <c r="I9" s="44"/>
      <c r="J9" s="44"/>
      <c r="K9" s="44"/>
      <c r="L9" s="44"/>
      <c r="M9" s="44"/>
      <c r="N9" s="44"/>
      <c r="O9" s="44"/>
      <c r="P9" s="44"/>
    </row>
    <row r="10" spans="1:16" ht="28.5" customHeight="1" x14ac:dyDescent="0.25">
      <c r="A10" s="69" t="s">
        <v>77</v>
      </c>
      <c r="B10" s="50" t="s">
        <v>78</v>
      </c>
      <c r="C10" s="49">
        <v>3</v>
      </c>
      <c r="D10" s="38">
        <f t="shared" ref="D10:D37" si="1">SUM(E10:O10)</f>
        <v>0</v>
      </c>
      <c r="E10" s="44"/>
      <c r="F10" s="44"/>
      <c r="G10" s="44"/>
      <c r="H10" s="44"/>
      <c r="I10" s="44"/>
      <c r="J10" s="44"/>
      <c r="K10" s="44"/>
      <c r="L10" s="44"/>
      <c r="M10" s="44"/>
      <c r="N10" s="44"/>
      <c r="O10" s="44"/>
      <c r="P10" s="40"/>
    </row>
    <row r="11" spans="1:16" ht="28.5" customHeight="1" x14ac:dyDescent="0.25">
      <c r="A11" s="70"/>
      <c r="B11" s="50" t="s">
        <v>79</v>
      </c>
      <c r="C11" s="49">
        <v>3</v>
      </c>
      <c r="D11" s="38">
        <f t="shared" si="1"/>
        <v>0</v>
      </c>
      <c r="E11" s="44"/>
      <c r="F11" s="44"/>
      <c r="G11" s="44"/>
      <c r="H11" s="44"/>
      <c r="I11" s="44"/>
      <c r="J11" s="44"/>
      <c r="K11" s="44"/>
      <c r="L11" s="44"/>
      <c r="M11" s="44"/>
      <c r="N11" s="44"/>
      <c r="O11" s="44"/>
      <c r="P11" s="40"/>
    </row>
    <row r="12" spans="1:16" ht="28.5" customHeight="1" x14ac:dyDescent="0.25">
      <c r="A12" s="70"/>
      <c r="B12" s="50" t="s">
        <v>80</v>
      </c>
      <c r="C12" s="49">
        <v>56</v>
      </c>
      <c r="D12" s="38">
        <f t="shared" si="1"/>
        <v>17</v>
      </c>
      <c r="E12" s="44">
        <v>4</v>
      </c>
      <c r="F12" s="44">
        <v>3</v>
      </c>
      <c r="G12" s="44">
        <v>4</v>
      </c>
      <c r="H12" s="44"/>
      <c r="I12" s="44">
        <v>6</v>
      </c>
      <c r="J12" s="44"/>
      <c r="K12" s="44"/>
      <c r="L12" s="44"/>
      <c r="M12" s="44"/>
      <c r="N12" s="44"/>
      <c r="O12" s="44"/>
      <c r="P12" s="40"/>
    </row>
    <row r="13" spans="1:16" ht="28.5" customHeight="1" x14ac:dyDescent="0.25">
      <c r="A13" s="70"/>
      <c r="B13" s="50" t="s">
        <v>81</v>
      </c>
      <c r="C13" s="49">
        <v>96</v>
      </c>
      <c r="D13" s="38">
        <f t="shared" si="1"/>
        <v>14</v>
      </c>
      <c r="E13" s="44"/>
      <c r="F13" s="44"/>
      <c r="G13" s="44">
        <v>14</v>
      </c>
      <c r="H13" s="44"/>
      <c r="I13" s="44"/>
      <c r="J13" s="44"/>
      <c r="K13" s="44"/>
      <c r="L13" s="44"/>
      <c r="M13" s="44"/>
      <c r="N13" s="44"/>
      <c r="O13" s="44"/>
      <c r="P13" s="40"/>
    </row>
    <row r="14" spans="1:16" ht="28.5" customHeight="1" x14ac:dyDescent="0.25">
      <c r="A14" s="70"/>
      <c r="B14" s="50" t="s">
        <v>82</v>
      </c>
      <c r="C14" s="49">
        <v>0</v>
      </c>
      <c r="D14" s="38">
        <f t="shared" si="1"/>
        <v>0</v>
      </c>
      <c r="E14" s="44"/>
      <c r="F14" s="44"/>
      <c r="G14" s="44"/>
      <c r="H14" s="44"/>
      <c r="I14" s="44"/>
      <c r="J14" s="44"/>
      <c r="K14" s="44"/>
      <c r="L14" s="44"/>
      <c r="M14" s="44"/>
      <c r="N14" s="44"/>
      <c r="O14" s="44"/>
      <c r="P14" s="40"/>
    </row>
    <row r="15" spans="1:16" ht="28.5" customHeight="1" x14ac:dyDescent="0.25">
      <c r="A15" s="70"/>
      <c r="B15" s="50" t="s">
        <v>83</v>
      </c>
      <c r="C15" s="49">
        <v>4</v>
      </c>
      <c r="D15" s="38">
        <f t="shared" si="1"/>
        <v>1</v>
      </c>
      <c r="E15" s="44"/>
      <c r="F15" s="44"/>
      <c r="G15" s="44"/>
      <c r="H15" s="44"/>
      <c r="I15" s="44">
        <v>1</v>
      </c>
      <c r="J15" s="44"/>
      <c r="K15" s="44"/>
      <c r="L15" s="44"/>
      <c r="M15" s="44"/>
      <c r="N15" s="44"/>
      <c r="O15" s="44"/>
      <c r="P15" s="40"/>
    </row>
    <row r="16" spans="1:16" ht="28.5" customHeight="1" x14ac:dyDescent="0.25">
      <c r="A16" s="70"/>
      <c r="B16" s="50" t="s">
        <v>84</v>
      </c>
      <c r="C16" s="49">
        <v>0</v>
      </c>
      <c r="D16" s="38">
        <f t="shared" si="1"/>
        <v>0</v>
      </c>
      <c r="E16" s="44"/>
      <c r="F16" s="44"/>
      <c r="G16" s="44"/>
      <c r="H16" s="44"/>
      <c r="I16" s="44"/>
      <c r="J16" s="44"/>
      <c r="K16" s="44"/>
      <c r="L16" s="44"/>
      <c r="M16" s="44"/>
      <c r="N16" s="44"/>
      <c r="O16" s="44"/>
      <c r="P16" s="40"/>
    </row>
    <row r="17" spans="1:16" ht="28.5" customHeight="1" x14ac:dyDescent="0.25">
      <c r="A17" s="70"/>
      <c r="B17" s="50" t="s">
        <v>85</v>
      </c>
      <c r="C17" s="49">
        <v>8</v>
      </c>
      <c r="D17" s="38">
        <f t="shared" si="1"/>
        <v>0</v>
      </c>
      <c r="E17" s="44"/>
      <c r="F17" s="44"/>
      <c r="G17" s="44"/>
      <c r="H17" s="44"/>
      <c r="I17" s="44"/>
      <c r="J17" s="44"/>
      <c r="K17" s="44"/>
      <c r="L17" s="44"/>
      <c r="M17" s="44"/>
      <c r="N17" s="44"/>
      <c r="O17" s="44"/>
      <c r="P17" s="40"/>
    </row>
    <row r="18" spans="1:16" ht="28.5" customHeight="1" x14ac:dyDescent="0.25">
      <c r="A18" s="70"/>
      <c r="B18" s="50" t="s">
        <v>86</v>
      </c>
      <c r="C18" s="49">
        <v>3</v>
      </c>
      <c r="D18" s="38">
        <f t="shared" si="1"/>
        <v>0</v>
      </c>
      <c r="E18" s="44"/>
      <c r="F18" s="44"/>
      <c r="G18" s="44"/>
      <c r="H18" s="44"/>
      <c r="I18" s="44"/>
      <c r="J18" s="44"/>
      <c r="K18" s="44"/>
      <c r="L18" s="44"/>
      <c r="M18" s="44"/>
      <c r="N18" s="44"/>
      <c r="O18" s="44"/>
      <c r="P18" s="40"/>
    </row>
    <row r="19" spans="1:16" ht="28.5" customHeight="1" x14ac:dyDescent="0.25">
      <c r="A19" s="70"/>
      <c r="B19" s="50" t="s">
        <v>87</v>
      </c>
      <c r="C19" s="49">
        <v>0</v>
      </c>
      <c r="D19" s="38">
        <f t="shared" si="1"/>
        <v>0</v>
      </c>
      <c r="E19" s="44"/>
      <c r="F19" s="44"/>
      <c r="G19" s="44"/>
      <c r="H19" s="44"/>
      <c r="I19" s="44"/>
      <c r="J19" s="44"/>
      <c r="K19" s="44"/>
      <c r="L19" s="44"/>
      <c r="M19" s="44"/>
      <c r="N19" s="44"/>
      <c r="O19" s="44"/>
      <c r="P19" s="40"/>
    </row>
    <row r="20" spans="1:16" ht="28.5" customHeight="1" x14ac:dyDescent="0.25">
      <c r="A20" s="70"/>
      <c r="B20" s="50" t="s">
        <v>88</v>
      </c>
      <c r="C20" s="49">
        <v>0</v>
      </c>
      <c r="D20" s="38">
        <f t="shared" si="1"/>
        <v>0</v>
      </c>
      <c r="E20" s="44"/>
      <c r="F20" s="44"/>
      <c r="G20" s="44"/>
      <c r="H20" s="44"/>
      <c r="I20" s="44"/>
      <c r="J20" s="44"/>
      <c r="K20" s="44"/>
      <c r="L20" s="44"/>
      <c r="M20" s="44"/>
      <c r="N20" s="44"/>
      <c r="O20" s="44"/>
      <c r="P20" s="40"/>
    </row>
    <row r="21" spans="1:16" ht="28.5" customHeight="1" x14ac:dyDescent="0.25">
      <c r="A21" s="70"/>
      <c r="B21" s="50" t="s">
        <v>89</v>
      </c>
      <c r="C21" s="49">
        <v>0</v>
      </c>
      <c r="D21" s="38">
        <f t="shared" si="1"/>
        <v>0</v>
      </c>
      <c r="E21" s="44"/>
      <c r="F21" s="44"/>
      <c r="G21" s="44"/>
      <c r="H21" s="44"/>
      <c r="I21" s="44"/>
      <c r="J21" s="44"/>
      <c r="K21" s="44"/>
      <c r="L21" s="44"/>
      <c r="M21" s="44"/>
      <c r="N21" s="44"/>
      <c r="O21" s="44"/>
      <c r="P21" s="40"/>
    </row>
    <row r="22" spans="1:16" ht="28.5" customHeight="1" x14ac:dyDescent="0.25">
      <c r="A22" s="70"/>
      <c r="B22" s="50" t="s">
        <v>90</v>
      </c>
      <c r="C22" s="49">
        <v>0</v>
      </c>
      <c r="D22" s="38">
        <f t="shared" si="1"/>
        <v>0</v>
      </c>
      <c r="E22" s="44"/>
      <c r="F22" s="44"/>
      <c r="G22" s="44"/>
      <c r="H22" s="44"/>
      <c r="I22" s="44"/>
      <c r="J22" s="44"/>
      <c r="K22" s="44"/>
      <c r="L22" s="44"/>
      <c r="M22" s="44"/>
      <c r="N22" s="44"/>
      <c r="O22" s="44"/>
      <c r="P22" s="40"/>
    </row>
    <row r="23" spans="1:16" ht="28.5" customHeight="1" x14ac:dyDescent="0.25">
      <c r="A23" s="70"/>
      <c r="B23" s="50" t="s">
        <v>91</v>
      </c>
      <c r="C23" s="49">
        <v>0</v>
      </c>
      <c r="D23" s="38">
        <f t="shared" si="1"/>
        <v>0</v>
      </c>
      <c r="E23" s="44"/>
      <c r="F23" s="44"/>
      <c r="G23" s="44"/>
      <c r="H23" s="44"/>
      <c r="I23" s="44"/>
      <c r="J23" s="44"/>
      <c r="K23" s="44"/>
      <c r="L23" s="44"/>
      <c r="M23" s="44"/>
      <c r="N23" s="44"/>
      <c r="O23" s="44"/>
      <c r="P23" s="40"/>
    </row>
    <row r="24" spans="1:16" ht="28.5" customHeight="1" x14ac:dyDescent="0.25">
      <c r="A24" s="70"/>
      <c r="B24" s="50" t="s">
        <v>92</v>
      </c>
      <c r="C24" s="49">
        <v>94</v>
      </c>
      <c r="D24" s="38">
        <f t="shared" si="1"/>
        <v>56</v>
      </c>
      <c r="E24" s="44">
        <v>6</v>
      </c>
      <c r="F24" s="44">
        <v>11</v>
      </c>
      <c r="G24" s="44">
        <v>12</v>
      </c>
      <c r="H24" s="44"/>
      <c r="I24" s="44">
        <v>26</v>
      </c>
      <c r="J24" s="44">
        <v>1</v>
      </c>
      <c r="K24" s="44"/>
      <c r="L24" s="44"/>
      <c r="M24" s="44"/>
      <c r="N24" s="44"/>
      <c r="O24" s="44"/>
      <c r="P24" s="40"/>
    </row>
    <row r="25" spans="1:16" ht="28.5" customHeight="1" x14ac:dyDescent="0.25">
      <c r="A25" s="70"/>
      <c r="B25" s="50" t="s">
        <v>93</v>
      </c>
      <c r="C25" s="49">
        <v>0</v>
      </c>
      <c r="D25" s="38">
        <f t="shared" si="1"/>
        <v>0</v>
      </c>
      <c r="E25" s="44"/>
      <c r="F25" s="44"/>
      <c r="G25" s="44"/>
      <c r="H25" s="44"/>
      <c r="I25" s="44"/>
      <c r="J25" s="44"/>
      <c r="K25" s="44"/>
      <c r="L25" s="44"/>
      <c r="M25" s="44"/>
      <c r="N25" s="44"/>
      <c r="O25" s="44"/>
      <c r="P25" s="40"/>
    </row>
    <row r="26" spans="1:16" ht="24" customHeight="1" x14ac:dyDescent="0.25">
      <c r="A26" s="70"/>
      <c r="B26" s="51" t="s">
        <v>94</v>
      </c>
      <c r="C26" s="49">
        <v>12</v>
      </c>
      <c r="D26" s="38">
        <f t="shared" si="1"/>
        <v>12</v>
      </c>
      <c r="E26" s="44"/>
      <c r="F26" s="44"/>
      <c r="G26" s="44">
        <v>11</v>
      </c>
      <c r="H26" s="44">
        <v>1</v>
      </c>
      <c r="I26" s="44"/>
      <c r="J26" s="44"/>
      <c r="K26" s="44"/>
      <c r="L26" s="44"/>
      <c r="M26" s="44"/>
      <c r="N26" s="44"/>
      <c r="O26" s="44"/>
      <c r="P26" s="40"/>
    </row>
    <row r="27" spans="1:16" ht="24" customHeight="1" x14ac:dyDescent="0.25">
      <c r="A27" s="70"/>
      <c r="B27" s="51" t="s">
        <v>95</v>
      </c>
      <c r="C27" s="49">
        <v>12</v>
      </c>
      <c r="D27" s="38">
        <f t="shared" si="1"/>
        <v>12</v>
      </c>
      <c r="E27" s="44"/>
      <c r="F27" s="44"/>
      <c r="G27" s="44"/>
      <c r="H27" s="44">
        <v>12</v>
      </c>
      <c r="I27" s="44"/>
      <c r="J27" s="44"/>
      <c r="K27" s="44"/>
      <c r="L27" s="44"/>
      <c r="M27" s="44"/>
      <c r="N27" s="44"/>
      <c r="O27" s="44"/>
      <c r="P27" s="40"/>
    </row>
    <row r="28" spans="1:16" ht="24" customHeight="1" x14ac:dyDescent="0.25">
      <c r="A28" s="70"/>
      <c r="B28" s="51" t="s">
        <v>96</v>
      </c>
      <c r="C28" s="49">
        <v>12</v>
      </c>
      <c r="D28" s="38">
        <f t="shared" si="1"/>
        <v>0</v>
      </c>
      <c r="E28" s="44"/>
      <c r="F28" s="44"/>
      <c r="G28" s="44"/>
      <c r="H28" s="44"/>
      <c r="I28" s="44"/>
      <c r="J28" s="44"/>
      <c r="K28" s="44"/>
      <c r="L28" s="44"/>
      <c r="M28" s="44"/>
      <c r="N28" s="44"/>
      <c r="O28" s="44"/>
      <c r="P28" s="40"/>
    </row>
    <row r="29" spans="1:16" ht="24" customHeight="1" x14ac:dyDescent="0.25">
      <c r="A29" s="70"/>
      <c r="B29" s="51" t="s">
        <v>97</v>
      </c>
      <c r="C29" s="49">
        <v>12</v>
      </c>
      <c r="D29" s="38">
        <f t="shared" si="1"/>
        <v>0</v>
      </c>
      <c r="E29" s="44"/>
      <c r="F29" s="44"/>
      <c r="G29" s="44"/>
      <c r="H29" s="44"/>
      <c r="I29" s="44"/>
      <c r="J29" s="44"/>
      <c r="K29" s="44"/>
      <c r="L29" s="44"/>
      <c r="M29" s="44"/>
      <c r="N29" s="44"/>
      <c r="O29" s="44"/>
      <c r="P29" s="40"/>
    </row>
    <row r="30" spans="1:16" ht="24" customHeight="1" x14ac:dyDescent="0.25">
      <c r="A30" s="70"/>
      <c r="B30" s="51" t="s">
        <v>98</v>
      </c>
      <c r="C30" s="49">
        <v>12</v>
      </c>
      <c r="D30" s="38">
        <f t="shared" si="1"/>
        <v>0</v>
      </c>
      <c r="E30" s="44"/>
      <c r="F30" s="44"/>
      <c r="G30" s="44"/>
      <c r="H30" s="44"/>
      <c r="I30" s="44"/>
      <c r="J30" s="44"/>
      <c r="K30" s="44"/>
      <c r="L30" s="44"/>
      <c r="M30" s="44"/>
      <c r="N30" s="44"/>
      <c r="O30" s="44"/>
      <c r="P30" s="40"/>
    </row>
    <row r="31" spans="1:16" ht="24" customHeight="1" x14ac:dyDescent="0.25">
      <c r="A31" s="70"/>
      <c r="B31" s="51" t="s">
        <v>99</v>
      </c>
      <c r="C31" s="49">
        <v>1</v>
      </c>
      <c r="D31" s="38">
        <f t="shared" si="1"/>
        <v>0</v>
      </c>
      <c r="E31" s="44"/>
      <c r="F31" s="44"/>
      <c r="G31" s="44"/>
      <c r="H31" s="44"/>
      <c r="I31" s="44"/>
      <c r="J31" s="44"/>
      <c r="K31" s="44"/>
      <c r="L31" s="44"/>
      <c r="M31" s="44"/>
      <c r="N31" s="44"/>
      <c r="O31" s="44"/>
      <c r="P31" s="40"/>
    </row>
    <row r="32" spans="1:16" ht="24" customHeight="1" x14ac:dyDescent="0.25">
      <c r="A32" s="70"/>
      <c r="B32" s="51" t="s">
        <v>100</v>
      </c>
      <c r="C32" s="49">
        <v>1</v>
      </c>
      <c r="D32" s="38">
        <f t="shared" si="1"/>
        <v>0</v>
      </c>
      <c r="E32" s="44"/>
      <c r="F32" s="44"/>
      <c r="G32" s="44"/>
      <c r="H32" s="44"/>
      <c r="I32" s="44"/>
      <c r="J32" s="44"/>
      <c r="K32" s="44"/>
      <c r="L32" s="44"/>
      <c r="M32" s="44"/>
      <c r="N32" s="44"/>
      <c r="O32" s="44"/>
      <c r="P32" s="40"/>
    </row>
    <row r="33" spans="1:16" ht="24" customHeight="1" x14ac:dyDescent="0.25">
      <c r="A33" s="70"/>
      <c r="B33" s="51" t="s">
        <v>101</v>
      </c>
      <c r="C33" s="49">
        <v>1</v>
      </c>
      <c r="D33" s="38">
        <f t="shared" si="1"/>
        <v>0</v>
      </c>
      <c r="E33" s="44"/>
      <c r="F33" s="44"/>
      <c r="G33" s="44"/>
      <c r="H33" s="44"/>
      <c r="I33" s="44"/>
      <c r="J33" s="44"/>
      <c r="K33" s="44"/>
      <c r="L33" s="44"/>
      <c r="M33" s="44"/>
      <c r="N33" s="44"/>
      <c r="O33" s="44"/>
      <c r="P33" s="40"/>
    </row>
    <row r="34" spans="1:16" ht="24" customHeight="1" x14ac:dyDescent="0.25">
      <c r="A34" s="70"/>
      <c r="B34" s="51" t="s">
        <v>102</v>
      </c>
      <c r="C34" s="49">
        <v>1</v>
      </c>
      <c r="D34" s="38">
        <f t="shared" si="1"/>
        <v>0</v>
      </c>
      <c r="E34" s="44"/>
      <c r="F34" s="44"/>
      <c r="G34" s="44"/>
      <c r="H34" s="44"/>
      <c r="I34" s="44"/>
      <c r="J34" s="44"/>
      <c r="K34" s="44"/>
      <c r="L34" s="44"/>
      <c r="M34" s="44"/>
      <c r="N34" s="44"/>
      <c r="O34" s="44"/>
      <c r="P34" s="40"/>
    </row>
    <row r="35" spans="1:16" ht="24" customHeight="1" x14ac:dyDescent="0.25">
      <c r="A35" s="70"/>
      <c r="B35" s="51" t="s">
        <v>103</v>
      </c>
      <c r="C35" s="49">
        <v>1</v>
      </c>
      <c r="D35" s="38">
        <f t="shared" si="1"/>
        <v>0</v>
      </c>
      <c r="E35" s="44"/>
      <c r="F35" s="44"/>
      <c r="G35" s="44"/>
      <c r="H35" s="44"/>
      <c r="I35" s="44"/>
      <c r="J35" s="44"/>
      <c r="K35" s="44"/>
      <c r="L35" s="44"/>
      <c r="M35" s="44"/>
      <c r="N35" s="44"/>
      <c r="O35" s="44"/>
      <c r="P35" s="40"/>
    </row>
    <row r="36" spans="1:16" ht="24" customHeight="1" x14ac:dyDescent="0.25">
      <c r="A36" s="70"/>
      <c r="B36" s="51" t="s">
        <v>104</v>
      </c>
      <c r="C36" s="49">
        <v>1</v>
      </c>
      <c r="D36" s="38">
        <f t="shared" si="1"/>
        <v>0</v>
      </c>
      <c r="E36" s="44"/>
      <c r="F36" s="44"/>
      <c r="G36" s="44"/>
      <c r="H36" s="44"/>
      <c r="I36" s="44"/>
      <c r="J36" s="44"/>
      <c r="K36" s="44"/>
      <c r="L36" s="44"/>
      <c r="M36" s="44"/>
      <c r="N36" s="44"/>
      <c r="O36" s="44"/>
      <c r="P36" s="40"/>
    </row>
    <row r="37" spans="1:16" ht="24" customHeight="1" thickBot="1" x14ac:dyDescent="0.3">
      <c r="A37" s="71"/>
      <c r="B37" s="52" t="s">
        <v>105</v>
      </c>
      <c r="C37" s="49">
        <v>1</v>
      </c>
      <c r="D37" s="38">
        <f t="shared" si="1"/>
        <v>0</v>
      </c>
      <c r="E37" s="44"/>
      <c r="F37" s="44"/>
      <c r="G37" s="44"/>
      <c r="H37" s="44"/>
      <c r="I37" s="44"/>
      <c r="J37" s="44"/>
      <c r="K37" s="44"/>
      <c r="L37" s="44"/>
      <c r="M37" s="44"/>
      <c r="N37" s="44"/>
      <c r="O37" s="44"/>
      <c r="P37" s="40"/>
    </row>
    <row r="38" spans="1:16" x14ac:dyDescent="0.25">
      <c r="C38" s="53">
        <f>SUM(C3:C37)</f>
        <v>346</v>
      </c>
      <c r="D38" s="54">
        <f>SUM(D3:D37)</f>
        <v>112</v>
      </c>
    </row>
    <row r="39" spans="1:16" x14ac:dyDescent="0.25">
      <c r="C39" s="13"/>
      <c r="D39" s="55">
        <f>D38/C38</f>
        <v>0.32369942196531792</v>
      </c>
    </row>
  </sheetData>
  <sheetProtection algorithmName="SHA-512" hashValue="DtA7unMVHrJoxBKf387LXNM/igDXGpVijQwJaQtXQZAIGW569y7j641YxV9MA2MjfNudmHUXRYLAGSvAPbySOw==" saltValue="FXNtZ6qAhMdxOl0XUCrigQ==" spinCount="100000" sheet="1" objects="1" scenarios="1" autoFilter="0"/>
  <mergeCells count="2">
    <mergeCell ref="A1:A2"/>
    <mergeCell ref="A10:A37"/>
  </mergeCells>
  <conditionalFormatting sqref="C3:D3 D4:D9">
    <cfRule type="dataBar" priority="47">
      <dataBar>
        <cfvo type="min"/>
        <cfvo type="max"/>
        <color rgb="FF008AEF"/>
      </dataBar>
      <extLst>
        <ext xmlns:x14="http://schemas.microsoft.com/office/spreadsheetml/2009/9/main" uri="{B025F937-C7B1-47D3-B67F-A62EFF666E3E}">
          <x14:id>{76BA3A7E-EC76-4A7F-B5A1-C2F526A33C76}</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{5342FD1D-CE1A-4652-B7A6-49376DBC1071}</x14:id>
        </ext>
      </extLst>
    </cfRule>
  </conditionalFormatting>
  <conditionalFormatting sqref="C5:D5">
    <cfRule type="dataBar" priority="5">
      <dataBar>
        <cfvo type="min"/>
        <cfvo type="max"/>
        <color rgb="FF008AEF"/>
      </dataBar>
      <extLst>
        <ext xmlns:x14="http://schemas.microsoft.com/office/spreadsheetml/2009/9/main" uri="{B025F937-C7B1-47D3-B67F-A62EFF666E3E}">
          <x14:id>{7D2D8548-7A52-4AB3-ABFC-10DC8CE61DCC}</x14:id>
        </ext>
      </extLst>
    </cfRule>
  </conditionalFormatting>
  <conditionalFormatting sqref="C6:D6">
    <cfRule type="dataBar" priority="6">
      <dataBar>
        <cfvo type="min"/>
        <cfvo type="max"/>
        <color rgb="FF008AEF"/>
      </dataBar>
      <extLst>
        <ext xmlns:x14="http://schemas.microsoft.com/office/spreadsheetml/2009/9/main" uri="{B025F937-C7B1-47D3-B67F-A62EFF666E3E}">
          <x14:id>{F798F7F0-70D4-4DB5-8A7C-5A78A3E586FF}</x14:id>
        </ext>
      </extLst>
    </cfRule>
  </conditionalFormatting>
  <conditionalFormatting sqref="C7:D7">
    <cfRule type="dataBar" priority="7">
      <dataBar>
        <cfvo type="min"/>
        <cfvo type="max"/>
        <color rgb="FF008AEF"/>
      </dataBar>
      <extLst>
        <ext xmlns:x14="http://schemas.microsoft.com/office/spreadsheetml/2009/9/main" uri="{B025F937-C7B1-47D3-B67F-A62EFF666E3E}">
          <x14:id>{AD15EFF8-454A-4836-9EE2-2EC1FDCBFF66}</x14:id>
        </ext>
      </extLst>
    </cfRule>
  </conditionalFormatting>
  <conditionalFormatting sqref="C8:D8">
    <cfRule type="dataBar" priority="8">
      <dataBar>
        <cfvo type="min"/>
        <cfvo type="max"/>
        <color rgb="FF008AEF"/>
      </dataBar>
      <extLst>
        <ext xmlns:x14="http://schemas.microsoft.com/office/spreadsheetml/2009/9/main" uri="{B025F937-C7B1-47D3-B67F-A62EFF666E3E}">
          <x14:id>{3FA7F6E9-EC22-4D3E-B193-A9D1C0FA873D}</x14:id>
        </ext>
      </extLst>
    </cfRule>
  </conditionalFormatting>
  <conditionalFormatting sqref="C9:D9">
    <cfRule type="dataBar" priority="9">
      <dataBar>
        <cfvo type="min"/>
        <cfvo type="max"/>
        <color rgb="FF008AEF"/>
      </dataBar>
      <extLst>
        <ext xmlns:x14="http://schemas.microsoft.com/office/spreadsheetml/2009/9/main" uri="{B025F937-C7B1-47D3-B67F-A62EFF666E3E}">
          <x14:id>{291F8E9A-D3FE-4109-95BF-E9EF4889F785}</x14:id>
        </ext>
      </extLst>
    </cfRule>
  </conditionalFormatting>
  <conditionalFormatting sqref="C10:D10">
    <cfRule type="dataBar" priority="12">
      <dataBar>
        <cfvo type="min"/>
        <cfvo type="max"/>
        <color rgb="FF008AEF"/>
      </dataBar>
      <extLst>
        <ext xmlns:x14="http://schemas.microsoft.com/office/spreadsheetml/2009/9/main" uri="{B025F937-C7B1-47D3-B67F-A62EFF666E3E}">
          <x14:id>{F08459AE-C476-4947-A383-655DB0F01964}</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{5571C36A-17AB-4B69-8771-20B595BC8442}</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{9A2C2304-8993-4B9B-A7D4-16D492E1775B}</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{854A1097-703D-46CA-8850-1D4192F8B36B}</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{B65F09BF-B650-454A-BF96-A89AB5C10BA2}</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{1CF2A240-B37A-47D1-9463-37CD148F57E4}</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{EBF75114-5CAD-482E-B6B1-E4F5FA53A989}</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{EA399D78-7EA3-4AB8-8F4A-52EBCBA5188C}</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{34A0EB51-4A41-4601-BEF0-1CB78FA3ECAB}</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{90285364-02F0-4F24-AEFE-CB29327896BE}</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{61617C21-BB63-402F-9859-C087EBB1A097}</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{443CFF87-389C-4280-87E0-8336D665872E}</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{69C35875-8055-440B-AB5C-07F63D8241FA}</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{6222269F-8AD1-4CD1-9831-B0C4F0581CC8}</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{69178325-3634-4330-8B25-CF379A27B9C9}</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{E1656646-258B-4BC0-9E1A-E23AA6F1B9CB}</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{F2CAF4FD-BF96-4FC1-99E6-9EE352F3321D}</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{C85654EA-BC3F-404D-8AE8-60F5E0A443BC}</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{1F71EF3A-C8C6-4C5F-A0A7-98166C99336F}</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{D39E014E-27C9-4143-A7F5-9E128D0E71F0}</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{57229C84-A08F-4736-B0AE-7904D3B05392}</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{0842BF24-B1BB-42C2-BAB1-4A7483264EC7}</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{C899962F-352C-448C-A58F-CD2C5309BBA5}</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{5A6AD588-0069-44DC-9BDD-FCCBEF8366AF}</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{271D7B27-E830-4820-9CB4-AE6A4E3325FD}</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{D1718E27-D6C7-4C07-BEC9-A5A5C6D900DF}</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{6D8172FF-1B63-485C-87D3-52CF15F76584}</x14:id>
        </ext>
      </extLst>
    </cfRule>
  </conditionalFormatting>
  <conditionalFormatting sqref="C37:D37">
    <cfRule type="dataBar" priority="13">
      <dataBar>
        <cfvo type="min"/>
        <cfvo type="max"/>
        <color rgb="FF008AEF"/>
      </dataBar>
      <extLst>
        <ext xmlns:x14="http://schemas.microsoft.com/office/spreadsheetml/2009/9/main" uri="{B025F937-C7B1-47D3-B67F-A62EFF666E3E}">
          <x14:id>{2AAF2DE8-7ADA-4467-B53B-3C8EF8230668}</x14:id>
        </ext>
      </extLst>
    </cfRule>
  </conditionalFormatting>
  <conditionalFormatting sqref="E3:F33 E34:O37">
    <cfRule type="cellIs" dxfId="24" priority="1" operator="greaterThan">
      <formula>0</formula>
    </cfRule>
  </conditionalFormatting>
  <conditionalFormatting sqref="G10:O33">
    <cfRule type="cellIs" dxfId="23" priority="11" operator="greaterThan">
      <formula>0</formula>
    </cfRule>
  </conditionalFormatting>
  <conditionalFormatting sqref="G3:P9">
    <cfRule type="cellIs" dxfId="22"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6BA3A7E-EC76-4A7F-B5A1-C2F526A33C76}">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5342FD1D-CE1A-4652-B7A6-49376DBC107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D2D8548-7A52-4AB3-ABFC-10DC8CE61DC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F798F7F0-70D4-4DB5-8A7C-5A78A3E586F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D15EFF8-454A-4836-9EE2-2EC1FDCBFF6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3FA7F6E9-EC22-4D3E-B193-A9D1C0FA873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291F8E9A-D3FE-4109-95BF-E9EF4889F78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08459AE-C476-4947-A383-655DB0F0196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571C36A-17AB-4B69-8771-20B595BC8442}">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A2C2304-8993-4B9B-A7D4-16D492E1775B}">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54A1097-703D-46CA-8850-1D4192F8B36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65F09BF-B650-454A-BF96-A89AB5C10BA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CF2A240-B37A-47D1-9463-37CD148F57E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EBF75114-5CAD-482E-B6B1-E4F5FA53A98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A399D78-7EA3-4AB8-8F4A-52EBCBA5188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4A0EB51-4A41-4601-BEF0-1CB78FA3ECA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90285364-02F0-4F24-AEFE-CB29327896B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1617C21-BB63-402F-9859-C087EBB1A09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443CFF87-389C-4280-87E0-8336D665872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69C35875-8055-440B-AB5C-07F63D8241F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222269F-8AD1-4CD1-9831-B0C4F0581CC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9178325-3634-4330-8B25-CF379A27B9C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1656646-258B-4BC0-9E1A-E23AA6F1B9CB}">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2CAF4FD-BF96-4FC1-99E6-9EE352F3321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85654EA-BC3F-404D-8AE8-60F5E0A443B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F71EF3A-C8C6-4C5F-A0A7-98166C99336F}">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39E014E-27C9-4143-A7F5-9E128D0E71F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7229C84-A08F-4736-B0AE-7904D3B05392}">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842BF24-B1BB-42C2-BAB1-4A7483264EC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899962F-352C-448C-A58F-CD2C5309BBA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A6AD588-0069-44DC-9BDD-FCCBEF8366A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271D7B27-E830-4820-9CB4-AE6A4E3325FD}">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1718E27-D6C7-4C07-BEC9-A5A5C6D900DF}">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6D8172FF-1B63-485C-87D3-52CF15F76584}">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2AAF2DE8-7ADA-4467-B53B-3C8EF8230668}">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40"/>
  <sheetViews>
    <sheetView zoomScale="70" zoomScaleNormal="70" workbookViewId="0">
      <selection activeCell="P8" sqref="P8"/>
    </sheetView>
  </sheetViews>
  <sheetFormatPr baseColWidth="10" defaultColWidth="11.42578125" defaultRowHeight="15" x14ac:dyDescent="0.25"/>
  <cols>
    <col min="1" max="1" width="6.28515625" style="2" customWidth="1"/>
    <col min="2" max="2" width="104.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35</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thickBot="1" x14ac:dyDescent="0.3">
      <c r="A3" s="62" t="s">
        <v>18</v>
      </c>
      <c r="B3" s="21" t="s">
        <v>17</v>
      </c>
      <c r="C3" s="7">
        <v>2</v>
      </c>
      <c r="D3" s="38">
        <f t="shared" ref="D3:D10" si="0">SUM(E3:P3)</f>
        <v>0</v>
      </c>
      <c r="E3" s="44"/>
      <c r="F3" s="44"/>
      <c r="G3" s="44"/>
      <c r="H3" s="44"/>
      <c r="I3" s="44"/>
      <c r="J3" s="44"/>
      <c r="K3" s="44"/>
      <c r="L3" s="44"/>
      <c r="M3" s="44"/>
      <c r="N3" s="44"/>
      <c r="O3" s="44"/>
      <c r="P3" s="44"/>
    </row>
    <row r="4" spans="1:16" ht="81" customHeight="1" thickBot="1" x14ac:dyDescent="0.3">
      <c r="A4" s="63" t="s">
        <v>20</v>
      </c>
      <c r="B4" s="22" t="s">
        <v>19</v>
      </c>
      <c r="C4" s="46">
        <v>2</v>
      </c>
      <c r="D4" s="38">
        <f t="shared" si="0"/>
        <v>1</v>
      </c>
      <c r="E4" s="44">
        <v>0</v>
      </c>
      <c r="F4" s="44">
        <v>0</v>
      </c>
      <c r="G4" s="44">
        <v>0</v>
      </c>
      <c r="H4" s="44">
        <v>0</v>
      </c>
      <c r="I4" s="44">
        <v>1</v>
      </c>
      <c r="J4" s="44"/>
      <c r="K4" s="44"/>
      <c r="L4" s="44"/>
      <c r="M4" s="44"/>
      <c r="N4" s="44"/>
      <c r="O4" s="44"/>
      <c r="P4" s="44"/>
    </row>
    <row r="5" spans="1:16" ht="81" customHeight="1" thickBot="1" x14ac:dyDescent="0.3">
      <c r="A5" s="64" t="s">
        <v>22</v>
      </c>
      <c r="B5" s="23" t="s">
        <v>29</v>
      </c>
      <c r="C5" s="47">
        <v>1</v>
      </c>
      <c r="D5" s="38">
        <f t="shared" si="0"/>
        <v>1</v>
      </c>
      <c r="E5" s="44">
        <v>0</v>
      </c>
      <c r="F5" s="44">
        <v>0</v>
      </c>
      <c r="G5" s="44">
        <v>0</v>
      </c>
      <c r="H5" s="44">
        <v>1</v>
      </c>
      <c r="I5" s="44"/>
      <c r="J5" s="44"/>
      <c r="K5" s="44"/>
      <c r="L5" s="44"/>
      <c r="M5" s="44"/>
      <c r="N5" s="44"/>
      <c r="O5" s="44"/>
      <c r="P5" s="44"/>
    </row>
    <row r="6" spans="1:16" ht="81" customHeight="1" thickBot="1" x14ac:dyDescent="0.3">
      <c r="A6" s="62" t="s">
        <v>18</v>
      </c>
      <c r="B6" s="21" t="s">
        <v>36</v>
      </c>
      <c r="C6" s="49">
        <v>2</v>
      </c>
      <c r="D6" s="38">
        <f t="shared" si="0"/>
        <v>0</v>
      </c>
      <c r="E6" s="44"/>
      <c r="F6" s="44"/>
      <c r="G6" s="44"/>
      <c r="H6" s="44"/>
      <c r="I6" s="44"/>
      <c r="J6" s="44"/>
      <c r="K6" s="44"/>
      <c r="L6" s="44"/>
      <c r="M6" s="44"/>
      <c r="N6" s="44"/>
      <c r="O6" s="44"/>
      <c r="P6" s="44"/>
    </row>
    <row r="7" spans="1:16" ht="81" customHeight="1" thickBot="1" x14ac:dyDescent="0.3">
      <c r="A7" s="65" t="s">
        <v>18</v>
      </c>
      <c r="B7" s="21" t="s">
        <v>31</v>
      </c>
      <c r="C7" s="49">
        <v>2</v>
      </c>
      <c r="D7" s="38">
        <f t="shared" si="0"/>
        <v>0</v>
      </c>
      <c r="E7" s="44"/>
      <c r="F7" s="44"/>
      <c r="G7" s="44"/>
      <c r="H7" s="44"/>
      <c r="I7" s="44"/>
      <c r="J7" s="44"/>
      <c r="K7" s="44"/>
      <c r="L7" s="44"/>
      <c r="M7" s="44"/>
      <c r="N7" s="44"/>
      <c r="O7" s="44"/>
      <c r="P7" s="44"/>
    </row>
    <row r="8" spans="1:16" ht="81" customHeight="1" thickBot="1" x14ac:dyDescent="0.3">
      <c r="A8" s="65" t="s">
        <v>18</v>
      </c>
      <c r="B8" s="21" t="s">
        <v>37</v>
      </c>
      <c r="C8" s="49">
        <v>1</v>
      </c>
      <c r="D8" s="38">
        <f t="shared" si="0"/>
        <v>0</v>
      </c>
      <c r="E8" s="44"/>
      <c r="F8" s="44"/>
      <c r="G8" s="44"/>
      <c r="H8" s="44"/>
      <c r="I8" s="44"/>
      <c r="J8" s="44"/>
      <c r="K8" s="44"/>
      <c r="L8" s="44"/>
      <c r="M8" s="44"/>
      <c r="N8" s="44"/>
      <c r="O8" s="44"/>
      <c r="P8" s="44"/>
    </row>
    <row r="9" spans="1:16" ht="81" customHeight="1" thickBot="1" x14ac:dyDescent="0.3">
      <c r="A9" s="65" t="s">
        <v>18</v>
      </c>
      <c r="B9" s="21" t="s">
        <v>38</v>
      </c>
      <c r="C9" s="49">
        <v>2</v>
      </c>
      <c r="D9" s="38">
        <f t="shared" si="0"/>
        <v>0</v>
      </c>
      <c r="E9" s="44"/>
      <c r="F9" s="44"/>
      <c r="G9" s="44"/>
      <c r="H9" s="44"/>
      <c r="I9" s="44"/>
      <c r="J9" s="44"/>
      <c r="K9" s="44"/>
      <c r="L9" s="44"/>
      <c r="M9" s="44"/>
      <c r="N9" s="44"/>
      <c r="O9" s="44"/>
      <c r="P9" s="44"/>
    </row>
    <row r="10" spans="1:16" ht="81" customHeight="1" thickBot="1" x14ac:dyDescent="0.3">
      <c r="A10" s="65" t="s">
        <v>18</v>
      </c>
      <c r="B10" s="21" t="s">
        <v>39</v>
      </c>
      <c r="C10" s="49">
        <v>1</v>
      </c>
      <c r="D10" s="38">
        <f t="shared" si="0"/>
        <v>0</v>
      </c>
      <c r="E10" s="44"/>
      <c r="F10" s="44"/>
      <c r="G10" s="44"/>
      <c r="H10" s="44"/>
      <c r="I10" s="44"/>
      <c r="J10" s="44"/>
      <c r="K10" s="44"/>
      <c r="L10" s="44"/>
      <c r="M10" s="44"/>
      <c r="N10" s="44"/>
      <c r="O10" s="44"/>
      <c r="P10" s="44"/>
    </row>
    <row r="11" spans="1:16" ht="28.5" customHeight="1" x14ac:dyDescent="0.25">
      <c r="A11" s="69" t="s">
        <v>77</v>
      </c>
      <c r="B11" s="50" t="s">
        <v>78</v>
      </c>
      <c r="C11" s="49">
        <v>3</v>
      </c>
      <c r="D11" s="38">
        <f t="shared" ref="D11:D38" si="1">SUM(E11:O11)</f>
        <v>1</v>
      </c>
      <c r="E11" s="44"/>
      <c r="F11" s="44"/>
      <c r="G11" s="44"/>
      <c r="H11" s="44">
        <v>1</v>
      </c>
      <c r="I11" s="44"/>
      <c r="J11" s="44"/>
      <c r="K11" s="44"/>
      <c r="L11" s="44"/>
      <c r="M11" s="44"/>
      <c r="N11" s="44"/>
      <c r="O11" s="44"/>
      <c r="P11" s="40"/>
    </row>
    <row r="12" spans="1:16" ht="28.5" customHeight="1" x14ac:dyDescent="0.25">
      <c r="A12" s="70"/>
      <c r="B12" s="50" t="s">
        <v>79</v>
      </c>
      <c r="C12" s="49">
        <v>3</v>
      </c>
      <c r="D12" s="38">
        <f t="shared" si="1"/>
        <v>0</v>
      </c>
      <c r="E12" s="44"/>
      <c r="F12" s="44"/>
      <c r="G12" s="44"/>
      <c r="H12" s="44"/>
      <c r="I12" s="44"/>
      <c r="J12" s="44"/>
      <c r="K12" s="44"/>
      <c r="L12" s="44"/>
      <c r="M12" s="44"/>
      <c r="N12" s="44"/>
      <c r="O12" s="44"/>
      <c r="P12" s="40"/>
    </row>
    <row r="13" spans="1:16" ht="28.5" customHeight="1" x14ac:dyDescent="0.25">
      <c r="A13" s="70"/>
      <c r="B13" s="50" t="s">
        <v>80</v>
      </c>
      <c r="C13" s="49">
        <v>44</v>
      </c>
      <c r="D13" s="38">
        <f t="shared" si="1"/>
        <v>15</v>
      </c>
      <c r="E13" s="44"/>
      <c r="F13" s="44">
        <v>5</v>
      </c>
      <c r="G13" s="44">
        <v>4</v>
      </c>
      <c r="H13" s="44">
        <v>3</v>
      </c>
      <c r="I13" s="44">
        <v>3</v>
      </c>
      <c r="J13" s="44"/>
      <c r="K13" s="44"/>
      <c r="L13" s="44"/>
      <c r="M13" s="44"/>
      <c r="N13" s="44"/>
      <c r="O13" s="44"/>
      <c r="P13" s="40"/>
    </row>
    <row r="14" spans="1:16" ht="28.5" customHeight="1" x14ac:dyDescent="0.25">
      <c r="A14" s="70"/>
      <c r="B14" s="50" t="s">
        <v>81</v>
      </c>
      <c r="C14" s="49">
        <v>0</v>
      </c>
      <c r="D14" s="38">
        <f t="shared" si="1"/>
        <v>0</v>
      </c>
      <c r="E14" s="44"/>
      <c r="F14" s="44"/>
      <c r="G14" s="44"/>
      <c r="H14" s="44"/>
      <c r="I14" s="44"/>
      <c r="J14" s="44"/>
      <c r="K14" s="44"/>
      <c r="L14" s="44"/>
      <c r="M14" s="44"/>
      <c r="N14" s="44"/>
      <c r="O14" s="44"/>
      <c r="P14" s="40"/>
    </row>
    <row r="15" spans="1:16" ht="28.5" customHeight="1" x14ac:dyDescent="0.25">
      <c r="A15" s="70"/>
      <c r="B15" s="50" t="s">
        <v>82</v>
      </c>
      <c r="C15" s="49">
        <v>0</v>
      </c>
      <c r="D15" s="38">
        <f t="shared" si="1"/>
        <v>0</v>
      </c>
      <c r="E15" s="44"/>
      <c r="F15" s="44"/>
      <c r="G15" s="44"/>
      <c r="H15" s="44"/>
      <c r="I15" s="44"/>
      <c r="J15" s="44"/>
      <c r="K15" s="44"/>
      <c r="L15" s="44"/>
      <c r="M15" s="44"/>
      <c r="N15" s="44"/>
      <c r="O15" s="44"/>
      <c r="P15" s="40"/>
    </row>
    <row r="16" spans="1:16" ht="28.5" customHeight="1" x14ac:dyDescent="0.25">
      <c r="A16" s="70"/>
      <c r="B16" s="50" t="s">
        <v>83</v>
      </c>
      <c r="C16" s="49">
        <v>7</v>
      </c>
      <c r="D16" s="38">
        <f t="shared" si="1"/>
        <v>1</v>
      </c>
      <c r="E16" s="44"/>
      <c r="F16" s="44"/>
      <c r="G16" s="44"/>
      <c r="H16" s="44">
        <v>1</v>
      </c>
      <c r="I16" s="44"/>
      <c r="J16" s="44"/>
      <c r="K16" s="44"/>
      <c r="L16" s="44"/>
      <c r="M16" s="44"/>
      <c r="N16" s="44"/>
      <c r="O16" s="44"/>
      <c r="P16" s="40"/>
    </row>
    <row r="17" spans="1:16" ht="28.5" customHeight="1" x14ac:dyDescent="0.25">
      <c r="A17" s="70"/>
      <c r="B17" s="50" t="s">
        <v>84</v>
      </c>
      <c r="C17" s="49">
        <v>0</v>
      </c>
      <c r="D17" s="38">
        <f t="shared" si="1"/>
        <v>0</v>
      </c>
      <c r="E17" s="44"/>
      <c r="F17" s="44"/>
      <c r="G17" s="44"/>
      <c r="H17" s="44"/>
      <c r="I17" s="44"/>
      <c r="J17" s="44"/>
      <c r="K17" s="44"/>
      <c r="L17" s="44"/>
      <c r="M17" s="44"/>
      <c r="N17" s="44"/>
      <c r="O17" s="44"/>
      <c r="P17" s="40"/>
    </row>
    <row r="18" spans="1:16" ht="28.5" customHeight="1" x14ac:dyDescent="0.25">
      <c r="A18" s="70"/>
      <c r="B18" s="50" t="s">
        <v>85</v>
      </c>
      <c r="C18" s="49">
        <v>0</v>
      </c>
      <c r="D18" s="38">
        <f t="shared" si="1"/>
        <v>0</v>
      </c>
      <c r="E18" s="44"/>
      <c r="F18" s="44"/>
      <c r="G18" s="44"/>
      <c r="H18" s="44"/>
      <c r="I18" s="44"/>
      <c r="J18" s="44"/>
      <c r="K18" s="44"/>
      <c r="L18" s="44"/>
      <c r="M18" s="44"/>
      <c r="N18" s="44"/>
      <c r="O18" s="44"/>
      <c r="P18" s="40"/>
    </row>
    <row r="19" spans="1:16" ht="28.5" customHeight="1" x14ac:dyDescent="0.25">
      <c r="A19" s="70"/>
      <c r="B19" s="50" t="s">
        <v>86</v>
      </c>
      <c r="C19" s="49">
        <v>0</v>
      </c>
      <c r="D19" s="38">
        <f t="shared" si="1"/>
        <v>0</v>
      </c>
      <c r="E19" s="44"/>
      <c r="F19" s="44"/>
      <c r="G19" s="44"/>
      <c r="H19" s="44"/>
      <c r="I19" s="44"/>
      <c r="J19" s="44"/>
      <c r="K19" s="44"/>
      <c r="L19" s="44"/>
      <c r="M19" s="44"/>
      <c r="N19" s="44"/>
      <c r="O19" s="44"/>
      <c r="P19" s="40"/>
    </row>
    <row r="20" spans="1:16" ht="28.5" customHeight="1" x14ac:dyDescent="0.25">
      <c r="A20" s="70"/>
      <c r="B20" s="50" t="s">
        <v>87</v>
      </c>
      <c r="C20" s="49">
        <v>0</v>
      </c>
      <c r="D20" s="38">
        <f t="shared" si="1"/>
        <v>0</v>
      </c>
      <c r="E20" s="44"/>
      <c r="F20" s="44"/>
      <c r="G20" s="44"/>
      <c r="H20" s="44"/>
      <c r="I20" s="44"/>
      <c r="J20" s="44"/>
      <c r="K20" s="44"/>
      <c r="L20" s="44"/>
      <c r="M20" s="44"/>
      <c r="N20" s="44"/>
      <c r="O20" s="44"/>
      <c r="P20" s="40"/>
    </row>
    <row r="21" spans="1:16" ht="28.5" customHeight="1" x14ac:dyDescent="0.25">
      <c r="A21" s="70"/>
      <c r="B21" s="50" t="s">
        <v>88</v>
      </c>
      <c r="C21" s="49">
        <v>0</v>
      </c>
      <c r="D21" s="38">
        <f t="shared" si="1"/>
        <v>0</v>
      </c>
      <c r="E21" s="44"/>
      <c r="F21" s="44"/>
      <c r="G21" s="44"/>
      <c r="H21" s="44"/>
      <c r="I21" s="44"/>
      <c r="J21" s="44"/>
      <c r="K21" s="44"/>
      <c r="L21" s="44"/>
      <c r="M21" s="44"/>
      <c r="N21" s="44"/>
      <c r="O21" s="44"/>
      <c r="P21" s="40"/>
    </row>
    <row r="22" spans="1:16" ht="28.5" customHeight="1" x14ac:dyDescent="0.25">
      <c r="A22" s="70"/>
      <c r="B22" s="50" t="s">
        <v>89</v>
      </c>
      <c r="C22" s="49">
        <v>0</v>
      </c>
      <c r="D22" s="38">
        <f t="shared" si="1"/>
        <v>0</v>
      </c>
      <c r="E22" s="44"/>
      <c r="F22" s="44"/>
      <c r="G22" s="44"/>
      <c r="H22" s="44"/>
      <c r="I22" s="44"/>
      <c r="J22" s="44"/>
      <c r="K22" s="44"/>
      <c r="L22" s="44"/>
      <c r="M22" s="44"/>
      <c r="N22" s="44"/>
      <c r="O22" s="44"/>
      <c r="P22" s="40"/>
    </row>
    <row r="23" spans="1:16" ht="28.5" customHeight="1" x14ac:dyDescent="0.25">
      <c r="A23" s="70"/>
      <c r="B23" s="50" t="s">
        <v>90</v>
      </c>
      <c r="C23" s="49">
        <v>0</v>
      </c>
      <c r="D23" s="38">
        <f t="shared" si="1"/>
        <v>0</v>
      </c>
      <c r="E23" s="44"/>
      <c r="F23" s="44"/>
      <c r="G23" s="44"/>
      <c r="H23" s="44"/>
      <c r="I23" s="44"/>
      <c r="J23" s="44"/>
      <c r="K23" s="44"/>
      <c r="L23" s="44"/>
      <c r="M23" s="44"/>
      <c r="N23" s="44"/>
      <c r="O23" s="44"/>
      <c r="P23" s="40"/>
    </row>
    <row r="24" spans="1:16" ht="28.5" customHeight="1" x14ac:dyDescent="0.25">
      <c r="A24" s="70"/>
      <c r="B24" s="50" t="s">
        <v>91</v>
      </c>
      <c r="C24" s="49">
        <v>0</v>
      </c>
      <c r="D24" s="38">
        <f t="shared" si="1"/>
        <v>0</v>
      </c>
      <c r="E24" s="44"/>
      <c r="F24" s="44"/>
      <c r="G24" s="44"/>
      <c r="H24" s="44"/>
      <c r="I24" s="44"/>
      <c r="J24" s="44"/>
      <c r="K24" s="44"/>
      <c r="L24" s="44"/>
      <c r="M24" s="44"/>
      <c r="N24" s="44"/>
      <c r="O24" s="44"/>
      <c r="P24" s="40"/>
    </row>
    <row r="25" spans="1:16" ht="28.5" customHeight="1" x14ac:dyDescent="0.25">
      <c r="A25" s="70"/>
      <c r="B25" s="50" t="s">
        <v>92</v>
      </c>
      <c r="C25" s="49">
        <v>156</v>
      </c>
      <c r="D25" s="38">
        <f t="shared" si="1"/>
        <v>104</v>
      </c>
      <c r="E25" s="44">
        <v>26</v>
      </c>
      <c r="F25" s="44">
        <v>8</v>
      </c>
      <c r="G25" s="44">
        <v>2</v>
      </c>
      <c r="H25" s="44">
        <v>34</v>
      </c>
      <c r="I25" s="44"/>
      <c r="J25" s="44">
        <v>34</v>
      </c>
      <c r="K25" s="44"/>
      <c r="L25" s="44"/>
      <c r="M25" s="44"/>
      <c r="N25" s="44"/>
      <c r="O25" s="44"/>
      <c r="P25" s="40"/>
    </row>
    <row r="26" spans="1:16" ht="28.5" customHeight="1" x14ac:dyDescent="0.25">
      <c r="A26" s="70"/>
      <c r="B26" s="50" t="s">
        <v>93</v>
      </c>
      <c r="C26" s="49">
        <v>1</v>
      </c>
      <c r="D26" s="38">
        <f t="shared" si="1"/>
        <v>0</v>
      </c>
      <c r="E26" s="44"/>
      <c r="F26" s="44"/>
      <c r="G26" s="44"/>
      <c r="H26" s="44"/>
      <c r="I26" s="44"/>
      <c r="J26" s="44"/>
      <c r="K26" s="44"/>
      <c r="L26" s="44"/>
      <c r="M26" s="44"/>
      <c r="N26" s="44"/>
      <c r="O26" s="44"/>
      <c r="P26" s="40"/>
    </row>
    <row r="27" spans="1:16" ht="24" customHeight="1" x14ac:dyDescent="0.25">
      <c r="A27" s="70"/>
      <c r="B27" s="51" t="s">
        <v>94</v>
      </c>
      <c r="C27" s="49">
        <v>3</v>
      </c>
      <c r="D27" s="38">
        <f t="shared" si="1"/>
        <v>3</v>
      </c>
      <c r="E27" s="44"/>
      <c r="F27" s="44"/>
      <c r="G27" s="44">
        <v>3</v>
      </c>
      <c r="H27" s="44"/>
      <c r="I27" s="44"/>
      <c r="J27" s="44"/>
      <c r="K27" s="44"/>
      <c r="L27" s="44"/>
      <c r="M27" s="44"/>
      <c r="N27" s="44"/>
      <c r="O27" s="44"/>
      <c r="P27" s="40"/>
    </row>
    <row r="28" spans="1:16" ht="24" customHeight="1" x14ac:dyDescent="0.25">
      <c r="A28" s="70"/>
      <c r="B28" s="51" t="s">
        <v>95</v>
      </c>
      <c r="C28" s="49">
        <v>3</v>
      </c>
      <c r="D28" s="38">
        <f t="shared" si="1"/>
        <v>3</v>
      </c>
      <c r="E28" s="44"/>
      <c r="F28" s="44"/>
      <c r="G28" s="44"/>
      <c r="H28" s="44">
        <v>3</v>
      </c>
      <c r="I28" s="44"/>
      <c r="J28" s="44"/>
      <c r="K28" s="44"/>
      <c r="L28" s="44"/>
      <c r="M28" s="44"/>
      <c r="N28" s="44"/>
      <c r="O28" s="44"/>
      <c r="P28" s="40"/>
    </row>
    <row r="29" spans="1:16" ht="24" customHeight="1" x14ac:dyDescent="0.25">
      <c r="A29" s="70"/>
      <c r="B29" s="51" t="s">
        <v>96</v>
      </c>
      <c r="C29" s="49">
        <v>3</v>
      </c>
      <c r="D29" s="38">
        <f t="shared" si="1"/>
        <v>3</v>
      </c>
      <c r="E29" s="44"/>
      <c r="F29" s="44"/>
      <c r="G29" s="44"/>
      <c r="H29" s="44"/>
      <c r="I29" s="44">
        <v>3</v>
      </c>
      <c r="J29" s="44"/>
      <c r="K29" s="44"/>
      <c r="L29" s="44"/>
      <c r="M29" s="44"/>
      <c r="N29" s="44"/>
      <c r="O29" s="44"/>
      <c r="P29" s="40"/>
    </row>
    <row r="30" spans="1:16" ht="24" customHeight="1" x14ac:dyDescent="0.25">
      <c r="A30" s="70"/>
      <c r="B30" s="51" t="s">
        <v>97</v>
      </c>
      <c r="C30" s="49">
        <v>3</v>
      </c>
      <c r="D30" s="38">
        <f t="shared" si="1"/>
        <v>0</v>
      </c>
      <c r="E30" s="44"/>
      <c r="F30" s="44"/>
      <c r="G30" s="44"/>
      <c r="H30" s="44"/>
      <c r="I30" s="44"/>
      <c r="J30" s="44"/>
      <c r="K30" s="44"/>
      <c r="L30" s="44"/>
      <c r="M30" s="44"/>
      <c r="N30" s="44"/>
      <c r="O30" s="44"/>
      <c r="P30" s="40"/>
    </row>
    <row r="31" spans="1:16" ht="24" customHeight="1" x14ac:dyDescent="0.25">
      <c r="A31" s="70"/>
      <c r="B31" s="51" t="s">
        <v>98</v>
      </c>
      <c r="C31" s="49">
        <v>3</v>
      </c>
      <c r="D31" s="38">
        <f t="shared" si="1"/>
        <v>0</v>
      </c>
      <c r="E31" s="44"/>
      <c r="F31" s="44"/>
      <c r="G31" s="44"/>
      <c r="H31" s="44"/>
      <c r="I31" s="44"/>
      <c r="J31" s="44"/>
      <c r="K31" s="44"/>
      <c r="L31" s="44"/>
      <c r="M31" s="44"/>
      <c r="N31" s="44"/>
      <c r="O31" s="44"/>
      <c r="P31" s="40"/>
    </row>
    <row r="32" spans="1:16" ht="24" customHeight="1" x14ac:dyDescent="0.25">
      <c r="A32" s="70"/>
      <c r="B32" s="51" t="s">
        <v>99</v>
      </c>
      <c r="C32" s="49">
        <v>1</v>
      </c>
      <c r="D32" s="38">
        <f t="shared" si="1"/>
        <v>0</v>
      </c>
      <c r="E32" s="44"/>
      <c r="F32" s="44"/>
      <c r="G32" s="44"/>
      <c r="H32" s="44"/>
      <c r="I32" s="44"/>
      <c r="J32" s="44"/>
      <c r="K32" s="44"/>
      <c r="L32" s="44"/>
      <c r="M32" s="44"/>
      <c r="N32" s="44"/>
      <c r="O32" s="44"/>
      <c r="P32" s="40"/>
    </row>
    <row r="33" spans="1:16" ht="24" customHeight="1" x14ac:dyDescent="0.25">
      <c r="A33" s="70"/>
      <c r="B33" s="51" t="s">
        <v>100</v>
      </c>
      <c r="C33" s="49">
        <v>1</v>
      </c>
      <c r="D33" s="38">
        <f t="shared" si="1"/>
        <v>0</v>
      </c>
      <c r="E33" s="44"/>
      <c r="F33" s="44"/>
      <c r="G33" s="44"/>
      <c r="H33" s="44"/>
      <c r="I33" s="44"/>
      <c r="J33" s="44"/>
      <c r="K33" s="44"/>
      <c r="L33" s="44"/>
      <c r="M33" s="44"/>
      <c r="N33" s="44"/>
      <c r="O33" s="44"/>
      <c r="P33" s="40"/>
    </row>
    <row r="34" spans="1:16" ht="24" customHeight="1" x14ac:dyDescent="0.25">
      <c r="A34" s="70"/>
      <c r="B34" s="51" t="s">
        <v>101</v>
      </c>
      <c r="C34" s="49">
        <v>1</v>
      </c>
      <c r="D34" s="38">
        <f t="shared" si="1"/>
        <v>0</v>
      </c>
      <c r="E34" s="44"/>
      <c r="F34" s="44"/>
      <c r="G34" s="44"/>
      <c r="H34" s="44"/>
      <c r="I34" s="44"/>
      <c r="J34" s="44"/>
      <c r="K34" s="44"/>
      <c r="L34" s="44"/>
      <c r="M34" s="44"/>
      <c r="N34" s="44"/>
      <c r="O34" s="44"/>
      <c r="P34" s="40"/>
    </row>
    <row r="35" spans="1:16" ht="24" customHeight="1" x14ac:dyDescent="0.25">
      <c r="A35" s="70"/>
      <c r="B35" s="51" t="s">
        <v>102</v>
      </c>
      <c r="C35" s="49">
        <v>1</v>
      </c>
      <c r="D35" s="38">
        <f t="shared" si="1"/>
        <v>0</v>
      </c>
      <c r="E35" s="44"/>
      <c r="F35" s="44"/>
      <c r="G35" s="44"/>
      <c r="H35" s="44"/>
      <c r="I35" s="44"/>
      <c r="J35" s="44"/>
      <c r="K35" s="44"/>
      <c r="L35" s="44"/>
      <c r="M35" s="44"/>
      <c r="N35" s="44"/>
      <c r="O35" s="44"/>
      <c r="P35" s="40"/>
    </row>
    <row r="36" spans="1:16" ht="24" customHeight="1" x14ac:dyDescent="0.25">
      <c r="A36" s="70"/>
      <c r="B36" s="51" t="s">
        <v>103</v>
      </c>
      <c r="C36" s="49">
        <v>1</v>
      </c>
      <c r="D36" s="38">
        <f t="shared" si="1"/>
        <v>0</v>
      </c>
      <c r="E36" s="44"/>
      <c r="F36" s="44"/>
      <c r="G36" s="44"/>
      <c r="H36" s="44"/>
      <c r="I36" s="44"/>
      <c r="J36" s="44"/>
      <c r="K36" s="44"/>
      <c r="L36" s="44"/>
      <c r="M36" s="44"/>
      <c r="N36" s="44"/>
      <c r="O36" s="44"/>
      <c r="P36" s="40"/>
    </row>
    <row r="37" spans="1:16" ht="24" customHeight="1" x14ac:dyDescent="0.25">
      <c r="A37" s="70"/>
      <c r="B37" s="51" t="s">
        <v>104</v>
      </c>
      <c r="C37" s="49">
        <v>1</v>
      </c>
      <c r="D37" s="38">
        <f t="shared" si="1"/>
        <v>0</v>
      </c>
      <c r="E37" s="44"/>
      <c r="F37" s="44"/>
      <c r="G37" s="44"/>
      <c r="H37" s="44"/>
      <c r="I37" s="44"/>
      <c r="J37" s="44"/>
      <c r="K37" s="44"/>
      <c r="L37" s="44"/>
      <c r="M37" s="44"/>
      <c r="N37" s="44"/>
      <c r="O37" s="44"/>
      <c r="P37" s="40"/>
    </row>
    <row r="38" spans="1:16" ht="24" customHeight="1" thickBot="1" x14ac:dyDescent="0.3">
      <c r="A38" s="71"/>
      <c r="B38" s="52" t="s">
        <v>105</v>
      </c>
      <c r="C38" s="49">
        <v>1</v>
      </c>
      <c r="D38" s="38">
        <f t="shared" si="1"/>
        <v>0</v>
      </c>
      <c r="E38" s="44"/>
      <c r="F38" s="44"/>
      <c r="G38" s="44"/>
      <c r="H38" s="44"/>
      <c r="I38" s="44"/>
      <c r="J38" s="44"/>
      <c r="K38" s="44"/>
      <c r="L38" s="44"/>
      <c r="M38" s="44"/>
      <c r="N38" s="44"/>
      <c r="O38" s="44"/>
      <c r="P38" s="40"/>
    </row>
    <row r="39" spans="1:16" x14ac:dyDescent="0.25">
      <c r="C39" s="53">
        <f>SUM(C3:C38)</f>
        <v>249</v>
      </c>
      <c r="D39" s="54">
        <f>SUM(D3:D38)</f>
        <v>132</v>
      </c>
    </row>
    <row r="40" spans="1:16" x14ac:dyDescent="0.25">
      <c r="C40" s="13"/>
      <c r="D40" s="55">
        <f>D39/C39</f>
        <v>0.53012048192771088</v>
      </c>
    </row>
  </sheetData>
  <sheetProtection algorithmName="SHA-512" hashValue="sLib8rpg8eRmRACroXbEFjZhoJ+F5LQCqm6v+sl9AwQSPRodeo4mzp7CyFTI13FjqTID/KgSTOXuA5ia1Lr1xg==" saltValue="OZCqEQvn8MrnPURriJnDXw=="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{4A6ED95E-E548-4ADE-B3FE-BB4C5A700412}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{57A9F2BC-1795-4180-8C46-56B59FCC3EEA}</x14:id>
        </ext>
      </extLst>
    </cfRule>
  </conditionalFormatting>
  <conditionalFormatting sqref="C5:D5">
    <cfRule type="dataBar" priority="5">
      <dataBar>
        <cfvo type="min"/>
        <cfvo type="max"/>
        <color rgb="FF008AEF"/>
      </dataBar>
      <extLst>
        <ext xmlns:x14="http://schemas.microsoft.com/office/spreadsheetml/2009/9/main" uri="{B025F937-C7B1-47D3-B67F-A62EFF666E3E}">
          <x14:id>{45FA9CD2-4D1D-4E9F-9CBB-5837183AB875}</x14:id>
        </ext>
      </extLst>
    </cfRule>
  </conditionalFormatting>
  <conditionalFormatting sqref="C6:D6">
    <cfRule type="dataBar" priority="6">
      <dataBar>
        <cfvo type="min"/>
        <cfvo type="max"/>
        <color rgb="FF008AEF"/>
      </dataBar>
      <extLst>
        <ext xmlns:x14="http://schemas.microsoft.com/office/spreadsheetml/2009/9/main" uri="{B025F937-C7B1-47D3-B67F-A62EFF666E3E}">
          <x14:id>{B3BB0524-8274-45C0-B21C-DCEEE42B8C14}</x14:id>
        </ext>
      </extLst>
    </cfRule>
  </conditionalFormatting>
  <conditionalFormatting sqref="C7:D7">
    <cfRule type="dataBar" priority="7">
      <dataBar>
        <cfvo type="min"/>
        <cfvo type="max"/>
        <color rgb="FF008AEF"/>
      </dataBar>
      <extLst>
        <ext xmlns:x14="http://schemas.microsoft.com/office/spreadsheetml/2009/9/main" uri="{B025F937-C7B1-47D3-B67F-A62EFF666E3E}">
          <x14:id>{1C41FA23-F592-44B0-8ACA-B5BC91E886F4}</x14:id>
        </ext>
      </extLst>
    </cfRule>
  </conditionalFormatting>
  <conditionalFormatting sqref="C8:D8">
    <cfRule type="dataBar" priority="8">
      <dataBar>
        <cfvo type="min"/>
        <cfvo type="max"/>
        <color rgb="FF008AEF"/>
      </dataBar>
      <extLst>
        <ext xmlns:x14="http://schemas.microsoft.com/office/spreadsheetml/2009/9/main" uri="{B025F937-C7B1-47D3-B67F-A62EFF666E3E}">
          <x14:id>{FDB4B215-E2C3-4FE5-9164-E4CDC108240E}</x14:id>
        </ext>
      </extLst>
    </cfRule>
  </conditionalFormatting>
  <conditionalFormatting sqref="C9:D9">
    <cfRule type="dataBar" priority="9">
      <dataBar>
        <cfvo type="min"/>
        <cfvo type="max"/>
        <color rgb="FF008AEF"/>
      </dataBar>
      <extLst>
        <ext xmlns:x14="http://schemas.microsoft.com/office/spreadsheetml/2009/9/main" uri="{B025F937-C7B1-47D3-B67F-A62EFF666E3E}">
          <x14:id>{43034E0D-055E-46A7-BD6F-E31D1B43F565}</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{8C553B8D-2937-4A0B-98A2-CA0FA178A101}</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{0CEA2B53-C3D2-4700-94F5-A5BA292B4C7E}</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{E211ADE1-B046-446C-B43A-B60E0E382369}</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{90DE5D6F-4231-4096-A160-977D481E74E0}</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{ADCEBB1E-FF77-40B8-8B23-BEB28865950C}</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{1075FE1A-06AE-4C77-8230-3FDAD278C807}</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{2D0D81C1-A466-4577-BC37-D45A9915B1A3}</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{B8BE20A3-C8B3-499A-9346-7A30929FCE54}</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{4DF6A38F-A3E6-4E8B-BA25-425E3C5DC346}</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{0C756297-9DA4-4D44-A727-768DB2D462ED}</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{FFCF4AEC-0EBB-48C2-8B13-4CFD678BF5AC}</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{5131A875-F859-4EE3-B248-301850DF7E66}</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{CC167E99-D387-4637-835F-7553F0EC2FA9}</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{E77597B0-3D7E-4ACE-9852-6FF37666F248}</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{5BF6A24C-E475-4B4A-94C5-31797E89E700}</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{A3D32C8C-CACA-4608-93E0-958D6920D921}</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{81775D39-D97B-426C-8D2B-8F4A222265A9}</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{9144811D-557E-437B-855A-04895B4C4329}</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{07CE516E-C085-48CB-8A36-34727E305D30}</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{817BFC60-6DE5-43B0-B3ED-951B94E5D32F}</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{D41A8475-411D-42E5-BB7C-B381B2249EA9}</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{CF70A7DB-BB51-4400-B00B-48270750FB16}</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{FA7F0962-5A9E-452B-B09D-7C24C5801349}</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{9D8237E9-48B0-4659-862F-ED4445738A9B}</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{8661753F-4CB0-4E6E-8076-01A0DD73CBC2}</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{D7F0BDD3-22C1-40E2-B511-21880B42265D}</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{DBCED242-D44F-425F-8137-C09345AC1908}</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{451C8196-6B1D-466A-BAB1-FF0D9D6872D0}</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{1CC80FE6-8E67-4188-BB1A-4D48260B94D0}</x14:id>
        </ext>
      </extLst>
    </cfRule>
  </conditionalFormatting>
  <conditionalFormatting sqref="E3:F34 E35:O38">
    <cfRule type="cellIs" dxfId="21" priority="1" operator="greaterThan">
      <formula>0</formula>
    </cfRule>
  </conditionalFormatting>
  <conditionalFormatting sqref="G11:O34">
    <cfRule type="cellIs" dxfId="20" priority="11" operator="greaterThan">
      <formula>0</formula>
    </cfRule>
  </conditionalFormatting>
  <conditionalFormatting sqref="G3:P10">
    <cfRule type="cellIs" dxfId="19" priority="2" operator="greaterThan">
      <formula>0</formula>
    </cfRule>
  </conditionalFormatting>
  <pageMargins left="0.7" right="0.7" top="0.75" bottom="0.75" header="0.3" footer="0.3"/>
  <pageSetup paperSize="9" firstPageNumber="2147483648" orientation="portrait"/>
  <extLst>
    <ext xmlns:x14="http://schemas.microsoft.com/office/spreadsheetml/2009/9/main" uri="{78C0D931-6437-407d-A8EE-F0AAD7539E65}">
      <x14:conditionalFormattings>
        <x14:conditionalFormatting xmlns:xm="http://schemas.microsoft.com/office/excel/2006/main">
          <x14:cfRule type="dataBar" id="{4A6ED95E-E548-4ADE-B3FE-BB4C5A700412}">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57A9F2BC-1795-4180-8C46-56B59FCC3EE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5FA9CD2-4D1D-4E9F-9CBB-5837183AB87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3BB0524-8274-45C0-B21C-DCEEE42B8C1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C41FA23-F592-44B0-8ACA-B5BC91E886F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DB4B215-E2C3-4FE5-9164-E4CDC108240E}">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43034E0D-055E-46A7-BD6F-E31D1B43F56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C553B8D-2937-4A0B-98A2-CA0FA178A101}">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CEA2B53-C3D2-4700-94F5-A5BA292B4C7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211ADE1-B046-446C-B43A-B60E0E38236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90DE5D6F-4231-4096-A160-977D481E74E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DCEBB1E-FF77-40B8-8B23-BEB28865950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075FE1A-06AE-4C77-8230-3FDAD278C807}">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2D0D81C1-A466-4577-BC37-D45A9915B1A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8BE20A3-C8B3-499A-9346-7A30929FCE5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DF6A38F-A3E6-4E8B-BA25-425E3C5DC34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C756297-9DA4-4D44-A727-768DB2D462E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FCF4AEC-0EBB-48C2-8B13-4CFD678BF5AC}">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5131A875-F859-4EE3-B248-301850DF7E6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C167E99-D387-4637-835F-7553F0EC2FA9}">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77597B0-3D7E-4ACE-9852-6FF37666F24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BF6A24C-E475-4B4A-94C5-31797E89E70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A3D32C8C-CACA-4608-93E0-958D6920D92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1775D39-D97B-426C-8D2B-8F4A222265A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144811D-557E-437B-855A-04895B4C4329}">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7CE516E-C085-48CB-8A36-34727E305D3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17BFC60-6DE5-43B0-B3ED-951B94E5D32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41A8475-411D-42E5-BB7C-B381B2249EA9}">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F70A7DB-BB51-4400-B00B-48270750FB1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A7F0962-5A9E-452B-B09D-7C24C580134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9D8237E9-48B0-4659-862F-ED4445738A9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8661753F-4CB0-4E6E-8076-01A0DD73CBC2}">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7F0BDD3-22C1-40E2-B511-21880B42265D}">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DBCED242-D44F-425F-8137-C09345AC1908}">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451C8196-6B1D-466A-BAB1-FF0D9D6872D0}">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1CC80FE6-8E67-4188-BB1A-4D48260B94D0}">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9"/>
  <sheetViews>
    <sheetView zoomScale="80" zoomScaleNormal="80" workbookViewId="0">
      <selection activeCell="K6" sqref="K6:L6"/>
    </sheetView>
  </sheetViews>
  <sheetFormatPr baseColWidth="10" defaultColWidth="11.42578125" defaultRowHeight="15" x14ac:dyDescent="0.25"/>
  <cols>
    <col min="1" max="1" width="8.140625" style="2" customWidth="1"/>
    <col min="2" max="2" width="88.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40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thickBot="1" x14ac:dyDescent="0.3">
      <c r="A3" s="56" t="s">
        <v>18</v>
      </c>
      <c r="B3" s="24" t="s">
        <v>17</v>
      </c>
      <c r="C3" s="7">
        <v>2</v>
      </c>
      <c r="D3" s="38">
        <f t="shared" ref="D3:D9" si="0">SUM(E3:P3)</f>
        <v>1</v>
      </c>
      <c r="E3" s="44"/>
      <c r="F3" s="44">
        <v>1</v>
      </c>
      <c r="G3" s="44"/>
      <c r="H3" s="44"/>
      <c r="I3" s="44"/>
      <c r="J3" s="44"/>
      <c r="K3" s="44"/>
      <c r="L3" s="44"/>
      <c r="M3" s="44"/>
      <c r="N3" s="44"/>
      <c r="O3" s="44"/>
      <c r="P3" s="44"/>
    </row>
    <row r="4" spans="1:16" ht="81" customHeight="1" thickBot="1" x14ac:dyDescent="0.3">
      <c r="A4" s="57" t="s">
        <v>20</v>
      </c>
      <c r="B4" s="25" t="s">
        <v>19</v>
      </c>
      <c r="C4" s="46">
        <v>2</v>
      </c>
      <c r="D4" s="38">
        <f t="shared" si="0"/>
        <v>1</v>
      </c>
      <c r="E4" s="44">
        <v>0</v>
      </c>
      <c r="F4" s="44">
        <v>0</v>
      </c>
      <c r="G4" s="44">
        <v>0</v>
      </c>
      <c r="H4" s="44">
        <v>0</v>
      </c>
      <c r="I4" s="44">
        <v>1</v>
      </c>
      <c r="J4" s="44"/>
      <c r="K4" s="44"/>
      <c r="L4" s="44"/>
      <c r="M4" s="44"/>
      <c r="N4" s="44"/>
      <c r="O4" s="44"/>
      <c r="P4" s="44"/>
    </row>
    <row r="5" spans="1:16" ht="81" customHeight="1" thickBot="1" x14ac:dyDescent="0.3">
      <c r="A5" s="48" t="s">
        <v>22</v>
      </c>
      <c r="B5" s="26" t="s">
        <v>29</v>
      </c>
      <c r="C5" s="47">
        <v>1</v>
      </c>
      <c r="D5" s="38">
        <f t="shared" si="0"/>
        <v>1</v>
      </c>
      <c r="E5" s="44">
        <v>0</v>
      </c>
      <c r="F5" s="44">
        <v>0</v>
      </c>
      <c r="G5" s="44">
        <v>0</v>
      </c>
      <c r="H5" s="44">
        <v>1</v>
      </c>
      <c r="I5" s="44"/>
      <c r="J5" s="44"/>
      <c r="K5" s="44"/>
      <c r="L5" s="44"/>
      <c r="M5" s="44"/>
      <c r="N5" s="44"/>
      <c r="O5" s="44"/>
      <c r="P5" s="44"/>
    </row>
    <row r="6" spans="1:16" ht="81" customHeight="1" thickBot="1" x14ac:dyDescent="0.3">
      <c r="A6" s="56" t="s">
        <v>18</v>
      </c>
      <c r="B6" s="24" t="s">
        <v>36</v>
      </c>
      <c r="C6" s="49">
        <v>2</v>
      </c>
      <c r="D6" s="38">
        <f t="shared" si="0"/>
        <v>0</v>
      </c>
      <c r="E6" s="44"/>
      <c r="F6" s="44"/>
      <c r="G6" s="44"/>
      <c r="H6" s="44"/>
      <c r="I6" s="44"/>
      <c r="J6" s="44"/>
      <c r="K6" s="44"/>
      <c r="L6" s="44"/>
      <c r="M6" s="44"/>
      <c r="N6" s="44"/>
      <c r="O6" s="44"/>
      <c r="P6" s="44"/>
    </row>
    <row r="7" spans="1:16" ht="81" customHeight="1" thickBot="1" x14ac:dyDescent="0.3">
      <c r="A7" s="43" t="s">
        <v>18</v>
      </c>
      <c r="B7" s="24" t="s">
        <v>31</v>
      </c>
      <c r="C7" s="49">
        <v>2</v>
      </c>
      <c r="D7" s="38">
        <f t="shared" si="0"/>
        <v>0</v>
      </c>
      <c r="E7" s="44"/>
      <c r="F7" s="44"/>
      <c r="G7" s="44"/>
      <c r="H7" s="44"/>
      <c r="I7" s="44"/>
      <c r="J7" s="44"/>
      <c r="K7" s="44"/>
      <c r="L7" s="44"/>
      <c r="M7" s="44"/>
      <c r="N7" s="44"/>
      <c r="O7" s="44"/>
      <c r="P7" s="44"/>
    </row>
    <row r="8" spans="1:16" ht="81" customHeight="1" thickBot="1" x14ac:dyDescent="0.3">
      <c r="A8" s="43" t="s">
        <v>18</v>
      </c>
      <c r="B8" s="24" t="s">
        <v>38</v>
      </c>
      <c r="C8" s="49">
        <v>2</v>
      </c>
      <c r="D8" s="38">
        <f t="shared" si="0"/>
        <v>0</v>
      </c>
      <c r="E8" s="44"/>
      <c r="F8" s="44"/>
      <c r="G8" s="44"/>
      <c r="H8" s="44"/>
      <c r="I8" s="44"/>
      <c r="J8" s="44"/>
      <c r="K8" s="44"/>
      <c r="L8" s="44"/>
      <c r="M8" s="44"/>
      <c r="N8" s="44"/>
      <c r="O8" s="44"/>
      <c r="P8" s="44"/>
    </row>
    <row r="9" spans="1:16" ht="81" customHeight="1" thickBot="1" x14ac:dyDescent="0.3">
      <c r="A9" s="43" t="s">
        <v>18</v>
      </c>
      <c r="B9" s="24" t="s">
        <v>39</v>
      </c>
      <c r="C9" s="49">
        <v>1</v>
      </c>
      <c r="D9" s="38">
        <f t="shared" si="0"/>
        <v>1</v>
      </c>
      <c r="E9" s="44"/>
      <c r="F9" s="44"/>
      <c r="G9" s="44">
        <v>1</v>
      </c>
      <c r="H9" s="44"/>
      <c r="I9" s="44"/>
      <c r="J9" s="44"/>
      <c r="K9" s="44"/>
      <c r="L9" s="44"/>
      <c r="M9" s="44"/>
      <c r="N9" s="44"/>
      <c r="O9" s="44"/>
      <c r="P9" s="44"/>
    </row>
    <row r="10" spans="1:16" ht="28.5" customHeight="1" x14ac:dyDescent="0.25">
      <c r="A10" s="69" t="s">
        <v>77</v>
      </c>
      <c r="B10" s="50" t="s">
        <v>78</v>
      </c>
      <c r="C10" s="49">
        <v>3</v>
      </c>
      <c r="D10" s="38">
        <f t="shared" ref="D10:D37" si="1">SUM(E10:O10)</f>
        <v>0</v>
      </c>
      <c r="E10" s="44"/>
      <c r="F10" s="44"/>
      <c r="G10" s="44"/>
      <c r="H10" s="44"/>
      <c r="I10" s="44"/>
      <c r="J10" s="44"/>
      <c r="K10" s="44"/>
      <c r="L10" s="44"/>
      <c r="M10" s="44"/>
      <c r="N10" s="44"/>
      <c r="O10" s="44"/>
      <c r="P10" s="40"/>
    </row>
    <row r="11" spans="1:16" ht="28.5" customHeight="1" x14ac:dyDescent="0.25">
      <c r="A11" s="70"/>
      <c r="B11" s="50" t="s">
        <v>79</v>
      </c>
      <c r="C11" s="49">
        <v>3</v>
      </c>
      <c r="D11" s="38">
        <f t="shared" si="1"/>
        <v>0</v>
      </c>
      <c r="E11" s="44"/>
      <c r="F11" s="44"/>
      <c r="G11" s="44"/>
      <c r="H11" s="44"/>
      <c r="I11" s="44"/>
      <c r="J11" s="44"/>
      <c r="K11" s="44"/>
      <c r="L11" s="44"/>
      <c r="M11" s="44"/>
      <c r="N11" s="44"/>
      <c r="O11" s="44"/>
      <c r="P11" s="40"/>
    </row>
    <row r="12" spans="1:16" ht="28.5" customHeight="1" x14ac:dyDescent="0.25">
      <c r="A12" s="70"/>
      <c r="B12" s="50" t="s">
        <v>80</v>
      </c>
      <c r="C12" s="49">
        <v>156</v>
      </c>
      <c r="D12" s="38">
        <f t="shared" si="1"/>
        <v>56</v>
      </c>
      <c r="E12" s="44">
        <v>9</v>
      </c>
      <c r="F12" s="44">
        <v>10</v>
      </c>
      <c r="G12" s="44">
        <v>15</v>
      </c>
      <c r="H12" s="44">
        <v>15</v>
      </c>
      <c r="I12" s="44">
        <v>7</v>
      </c>
      <c r="J12" s="44"/>
      <c r="K12" s="44"/>
      <c r="L12" s="44"/>
      <c r="M12" s="44"/>
      <c r="N12" s="44"/>
      <c r="O12" s="44"/>
      <c r="P12" s="40"/>
    </row>
    <row r="13" spans="1:16" ht="28.5" customHeight="1" x14ac:dyDescent="0.25">
      <c r="A13" s="70"/>
      <c r="B13" s="50" t="s">
        <v>81</v>
      </c>
      <c r="C13" s="49">
        <v>300</v>
      </c>
      <c r="D13" s="38">
        <f t="shared" si="1"/>
        <v>24</v>
      </c>
      <c r="E13" s="44"/>
      <c r="F13" s="44"/>
      <c r="G13" s="44">
        <v>24</v>
      </c>
      <c r="H13" s="44"/>
      <c r="I13" s="44"/>
      <c r="J13" s="44"/>
      <c r="K13" s="44"/>
      <c r="L13" s="44"/>
      <c r="M13" s="44"/>
      <c r="N13" s="44"/>
      <c r="O13" s="44"/>
      <c r="P13" s="40"/>
    </row>
    <row r="14" spans="1:16" ht="28.5" customHeight="1" x14ac:dyDescent="0.25">
      <c r="A14" s="70"/>
      <c r="B14" s="50" t="s">
        <v>82</v>
      </c>
      <c r="C14" s="49">
        <v>0</v>
      </c>
      <c r="D14" s="38">
        <f t="shared" si="1"/>
        <v>0</v>
      </c>
      <c r="E14" s="44"/>
      <c r="F14" s="44"/>
      <c r="G14" s="44"/>
      <c r="H14" s="44"/>
      <c r="I14" s="44"/>
      <c r="J14" s="44"/>
      <c r="K14" s="44"/>
      <c r="L14" s="44"/>
      <c r="M14" s="44"/>
      <c r="N14" s="44"/>
      <c r="O14" s="44"/>
      <c r="P14" s="40"/>
    </row>
    <row r="15" spans="1:16" ht="28.5" customHeight="1" x14ac:dyDescent="0.25">
      <c r="A15" s="70"/>
      <c r="B15" s="50" t="s">
        <v>83</v>
      </c>
      <c r="C15" s="49">
        <v>0</v>
      </c>
      <c r="D15" s="38">
        <f t="shared" si="1"/>
        <v>0</v>
      </c>
      <c r="E15" s="44"/>
      <c r="F15" s="44"/>
      <c r="G15" s="44"/>
      <c r="H15" s="44"/>
      <c r="I15" s="44"/>
      <c r="J15" s="44"/>
      <c r="K15" s="44"/>
      <c r="L15" s="44"/>
      <c r="M15" s="44"/>
      <c r="N15" s="44"/>
      <c r="O15" s="44"/>
      <c r="P15" s="40"/>
    </row>
    <row r="16" spans="1:16" ht="28.5" customHeight="1" x14ac:dyDescent="0.25">
      <c r="A16" s="70"/>
      <c r="B16" s="50" t="s">
        <v>84</v>
      </c>
      <c r="C16" s="49">
        <v>0</v>
      </c>
      <c r="D16" s="38">
        <f t="shared" si="1"/>
        <v>0</v>
      </c>
      <c r="E16" s="44"/>
      <c r="F16" s="44"/>
      <c r="G16" s="44"/>
      <c r="H16" s="44"/>
      <c r="I16" s="44"/>
      <c r="J16" s="44"/>
      <c r="K16" s="44"/>
      <c r="L16" s="44"/>
      <c r="M16" s="44"/>
      <c r="N16" s="44"/>
      <c r="O16" s="44"/>
      <c r="P16" s="40"/>
    </row>
    <row r="17" spans="1:16" ht="28.5" customHeight="1" x14ac:dyDescent="0.25">
      <c r="A17" s="70"/>
      <c r="B17" s="50" t="s">
        <v>85</v>
      </c>
      <c r="C17" s="49">
        <v>0</v>
      </c>
      <c r="D17" s="38">
        <f t="shared" si="1"/>
        <v>0</v>
      </c>
      <c r="E17" s="44"/>
      <c r="F17" s="44"/>
      <c r="G17" s="44"/>
      <c r="H17" s="44"/>
      <c r="I17" s="44"/>
      <c r="J17" s="44"/>
      <c r="K17" s="44"/>
      <c r="L17" s="44"/>
      <c r="M17" s="44"/>
      <c r="N17" s="44"/>
      <c r="O17" s="44"/>
      <c r="P17" s="40"/>
    </row>
    <row r="18" spans="1:16" ht="28.5" customHeight="1" x14ac:dyDescent="0.25">
      <c r="A18" s="70"/>
      <c r="B18" s="50" t="s">
        <v>86</v>
      </c>
      <c r="C18" s="49">
        <v>0</v>
      </c>
      <c r="D18" s="38">
        <f t="shared" si="1"/>
        <v>0</v>
      </c>
      <c r="E18" s="44"/>
      <c r="F18" s="44"/>
      <c r="G18" s="44"/>
      <c r="H18" s="44"/>
      <c r="I18" s="44"/>
      <c r="J18" s="44"/>
      <c r="K18" s="44"/>
      <c r="L18" s="44"/>
      <c r="M18" s="44"/>
      <c r="N18" s="44"/>
      <c r="O18" s="44"/>
      <c r="P18" s="40"/>
    </row>
    <row r="19" spans="1:16" ht="28.5" customHeight="1" x14ac:dyDescent="0.25">
      <c r="A19" s="70"/>
      <c r="B19" s="50" t="s">
        <v>87</v>
      </c>
      <c r="C19" s="49">
        <v>0</v>
      </c>
      <c r="D19" s="38">
        <f t="shared" si="1"/>
        <v>0</v>
      </c>
      <c r="E19" s="44"/>
      <c r="F19" s="44"/>
      <c r="G19" s="44"/>
      <c r="H19" s="44"/>
      <c r="I19" s="44"/>
      <c r="J19" s="44"/>
      <c r="K19" s="44"/>
      <c r="L19" s="44"/>
      <c r="M19" s="44"/>
      <c r="N19" s="44"/>
      <c r="O19" s="44"/>
      <c r="P19" s="40"/>
    </row>
    <row r="20" spans="1:16" ht="28.5" customHeight="1" x14ac:dyDescent="0.25">
      <c r="A20" s="70"/>
      <c r="B20" s="50" t="s">
        <v>88</v>
      </c>
      <c r="C20" s="49">
        <v>0</v>
      </c>
      <c r="D20" s="38">
        <f t="shared" si="1"/>
        <v>0</v>
      </c>
      <c r="E20" s="44"/>
      <c r="F20" s="44"/>
      <c r="G20" s="44"/>
      <c r="H20" s="44"/>
      <c r="I20" s="44"/>
      <c r="J20" s="44"/>
      <c r="K20" s="44"/>
      <c r="L20" s="44"/>
      <c r="M20" s="44"/>
      <c r="N20" s="44"/>
      <c r="O20" s="44"/>
      <c r="P20" s="40"/>
    </row>
    <row r="21" spans="1:16" ht="28.5" customHeight="1" x14ac:dyDescent="0.25">
      <c r="A21" s="70"/>
      <c r="B21" s="50" t="s">
        <v>89</v>
      </c>
      <c r="C21" s="49">
        <v>0</v>
      </c>
      <c r="D21" s="38">
        <f t="shared" si="1"/>
        <v>0</v>
      </c>
      <c r="E21" s="44"/>
      <c r="F21" s="44"/>
      <c r="G21" s="44"/>
      <c r="H21" s="44"/>
      <c r="I21" s="44"/>
      <c r="J21" s="44"/>
      <c r="K21" s="44"/>
      <c r="L21" s="44"/>
      <c r="M21" s="44"/>
      <c r="N21" s="44"/>
      <c r="O21" s="44"/>
      <c r="P21" s="40"/>
    </row>
    <row r="22" spans="1:16" ht="28.5" customHeight="1" x14ac:dyDescent="0.25">
      <c r="A22" s="70"/>
      <c r="B22" s="50" t="s">
        <v>90</v>
      </c>
      <c r="C22" s="49">
        <v>0</v>
      </c>
      <c r="D22" s="38">
        <f t="shared" si="1"/>
        <v>0</v>
      </c>
      <c r="E22" s="44"/>
      <c r="F22" s="44"/>
      <c r="G22" s="44"/>
      <c r="H22" s="44"/>
      <c r="I22" s="44"/>
      <c r="J22" s="44"/>
      <c r="K22" s="44"/>
      <c r="L22" s="44"/>
      <c r="M22" s="44"/>
      <c r="N22" s="44"/>
      <c r="O22" s="44"/>
      <c r="P22" s="40"/>
    </row>
    <row r="23" spans="1:16" ht="28.5" customHeight="1" x14ac:dyDescent="0.25">
      <c r="A23" s="70"/>
      <c r="B23" s="50" t="s">
        <v>91</v>
      </c>
      <c r="C23" s="49">
        <v>0</v>
      </c>
      <c r="D23" s="38">
        <f t="shared" si="1"/>
        <v>0</v>
      </c>
      <c r="E23" s="44"/>
      <c r="F23" s="44"/>
      <c r="G23" s="44"/>
      <c r="H23" s="44"/>
      <c r="I23" s="44"/>
      <c r="J23" s="44"/>
      <c r="K23" s="44"/>
      <c r="L23" s="44"/>
      <c r="M23" s="44"/>
      <c r="N23" s="44"/>
      <c r="O23" s="44"/>
      <c r="P23" s="40"/>
    </row>
    <row r="24" spans="1:16" ht="28.5" customHeight="1" x14ac:dyDescent="0.25">
      <c r="A24" s="70"/>
      <c r="B24" s="50" t="s">
        <v>92</v>
      </c>
      <c r="C24" s="49">
        <v>222</v>
      </c>
      <c r="D24" s="38">
        <f t="shared" si="1"/>
        <v>49</v>
      </c>
      <c r="E24" s="44"/>
      <c r="F24" s="44">
        <v>33</v>
      </c>
      <c r="G24" s="44"/>
      <c r="H24" s="44">
        <v>16</v>
      </c>
      <c r="I24" s="44"/>
      <c r="J24" s="44"/>
      <c r="K24" s="44"/>
      <c r="L24" s="44"/>
      <c r="M24" s="44"/>
      <c r="N24" s="44"/>
      <c r="O24" s="44"/>
      <c r="P24" s="40"/>
    </row>
    <row r="25" spans="1:16" ht="28.5" customHeight="1" x14ac:dyDescent="0.25">
      <c r="A25" s="70"/>
      <c r="B25" s="50" t="s">
        <v>93</v>
      </c>
      <c r="C25" s="49">
        <v>0</v>
      </c>
      <c r="D25" s="38">
        <f t="shared" si="1"/>
        <v>0</v>
      </c>
      <c r="E25" s="44"/>
      <c r="F25" s="44"/>
      <c r="G25" s="44"/>
      <c r="H25" s="44"/>
      <c r="I25" s="44"/>
      <c r="J25" s="44"/>
      <c r="K25" s="44"/>
      <c r="L25" s="44"/>
      <c r="M25" s="44"/>
      <c r="N25" s="44"/>
      <c r="O25" s="44"/>
      <c r="P25" s="40"/>
    </row>
    <row r="26" spans="1:16" ht="24" customHeight="1" x14ac:dyDescent="0.25">
      <c r="A26" s="70"/>
      <c r="B26" s="51" t="s">
        <v>94</v>
      </c>
      <c r="C26" s="49">
        <v>5</v>
      </c>
      <c r="D26" s="38">
        <f t="shared" si="1"/>
        <v>0</v>
      </c>
      <c r="E26" s="44"/>
      <c r="F26" s="44"/>
      <c r="G26" s="44"/>
      <c r="H26" s="44"/>
      <c r="I26" s="44"/>
      <c r="J26" s="44"/>
      <c r="K26" s="44"/>
      <c r="L26" s="44"/>
      <c r="M26" s="44"/>
      <c r="N26" s="44"/>
      <c r="O26" s="44"/>
      <c r="P26" s="40"/>
    </row>
    <row r="27" spans="1:16" ht="24" customHeight="1" x14ac:dyDescent="0.25">
      <c r="A27" s="70"/>
      <c r="B27" s="51" t="s">
        <v>95</v>
      </c>
      <c r="C27" s="49">
        <v>5</v>
      </c>
      <c r="D27" s="38">
        <f t="shared" si="1"/>
        <v>5</v>
      </c>
      <c r="E27" s="44"/>
      <c r="F27" s="44"/>
      <c r="G27" s="44">
        <v>2</v>
      </c>
      <c r="H27" s="44">
        <v>3</v>
      </c>
      <c r="I27" s="44"/>
      <c r="J27" s="44"/>
      <c r="K27" s="44"/>
      <c r="L27" s="44"/>
      <c r="M27" s="44"/>
      <c r="N27" s="44"/>
      <c r="O27" s="44"/>
      <c r="P27" s="40"/>
    </row>
    <row r="28" spans="1:16" ht="24" customHeight="1" x14ac:dyDescent="0.25">
      <c r="A28" s="70"/>
      <c r="B28" s="51" t="s">
        <v>96</v>
      </c>
      <c r="C28" s="49">
        <v>5</v>
      </c>
      <c r="D28" s="38">
        <f t="shared" si="1"/>
        <v>5</v>
      </c>
      <c r="E28" s="44"/>
      <c r="F28" s="44"/>
      <c r="G28" s="44"/>
      <c r="H28" s="44"/>
      <c r="I28" s="44">
        <v>5</v>
      </c>
      <c r="J28" s="44"/>
      <c r="K28" s="44"/>
      <c r="L28" s="44"/>
      <c r="M28" s="44"/>
      <c r="N28" s="44"/>
      <c r="O28" s="44"/>
      <c r="P28" s="40"/>
    </row>
    <row r="29" spans="1:16" ht="24" customHeight="1" x14ac:dyDescent="0.25">
      <c r="A29" s="70"/>
      <c r="B29" s="51" t="s">
        <v>97</v>
      </c>
      <c r="C29" s="49">
        <v>5</v>
      </c>
      <c r="D29" s="38">
        <f t="shared" si="1"/>
        <v>2</v>
      </c>
      <c r="E29" s="44"/>
      <c r="F29" s="44"/>
      <c r="G29" s="44"/>
      <c r="H29" s="44"/>
      <c r="I29" s="44"/>
      <c r="J29" s="44">
        <v>2</v>
      </c>
      <c r="K29" s="44"/>
      <c r="L29" s="44"/>
      <c r="M29" s="44"/>
      <c r="N29" s="44"/>
      <c r="O29" s="44"/>
      <c r="P29" s="40"/>
    </row>
    <row r="30" spans="1:16" ht="24" customHeight="1" x14ac:dyDescent="0.25">
      <c r="A30" s="70"/>
      <c r="B30" s="51" t="s">
        <v>98</v>
      </c>
      <c r="C30" s="49">
        <v>5</v>
      </c>
      <c r="D30" s="38">
        <f t="shared" si="1"/>
        <v>0</v>
      </c>
      <c r="E30" s="44"/>
      <c r="F30" s="44"/>
      <c r="G30" s="44"/>
      <c r="H30" s="44"/>
      <c r="I30" s="44"/>
      <c r="J30" s="44"/>
      <c r="K30" s="44"/>
      <c r="L30" s="44"/>
      <c r="M30" s="44"/>
      <c r="N30" s="44"/>
      <c r="O30" s="44"/>
      <c r="P30" s="40"/>
    </row>
    <row r="31" spans="1:16" ht="24" customHeight="1" x14ac:dyDescent="0.25">
      <c r="A31" s="70"/>
      <c r="B31" s="51" t="s">
        <v>99</v>
      </c>
      <c r="C31" s="49">
        <v>1</v>
      </c>
      <c r="D31" s="38">
        <f t="shared" si="1"/>
        <v>0</v>
      </c>
      <c r="E31" s="44"/>
      <c r="F31" s="44"/>
      <c r="G31" s="44"/>
      <c r="H31" s="44"/>
      <c r="I31" s="44"/>
      <c r="J31" s="44"/>
      <c r="K31" s="44"/>
      <c r="L31" s="44"/>
      <c r="M31" s="44"/>
      <c r="N31" s="44"/>
      <c r="O31" s="44"/>
      <c r="P31" s="40"/>
    </row>
    <row r="32" spans="1:16" ht="24" customHeight="1" x14ac:dyDescent="0.25">
      <c r="A32" s="70"/>
      <c r="B32" s="51" t="s">
        <v>100</v>
      </c>
      <c r="C32" s="49">
        <v>1</v>
      </c>
      <c r="D32" s="38">
        <f t="shared" si="1"/>
        <v>0</v>
      </c>
      <c r="E32" s="44"/>
      <c r="F32" s="44"/>
      <c r="G32" s="44"/>
      <c r="H32" s="44"/>
      <c r="I32" s="44"/>
      <c r="J32" s="44"/>
      <c r="K32" s="44"/>
      <c r="L32" s="44"/>
      <c r="M32" s="44"/>
      <c r="N32" s="44"/>
      <c r="O32" s="44"/>
      <c r="P32" s="40"/>
    </row>
    <row r="33" spans="1:16" ht="24" customHeight="1" x14ac:dyDescent="0.25">
      <c r="A33" s="70"/>
      <c r="B33" s="51" t="s">
        <v>101</v>
      </c>
      <c r="C33" s="49">
        <v>1</v>
      </c>
      <c r="D33" s="38">
        <f t="shared" si="1"/>
        <v>0</v>
      </c>
      <c r="E33" s="44"/>
      <c r="F33" s="44"/>
      <c r="G33" s="44"/>
      <c r="H33" s="44"/>
      <c r="I33" s="44"/>
      <c r="J33" s="44"/>
      <c r="K33" s="44"/>
      <c r="L33" s="44"/>
      <c r="M33" s="44"/>
      <c r="N33" s="44"/>
      <c r="O33" s="44"/>
      <c r="P33" s="40"/>
    </row>
    <row r="34" spans="1:16" ht="24" customHeight="1" x14ac:dyDescent="0.25">
      <c r="A34" s="70"/>
      <c r="B34" s="51" t="s">
        <v>102</v>
      </c>
      <c r="C34" s="49">
        <v>1</v>
      </c>
      <c r="D34" s="38">
        <f t="shared" si="1"/>
        <v>0</v>
      </c>
      <c r="E34" s="44"/>
      <c r="F34" s="44"/>
      <c r="G34" s="44"/>
      <c r="H34" s="44"/>
      <c r="I34" s="44"/>
      <c r="J34" s="44"/>
      <c r="K34" s="44"/>
      <c r="L34" s="44"/>
      <c r="M34" s="44"/>
      <c r="N34" s="44"/>
      <c r="O34" s="44"/>
      <c r="P34" s="40"/>
    </row>
    <row r="35" spans="1:16" ht="24" customHeight="1" x14ac:dyDescent="0.25">
      <c r="A35" s="70"/>
      <c r="B35" s="51" t="s">
        <v>103</v>
      </c>
      <c r="C35" s="49">
        <v>1</v>
      </c>
      <c r="D35" s="38">
        <f t="shared" si="1"/>
        <v>0</v>
      </c>
      <c r="E35" s="44"/>
      <c r="F35" s="44"/>
      <c r="G35" s="44"/>
      <c r="H35" s="44"/>
      <c r="I35" s="44"/>
      <c r="J35" s="44"/>
      <c r="K35" s="44"/>
      <c r="L35" s="44"/>
      <c r="M35" s="44"/>
      <c r="N35" s="44"/>
      <c r="O35" s="44"/>
      <c r="P35" s="40"/>
    </row>
    <row r="36" spans="1:16" ht="24" customHeight="1" x14ac:dyDescent="0.25">
      <c r="A36" s="70"/>
      <c r="B36" s="51" t="s">
        <v>104</v>
      </c>
      <c r="C36" s="49">
        <v>1</v>
      </c>
      <c r="D36" s="38">
        <f t="shared" si="1"/>
        <v>0</v>
      </c>
      <c r="E36" s="44"/>
      <c r="F36" s="44"/>
      <c r="G36" s="44"/>
      <c r="H36" s="44"/>
      <c r="I36" s="44"/>
      <c r="J36" s="44"/>
      <c r="K36" s="44"/>
      <c r="L36" s="44"/>
      <c r="M36" s="44"/>
      <c r="N36" s="44"/>
      <c r="O36" s="44"/>
      <c r="P36" s="40"/>
    </row>
    <row r="37" spans="1:16" ht="24" customHeight="1" thickBot="1" x14ac:dyDescent="0.3">
      <c r="A37" s="71"/>
      <c r="B37" s="52" t="s">
        <v>105</v>
      </c>
      <c r="C37" s="49">
        <v>1</v>
      </c>
      <c r="D37" s="38">
        <f t="shared" si="1"/>
        <v>0</v>
      </c>
      <c r="E37" s="44"/>
      <c r="F37" s="44"/>
      <c r="G37" s="44"/>
      <c r="H37" s="44"/>
      <c r="I37" s="44"/>
      <c r="J37" s="44"/>
      <c r="K37" s="44"/>
      <c r="L37" s="44"/>
      <c r="M37" s="44"/>
      <c r="N37" s="44"/>
      <c r="O37" s="44"/>
      <c r="P37" s="40"/>
    </row>
    <row r="38" spans="1:16" x14ac:dyDescent="0.25">
      <c r="C38" s="53">
        <f>SUM(C3:C37)</f>
        <v>728</v>
      </c>
      <c r="D38" s="54">
        <f>SUM(D3:D37)</f>
        <v>145</v>
      </c>
    </row>
    <row r="39" spans="1:16" x14ac:dyDescent="0.25">
      <c r="C39" s="13"/>
      <c r="D39" s="55">
        <f>D38/C38</f>
        <v>0.19917582417582416</v>
      </c>
    </row>
  </sheetData>
  <sheetProtection algorithmName="SHA-512" hashValue="ppWohbiTOCchGdBrsF0JlHJKFUJVt12pnZ2qZGOFen9g/VVT/xhnQ2JiDQ+oivufWBWS4dgKCg4J/FORD2dW0g==" saltValue="99Ctg+aOAWIMh+u7MfWRZQ==" spinCount="100000" sheet="1" objects="1" scenarios="1" autoFilter="0"/>
  <mergeCells count="2">
    <mergeCell ref="A1:A2"/>
    <mergeCell ref="A10:A37"/>
  </mergeCells>
  <conditionalFormatting sqref="C3:D3 D4:D9">
    <cfRule type="dataBar" priority="48">
      <dataBar>
        <cfvo type="min"/>
        <cfvo type="max"/>
        <color rgb="FF008AEF"/>
      </dataBar>
      <extLst>
        <ext xmlns:x14="http://schemas.microsoft.com/office/spreadsheetml/2009/9/main" uri="{B025F937-C7B1-47D3-B67F-A62EFF666E3E}">
          <x14:id>{2F4F50BB-C359-4ED6-830D-BC4DC1835D22}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{51C6A74E-C062-44A4-96DC-F1F340E101E5}</x14:id>
        </ext>
      </extLst>
    </cfRule>
  </conditionalFormatting>
  <conditionalFormatting sqref="C5:D5">
    <cfRule type="dataBar" priority="5">
      <dataBar>
        <cfvo type="min"/>
        <cfvo type="max"/>
        <color rgb="FF008AEF"/>
      </dataBar>
      <extLst>
        <ext xmlns:x14="http://schemas.microsoft.com/office/spreadsheetml/2009/9/main" uri="{B025F937-C7B1-47D3-B67F-A62EFF666E3E}">
          <x14:id>{17A1C279-0A0C-4673-8ABD-DC1A876966CB}</x14:id>
        </ext>
      </extLst>
    </cfRule>
  </conditionalFormatting>
  <conditionalFormatting sqref="C6:D6">
    <cfRule type="dataBar" priority="6">
      <dataBar>
        <cfvo type="min"/>
        <cfvo type="max"/>
        <color rgb="FF008AEF"/>
      </dataBar>
      <extLst>
        <ext xmlns:x14="http://schemas.microsoft.com/office/spreadsheetml/2009/9/main" uri="{B025F937-C7B1-47D3-B67F-A62EFF666E3E}">
          <x14:id>{741A1838-37BF-4560-8518-29A8F4958DDF}</x14:id>
        </ext>
      </extLst>
    </cfRule>
  </conditionalFormatting>
  <conditionalFormatting sqref="C7:D7">
    <cfRule type="dataBar" priority="7">
      <dataBar>
        <cfvo type="min"/>
        <cfvo type="max"/>
        <color rgb="FF008AEF"/>
      </dataBar>
      <extLst>
        <ext xmlns:x14="http://schemas.microsoft.com/office/spreadsheetml/2009/9/main" uri="{B025F937-C7B1-47D3-B67F-A62EFF666E3E}">
          <x14:id>{B504586A-3281-497D-9FAA-2CAC103027CD}</x14:id>
        </ext>
      </extLst>
    </cfRule>
  </conditionalFormatting>
  <conditionalFormatting sqref="C8:D8">
    <cfRule type="dataBar" priority="8">
      <dataBar>
        <cfvo type="min"/>
        <cfvo type="max"/>
        <color rgb="FF008AEF"/>
      </dataBar>
      <extLst>
        <ext xmlns:x14="http://schemas.microsoft.com/office/spreadsheetml/2009/9/main" uri="{B025F937-C7B1-47D3-B67F-A62EFF666E3E}">
          <x14:id>{872B2610-9CD1-494C-80C8-285C54D51DED}</x14:id>
        </ext>
      </extLst>
    </cfRule>
  </conditionalFormatting>
  <conditionalFormatting sqref="C9:D9">
    <cfRule type="dataBar" priority="9">
      <dataBar>
        <cfvo type="min"/>
        <cfvo type="max"/>
        <color rgb="FF008AEF"/>
      </dataBar>
      <extLst>
        <ext xmlns:x14="http://schemas.microsoft.com/office/spreadsheetml/2009/9/main" uri="{B025F937-C7B1-47D3-B67F-A62EFF666E3E}">
          <x14:id>{10E240E9-3B7F-498F-914E-3D0DF1D08071}</x14:id>
        </ext>
      </extLst>
    </cfRule>
  </conditionalFormatting>
  <conditionalFormatting sqref="C10:D10">
    <cfRule type="dataBar" priority="12">
      <dataBar>
        <cfvo type="min"/>
        <cfvo type="max"/>
        <color rgb="FF008AEF"/>
      </dataBar>
      <extLst>
        <ext xmlns:x14="http://schemas.microsoft.com/office/spreadsheetml/2009/9/main" uri="{B025F937-C7B1-47D3-B67F-A62EFF666E3E}">
          <x14:id>{6F4477C4-2755-4914-BE7B-90E56F17D30F}</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{7ABA2860-96F3-4422-A5DC-0BF35C420665}</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{9C05F2B8-8D28-4EB4-921B-DF7C0F2E433B}</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{D33689F2-8F68-408A-B86E-DCC33EDA6DF3}</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{F3910AAB-14AF-4594-8AD7-405BF4A8D331}</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{DBEDB814-DEC0-4F8C-BB90-A76C1E5AAEAE}</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{78ACA867-625B-43DA-9424-FEDDB42308C4}</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{6F4C1A50-EDDD-4374-97CA-D95D2AEE65FC}</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{1AB4F7AD-BF2C-4D5A-90EA-028A3BD14368}</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{E81F7977-B79D-4603-9239-E77ADDD5BD8E}</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{6867BDFE-A40F-4A31-8E9C-14105CC58312}</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{B306C8EE-AE8B-4685-A563-A539A28AC914}</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{01785377-C871-4FB3-AD75-1AF41E1C9FA6}</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{E89FBC0C-CEC0-4F72-B542-CC92C5938388}</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{A285FB45-A99C-40EE-B58A-149BFFCEC17F}</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{4AD6CC4B-7EB3-4741-8EE3-ADAD75F60DB4}</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{38062D83-2D4B-4B65-BD0E-4DC393B5D316}</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{D55B53DE-4598-4B65-9146-FAD720C49E3E}</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{62D57BA0-5A8E-496E-A03E-34B1587BDCB2}</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{B2324BFA-0ACF-4DCA-A7DD-77900FB795BC}</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{226F9C3C-5660-4E3A-BA20-73E01E13433F}</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{1224E1AB-0336-49CF-BDB0-3648094F246F}</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{DF8B110C-0155-4487-8637-4F541EA033A6}</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{50E6A357-63A6-42FC-BC1E-62A562A6FB6E}</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{E64F3469-F0E2-4873-BFF3-95F371237323}</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{DFD8533D-FD67-4689-B4D3-89DD37269DD5}</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{9B4D52CC-B716-420D-89E2-C49A7857C5D7}</x14:id>
        </ext>
      </extLst>
    </cfRule>
  </conditionalFormatting>
  <conditionalFormatting sqref="C37:D37">
    <cfRule type="dataBar" priority="13">
      <dataBar>
        <cfvo type="min"/>
        <cfvo type="max"/>
        <color rgb="FF008AEF"/>
      </dataBar>
      <extLst>
        <ext xmlns:x14="http://schemas.microsoft.com/office/spreadsheetml/2009/9/main" uri="{B025F937-C7B1-47D3-B67F-A62EFF666E3E}">
          <x14:id>{28CC85B3-72D1-4B52-B55C-47DEA1996C41}</x14:id>
        </ext>
      </extLst>
    </cfRule>
  </conditionalFormatting>
  <conditionalFormatting sqref="E3:F33 E34:O37">
    <cfRule type="cellIs" dxfId="18" priority="1" operator="greaterThan">
      <formula>0</formula>
    </cfRule>
  </conditionalFormatting>
  <conditionalFormatting sqref="G10:O33">
    <cfRule type="cellIs" dxfId="17" priority="11" operator="greaterThan">
      <formula>0</formula>
    </cfRule>
  </conditionalFormatting>
  <conditionalFormatting sqref="G3:P9">
    <cfRule type="cellIs" dxfId="16"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F4F50BB-C359-4ED6-830D-BC4DC1835D22}">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51C6A74E-C062-44A4-96DC-F1F340E101E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7A1C279-0A0C-4673-8ABD-DC1A876966C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41A1838-37BF-4560-8518-29A8F4958DD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504586A-3281-497D-9FAA-2CAC103027C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72B2610-9CD1-494C-80C8-285C54D51DE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0E240E9-3B7F-498F-914E-3D0DF1D0807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F4477C4-2755-4914-BE7B-90E56F17D30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ABA2860-96F3-4422-A5DC-0BF35C42066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C05F2B8-8D28-4EB4-921B-DF7C0F2E433B}">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33689F2-8F68-408A-B86E-DCC33EDA6DF3}">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3910AAB-14AF-4594-8AD7-405BF4A8D33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BEDB814-DEC0-4F8C-BB90-A76C1E5AAEA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8ACA867-625B-43DA-9424-FEDDB42308C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6F4C1A50-EDDD-4374-97CA-D95D2AEE65F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AB4F7AD-BF2C-4D5A-90EA-028A3BD1436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81F7977-B79D-4603-9239-E77ADDD5BD8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6867BDFE-A40F-4A31-8E9C-14105CC5831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306C8EE-AE8B-4685-A563-A539A28AC91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1785377-C871-4FB3-AD75-1AF41E1C9FA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89FBC0C-CEC0-4F72-B542-CC92C593838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285FB45-A99C-40EE-B58A-149BFFCEC17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AD6CC4B-7EB3-4741-8EE3-ADAD75F60DB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8062D83-2D4B-4B65-BD0E-4DC393B5D31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D55B53DE-4598-4B65-9146-FAD720C49E3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2D57BA0-5A8E-496E-A03E-34B1587BDCB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B2324BFA-0ACF-4DCA-A7DD-77900FB795BC}">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226F9C3C-5660-4E3A-BA20-73E01E13433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224E1AB-0336-49CF-BDB0-3648094F246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DF8B110C-0155-4487-8637-4F541EA033A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0E6A357-63A6-42FC-BC1E-62A562A6FB6E}">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64F3469-F0E2-4873-BFF3-95F37123732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FD8533D-FD67-4689-B4D3-89DD37269DD5}">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9B4D52CC-B716-420D-89E2-C49A7857C5D7}">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28CC85B3-72D1-4B52-B55C-47DEA1996C41}">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P39"/>
  <sheetViews>
    <sheetView topLeftCell="B1" zoomScale="80" zoomScaleNormal="80" workbookViewId="0">
      <selection activeCell="I8" sqref="I8:J8"/>
    </sheetView>
  </sheetViews>
  <sheetFormatPr baseColWidth="10" defaultColWidth="11.42578125" defaultRowHeight="15" x14ac:dyDescent="0.25"/>
  <cols>
    <col min="1" max="1" width="8.85546875" style="2" customWidth="1"/>
    <col min="2" max="2" width="102.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41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x14ac:dyDescent="0.25">
      <c r="A3" s="56" t="s">
        <v>18</v>
      </c>
      <c r="B3" s="5" t="s">
        <v>23</v>
      </c>
      <c r="C3" s="7">
        <v>2</v>
      </c>
      <c r="D3" s="38">
        <f t="shared" ref="D3:D9" si="0">SUM(E3:P3)</f>
        <v>0</v>
      </c>
      <c r="E3" s="44"/>
      <c r="F3" s="44"/>
      <c r="G3" s="44"/>
      <c r="H3" s="44"/>
      <c r="I3" s="44"/>
      <c r="J3" s="44"/>
      <c r="K3" s="44"/>
      <c r="L3" s="44"/>
      <c r="M3" s="44"/>
      <c r="N3" s="44"/>
      <c r="O3" s="44"/>
      <c r="P3" s="44"/>
    </row>
    <row r="4" spans="1:16" ht="81" customHeight="1" x14ac:dyDescent="0.25">
      <c r="A4" s="56" t="s">
        <v>18</v>
      </c>
      <c r="B4" s="5" t="s">
        <v>42</v>
      </c>
      <c r="C4" s="46">
        <v>1</v>
      </c>
      <c r="D4" s="38">
        <f t="shared" si="0"/>
        <v>1</v>
      </c>
      <c r="E4" s="44"/>
      <c r="F4" s="44"/>
      <c r="G4" s="44"/>
      <c r="H4" s="44">
        <v>1</v>
      </c>
      <c r="I4" s="44"/>
      <c r="J4" s="44"/>
      <c r="K4" s="44"/>
      <c r="L4" s="44"/>
      <c r="M4" s="44"/>
      <c r="N4" s="44"/>
      <c r="O4" s="44"/>
      <c r="P4" s="44"/>
    </row>
    <row r="5" spans="1:16" ht="81" customHeight="1" x14ac:dyDescent="0.25">
      <c r="A5" s="56" t="s">
        <v>18</v>
      </c>
      <c r="B5" s="5" t="s">
        <v>17</v>
      </c>
      <c r="C5" s="47">
        <v>2</v>
      </c>
      <c r="D5" s="38">
        <f t="shared" si="0"/>
        <v>1</v>
      </c>
      <c r="E5" s="44"/>
      <c r="F5" s="44"/>
      <c r="G5" s="44">
        <v>1</v>
      </c>
      <c r="H5" s="44"/>
      <c r="I5" s="44"/>
      <c r="J5" s="44"/>
      <c r="K5" s="44"/>
      <c r="L5" s="44"/>
      <c r="M5" s="44"/>
      <c r="N5" s="44"/>
      <c r="O5" s="44"/>
      <c r="P5" s="44"/>
    </row>
    <row r="6" spans="1:16" ht="81" customHeight="1" thickBot="1" x14ac:dyDescent="0.3">
      <c r="A6" s="57" t="s">
        <v>20</v>
      </c>
      <c r="B6" s="8" t="s">
        <v>19</v>
      </c>
      <c r="C6" s="49">
        <v>2</v>
      </c>
      <c r="D6" s="38">
        <f t="shared" si="0"/>
        <v>1</v>
      </c>
      <c r="E6" s="44">
        <v>0</v>
      </c>
      <c r="F6" s="44">
        <v>0</v>
      </c>
      <c r="G6" s="44">
        <v>0</v>
      </c>
      <c r="H6" s="44">
        <v>0</v>
      </c>
      <c r="I6" s="44">
        <v>1</v>
      </c>
      <c r="J6" s="44"/>
      <c r="K6" s="44"/>
      <c r="L6" s="44"/>
      <c r="M6" s="44"/>
      <c r="N6" s="44"/>
      <c r="O6" s="44"/>
      <c r="P6" s="44"/>
    </row>
    <row r="7" spans="1:16" ht="81" customHeight="1" thickBot="1" x14ac:dyDescent="0.3">
      <c r="A7" s="48" t="s">
        <v>22</v>
      </c>
      <c r="B7" s="10" t="s">
        <v>43</v>
      </c>
      <c r="C7" s="49">
        <v>2</v>
      </c>
      <c r="D7" s="38">
        <f t="shared" si="0"/>
        <v>0</v>
      </c>
      <c r="E7" s="44">
        <v>0</v>
      </c>
      <c r="F7" s="44">
        <v>0</v>
      </c>
      <c r="G7" s="44">
        <v>0</v>
      </c>
      <c r="H7" s="44">
        <v>0</v>
      </c>
      <c r="I7" s="44"/>
      <c r="J7" s="44"/>
      <c r="K7" s="44"/>
      <c r="L7" s="44"/>
      <c r="M7" s="44"/>
      <c r="N7" s="44"/>
      <c r="O7" s="44"/>
      <c r="P7" s="44"/>
    </row>
    <row r="8" spans="1:16" ht="81" customHeight="1" x14ac:dyDescent="0.25">
      <c r="A8" s="56" t="s">
        <v>18</v>
      </c>
      <c r="B8" s="5" t="s">
        <v>44</v>
      </c>
      <c r="C8" s="49">
        <v>2</v>
      </c>
      <c r="D8" s="38">
        <f t="shared" si="0"/>
        <v>0</v>
      </c>
      <c r="E8" s="44"/>
      <c r="F8" s="44"/>
      <c r="G8" s="44"/>
      <c r="H8" s="44"/>
      <c r="I8" s="44"/>
      <c r="J8" s="44"/>
      <c r="K8" s="44"/>
      <c r="L8" s="44"/>
      <c r="M8" s="44"/>
      <c r="N8" s="44"/>
      <c r="O8" s="44"/>
      <c r="P8" s="44"/>
    </row>
    <row r="9" spans="1:16" ht="81" customHeight="1" x14ac:dyDescent="0.25">
      <c r="A9" s="56" t="s">
        <v>18</v>
      </c>
      <c r="B9" s="5" t="s">
        <v>45</v>
      </c>
      <c r="C9" s="49">
        <v>1</v>
      </c>
      <c r="D9" s="38">
        <f t="shared" si="0"/>
        <v>0</v>
      </c>
      <c r="E9" s="44"/>
      <c r="F9" s="44"/>
      <c r="G9" s="44"/>
      <c r="H9" s="44"/>
      <c r="I9" s="44"/>
      <c r="J9" s="44"/>
      <c r="K9" s="44"/>
      <c r="L9" s="44"/>
      <c r="M9" s="44"/>
      <c r="N9" s="44"/>
      <c r="O9" s="44"/>
      <c r="P9" s="44"/>
    </row>
    <row r="10" spans="1:16" ht="28.5" customHeight="1" x14ac:dyDescent="0.25">
      <c r="A10" s="69" t="s">
        <v>77</v>
      </c>
      <c r="B10" s="50" t="s">
        <v>78</v>
      </c>
      <c r="C10" s="49">
        <v>3</v>
      </c>
      <c r="D10" s="38">
        <f t="shared" ref="D10:D37" si="1">SUM(E10:O10)</f>
        <v>0</v>
      </c>
      <c r="E10" s="44"/>
      <c r="F10" s="44"/>
      <c r="G10" s="44"/>
      <c r="H10" s="44"/>
      <c r="I10" s="44"/>
      <c r="J10" s="44"/>
      <c r="K10" s="44"/>
      <c r="L10" s="44"/>
      <c r="M10" s="44"/>
      <c r="N10" s="44"/>
      <c r="O10" s="44"/>
      <c r="P10" s="40"/>
    </row>
    <row r="11" spans="1:16" ht="28.5" customHeight="1" x14ac:dyDescent="0.25">
      <c r="A11" s="70"/>
      <c r="B11" s="50" t="s">
        <v>79</v>
      </c>
      <c r="C11" s="49">
        <v>2</v>
      </c>
      <c r="D11" s="38">
        <f t="shared" si="1"/>
        <v>14</v>
      </c>
      <c r="E11" s="44"/>
      <c r="F11" s="44"/>
      <c r="G11" s="44">
        <v>4</v>
      </c>
      <c r="H11" s="44">
        <v>10</v>
      </c>
      <c r="I11" s="44"/>
      <c r="J11" s="44"/>
      <c r="K11" s="44"/>
      <c r="L11" s="44"/>
      <c r="M11" s="44"/>
      <c r="N11" s="44"/>
      <c r="O11" s="44"/>
      <c r="P11" s="40"/>
    </row>
    <row r="12" spans="1:16" ht="28.5" customHeight="1" x14ac:dyDescent="0.25">
      <c r="A12" s="70"/>
      <c r="B12" s="50" t="s">
        <v>80</v>
      </c>
      <c r="C12" s="49">
        <v>60</v>
      </c>
      <c r="D12" s="38">
        <f t="shared" si="1"/>
        <v>25</v>
      </c>
      <c r="E12" s="44">
        <v>2</v>
      </c>
      <c r="F12" s="44">
        <v>10</v>
      </c>
      <c r="G12" s="44">
        <v>1</v>
      </c>
      <c r="H12" s="44">
        <v>2</v>
      </c>
      <c r="I12" s="44">
        <v>10</v>
      </c>
      <c r="J12" s="44"/>
      <c r="K12" s="44"/>
      <c r="L12" s="44"/>
      <c r="M12" s="44"/>
      <c r="N12" s="44"/>
      <c r="O12" s="44"/>
      <c r="P12" s="40"/>
    </row>
    <row r="13" spans="1:16" ht="28.5" customHeight="1" x14ac:dyDescent="0.25">
      <c r="A13" s="70"/>
      <c r="B13" s="50" t="s">
        <v>81</v>
      </c>
      <c r="C13" s="49">
        <v>53</v>
      </c>
      <c r="D13" s="38">
        <f t="shared" si="1"/>
        <v>23</v>
      </c>
      <c r="E13" s="44"/>
      <c r="F13" s="44"/>
      <c r="G13" s="44">
        <v>15</v>
      </c>
      <c r="H13" s="44">
        <v>8</v>
      </c>
      <c r="I13" s="44"/>
      <c r="J13" s="44"/>
      <c r="K13" s="44"/>
      <c r="L13" s="44"/>
      <c r="M13" s="44"/>
      <c r="N13" s="44"/>
      <c r="O13" s="44"/>
      <c r="P13" s="40"/>
    </row>
    <row r="14" spans="1:16" ht="28.5" customHeight="1" x14ac:dyDescent="0.25">
      <c r="A14" s="70"/>
      <c r="B14" s="50" t="s">
        <v>82</v>
      </c>
      <c r="C14" s="49">
        <v>0</v>
      </c>
      <c r="D14" s="38">
        <f t="shared" si="1"/>
        <v>0</v>
      </c>
      <c r="E14" s="44"/>
      <c r="F14" s="44"/>
      <c r="G14" s="44"/>
      <c r="H14" s="44"/>
      <c r="I14" s="44"/>
      <c r="J14" s="44"/>
      <c r="K14" s="44"/>
      <c r="L14" s="44"/>
      <c r="M14" s="44"/>
      <c r="N14" s="44"/>
      <c r="O14" s="44"/>
      <c r="P14" s="40"/>
    </row>
    <row r="15" spans="1:16" ht="28.5" customHeight="1" x14ac:dyDescent="0.25">
      <c r="A15" s="70"/>
      <c r="B15" s="50" t="s">
        <v>83</v>
      </c>
      <c r="C15" s="49">
        <v>0</v>
      </c>
      <c r="D15" s="38">
        <f t="shared" si="1"/>
        <v>0</v>
      </c>
      <c r="E15" s="44"/>
      <c r="F15" s="44"/>
      <c r="G15" s="44"/>
      <c r="H15" s="44"/>
      <c r="I15" s="44"/>
      <c r="J15" s="44"/>
      <c r="K15" s="44"/>
      <c r="L15" s="44"/>
      <c r="M15" s="44"/>
      <c r="N15" s="44"/>
      <c r="O15" s="44"/>
      <c r="P15" s="40"/>
    </row>
    <row r="16" spans="1:16" ht="28.5" customHeight="1" x14ac:dyDescent="0.25">
      <c r="A16" s="70"/>
      <c r="B16" s="50" t="s">
        <v>84</v>
      </c>
      <c r="C16" s="49">
        <v>0</v>
      </c>
      <c r="D16" s="38">
        <f t="shared" si="1"/>
        <v>0</v>
      </c>
      <c r="E16" s="44"/>
      <c r="F16" s="44"/>
      <c r="G16" s="44"/>
      <c r="H16" s="44"/>
      <c r="I16" s="44"/>
      <c r="J16" s="44"/>
      <c r="K16" s="44"/>
      <c r="L16" s="44"/>
      <c r="M16" s="44"/>
      <c r="N16" s="44"/>
      <c r="O16" s="44"/>
      <c r="P16" s="40"/>
    </row>
    <row r="17" spans="1:16" ht="28.5" customHeight="1" x14ac:dyDescent="0.25">
      <c r="A17" s="70"/>
      <c r="B17" s="50" t="s">
        <v>85</v>
      </c>
      <c r="C17" s="49">
        <v>0</v>
      </c>
      <c r="D17" s="38">
        <f t="shared" si="1"/>
        <v>0</v>
      </c>
      <c r="E17" s="44"/>
      <c r="F17" s="44"/>
      <c r="G17" s="44"/>
      <c r="H17" s="44"/>
      <c r="I17" s="44"/>
      <c r="J17" s="44"/>
      <c r="K17" s="44"/>
      <c r="L17" s="44"/>
      <c r="M17" s="44"/>
      <c r="N17" s="44"/>
      <c r="O17" s="44"/>
      <c r="P17" s="40"/>
    </row>
    <row r="18" spans="1:16" ht="28.5" customHeight="1" x14ac:dyDescent="0.25">
      <c r="A18" s="70"/>
      <c r="B18" s="50" t="s">
        <v>86</v>
      </c>
      <c r="C18" s="49">
        <v>0</v>
      </c>
      <c r="D18" s="38">
        <f t="shared" si="1"/>
        <v>0</v>
      </c>
      <c r="E18" s="44"/>
      <c r="F18" s="44"/>
      <c r="G18" s="44"/>
      <c r="H18" s="44"/>
      <c r="I18" s="44"/>
      <c r="J18" s="44"/>
      <c r="K18" s="44"/>
      <c r="L18" s="44"/>
      <c r="M18" s="44"/>
      <c r="N18" s="44"/>
      <c r="O18" s="44"/>
      <c r="P18" s="40"/>
    </row>
    <row r="19" spans="1:16" ht="28.5" customHeight="1" x14ac:dyDescent="0.25">
      <c r="A19" s="70"/>
      <c r="B19" s="50" t="s">
        <v>87</v>
      </c>
      <c r="C19" s="49">
        <v>0</v>
      </c>
      <c r="D19" s="38">
        <f t="shared" si="1"/>
        <v>0</v>
      </c>
      <c r="E19" s="44"/>
      <c r="F19" s="44"/>
      <c r="G19" s="44"/>
      <c r="H19" s="44"/>
      <c r="I19" s="44"/>
      <c r="J19" s="44"/>
      <c r="K19" s="44"/>
      <c r="L19" s="44"/>
      <c r="M19" s="44"/>
      <c r="N19" s="44"/>
      <c r="O19" s="44"/>
      <c r="P19" s="40"/>
    </row>
    <row r="20" spans="1:16" ht="28.5" customHeight="1" x14ac:dyDescent="0.25">
      <c r="A20" s="70"/>
      <c r="B20" s="50" t="s">
        <v>88</v>
      </c>
      <c r="C20" s="49">
        <v>0</v>
      </c>
      <c r="D20" s="38">
        <f t="shared" si="1"/>
        <v>0</v>
      </c>
      <c r="E20" s="44"/>
      <c r="F20" s="44"/>
      <c r="G20" s="44"/>
      <c r="H20" s="44"/>
      <c r="I20" s="44"/>
      <c r="J20" s="44"/>
      <c r="K20" s="44"/>
      <c r="L20" s="44"/>
      <c r="M20" s="44"/>
      <c r="N20" s="44"/>
      <c r="O20" s="44"/>
      <c r="P20" s="40"/>
    </row>
    <row r="21" spans="1:16" ht="28.5" customHeight="1" x14ac:dyDescent="0.25">
      <c r="A21" s="70"/>
      <c r="B21" s="50" t="s">
        <v>89</v>
      </c>
      <c r="C21" s="49">
        <v>0</v>
      </c>
      <c r="D21" s="38">
        <f t="shared" si="1"/>
        <v>0</v>
      </c>
      <c r="E21" s="44"/>
      <c r="F21" s="44"/>
      <c r="G21" s="44"/>
      <c r="H21" s="44"/>
      <c r="I21" s="44"/>
      <c r="J21" s="44"/>
      <c r="K21" s="44"/>
      <c r="L21" s="44"/>
      <c r="M21" s="44"/>
      <c r="N21" s="44"/>
      <c r="O21" s="44"/>
      <c r="P21" s="40"/>
    </row>
    <row r="22" spans="1:16" ht="28.5" customHeight="1" x14ac:dyDescent="0.25">
      <c r="A22" s="70"/>
      <c r="B22" s="50" t="s">
        <v>90</v>
      </c>
      <c r="C22" s="49">
        <v>0</v>
      </c>
      <c r="D22" s="38">
        <f t="shared" si="1"/>
        <v>0</v>
      </c>
      <c r="E22" s="44"/>
      <c r="F22" s="44"/>
      <c r="G22" s="44"/>
      <c r="H22" s="44"/>
      <c r="I22" s="44"/>
      <c r="J22" s="44"/>
      <c r="K22" s="44"/>
      <c r="L22" s="44"/>
      <c r="M22" s="44"/>
      <c r="N22" s="44"/>
      <c r="O22" s="44"/>
      <c r="P22" s="40"/>
    </row>
    <row r="23" spans="1:16" ht="28.5" customHeight="1" x14ac:dyDescent="0.25">
      <c r="A23" s="70"/>
      <c r="B23" s="50" t="s">
        <v>91</v>
      </c>
      <c r="C23" s="49">
        <v>0</v>
      </c>
      <c r="D23" s="38">
        <f t="shared" si="1"/>
        <v>0</v>
      </c>
      <c r="E23" s="44"/>
      <c r="F23" s="44"/>
      <c r="G23" s="44"/>
      <c r="H23" s="44"/>
      <c r="I23" s="44"/>
      <c r="J23" s="44"/>
      <c r="K23" s="44"/>
      <c r="L23" s="44"/>
      <c r="M23" s="44"/>
      <c r="N23" s="44"/>
      <c r="O23" s="44"/>
      <c r="P23" s="40"/>
    </row>
    <row r="24" spans="1:16" ht="28.5" customHeight="1" x14ac:dyDescent="0.25">
      <c r="A24" s="70"/>
      <c r="B24" s="50" t="s">
        <v>92</v>
      </c>
      <c r="C24" s="49">
        <v>143</v>
      </c>
      <c r="D24" s="38">
        <f t="shared" si="1"/>
        <v>71</v>
      </c>
      <c r="E24" s="44">
        <v>30</v>
      </c>
      <c r="F24" s="44"/>
      <c r="G24" s="44"/>
      <c r="H24" s="44">
        <v>41</v>
      </c>
      <c r="I24" s="44"/>
      <c r="J24" s="44"/>
      <c r="K24" s="44"/>
      <c r="L24" s="44"/>
      <c r="M24" s="44"/>
      <c r="N24" s="44"/>
      <c r="O24" s="44"/>
      <c r="P24" s="40"/>
    </row>
    <row r="25" spans="1:16" ht="28.5" customHeight="1" x14ac:dyDescent="0.25">
      <c r="A25" s="70"/>
      <c r="B25" s="50" t="s">
        <v>93</v>
      </c>
      <c r="C25" s="49">
        <v>0</v>
      </c>
      <c r="D25" s="38">
        <f t="shared" si="1"/>
        <v>0</v>
      </c>
      <c r="E25" s="44"/>
      <c r="F25" s="44"/>
      <c r="G25" s="44"/>
      <c r="H25" s="44"/>
      <c r="I25" s="44"/>
      <c r="J25" s="44"/>
      <c r="K25" s="44"/>
      <c r="L25" s="44"/>
      <c r="M25" s="44"/>
      <c r="N25" s="44"/>
      <c r="O25" s="44"/>
      <c r="P25" s="40"/>
    </row>
    <row r="26" spans="1:16" ht="24" customHeight="1" x14ac:dyDescent="0.25">
      <c r="A26" s="70"/>
      <c r="B26" s="51" t="s">
        <v>94</v>
      </c>
      <c r="C26" s="49">
        <v>3</v>
      </c>
      <c r="D26" s="38">
        <f t="shared" si="1"/>
        <v>2</v>
      </c>
      <c r="E26" s="44"/>
      <c r="F26" s="44"/>
      <c r="G26" s="44">
        <v>2</v>
      </c>
      <c r="H26" s="44"/>
      <c r="I26" s="44"/>
      <c r="J26" s="44"/>
      <c r="K26" s="44"/>
      <c r="L26" s="44"/>
      <c r="M26" s="44"/>
      <c r="N26" s="44"/>
      <c r="O26" s="44"/>
      <c r="P26" s="40"/>
    </row>
    <row r="27" spans="1:16" ht="24" customHeight="1" x14ac:dyDescent="0.25">
      <c r="A27" s="70"/>
      <c r="B27" s="51" t="s">
        <v>95</v>
      </c>
      <c r="C27" s="49">
        <v>3</v>
      </c>
      <c r="D27" s="38">
        <f t="shared" si="1"/>
        <v>3</v>
      </c>
      <c r="E27" s="44"/>
      <c r="F27" s="44"/>
      <c r="G27" s="44"/>
      <c r="H27" s="44">
        <v>3</v>
      </c>
      <c r="I27" s="44"/>
      <c r="J27" s="44"/>
      <c r="K27" s="44"/>
      <c r="L27" s="44"/>
      <c r="M27" s="44"/>
      <c r="N27" s="44"/>
      <c r="O27" s="44"/>
      <c r="P27" s="40"/>
    </row>
    <row r="28" spans="1:16" ht="24" customHeight="1" x14ac:dyDescent="0.25">
      <c r="A28" s="70"/>
      <c r="B28" s="51" t="s">
        <v>96</v>
      </c>
      <c r="C28" s="49">
        <v>3</v>
      </c>
      <c r="D28" s="38">
        <f t="shared" si="1"/>
        <v>3</v>
      </c>
      <c r="E28" s="44"/>
      <c r="F28" s="44"/>
      <c r="G28" s="44"/>
      <c r="H28" s="44"/>
      <c r="I28" s="44">
        <v>3</v>
      </c>
      <c r="J28" s="44"/>
      <c r="K28" s="44"/>
      <c r="L28" s="44"/>
      <c r="M28" s="44"/>
      <c r="N28" s="44"/>
      <c r="O28" s="44"/>
      <c r="P28" s="40"/>
    </row>
    <row r="29" spans="1:16" ht="24" customHeight="1" x14ac:dyDescent="0.25">
      <c r="A29" s="70"/>
      <c r="B29" s="51" t="s">
        <v>97</v>
      </c>
      <c r="C29" s="49">
        <v>3</v>
      </c>
      <c r="D29" s="38">
        <f t="shared" si="1"/>
        <v>0</v>
      </c>
      <c r="E29" s="44"/>
      <c r="F29" s="44"/>
      <c r="G29" s="44"/>
      <c r="H29" s="44"/>
      <c r="I29" s="44"/>
      <c r="J29" s="44"/>
      <c r="K29" s="44"/>
      <c r="L29" s="44"/>
      <c r="M29" s="44"/>
      <c r="N29" s="44"/>
      <c r="O29" s="44"/>
      <c r="P29" s="40"/>
    </row>
    <row r="30" spans="1:16" ht="24" customHeight="1" x14ac:dyDescent="0.25">
      <c r="A30" s="70"/>
      <c r="B30" s="51" t="s">
        <v>98</v>
      </c>
      <c r="C30" s="49">
        <v>3</v>
      </c>
      <c r="D30" s="38">
        <f t="shared" si="1"/>
        <v>0</v>
      </c>
      <c r="E30" s="44"/>
      <c r="F30" s="44"/>
      <c r="G30" s="44"/>
      <c r="H30" s="44"/>
      <c r="I30" s="44"/>
      <c r="J30" s="44"/>
      <c r="K30" s="44"/>
      <c r="L30" s="44"/>
      <c r="M30" s="44"/>
      <c r="N30" s="44"/>
      <c r="O30" s="44"/>
      <c r="P30" s="40"/>
    </row>
    <row r="31" spans="1:16" ht="24" customHeight="1" x14ac:dyDescent="0.25">
      <c r="A31" s="70"/>
      <c r="B31" s="51" t="s">
        <v>99</v>
      </c>
      <c r="C31" s="49">
        <v>1</v>
      </c>
      <c r="D31" s="38">
        <f t="shared" si="1"/>
        <v>0</v>
      </c>
      <c r="E31" s="44"/>
      <c r="F31" s="44"/>
      <c r="G31" s="44"/>
      <c r="H31" s="44"/>
      <c r="I31" s="44"/>
      <c r="J31" s="44"/>
      <c r="K31" s="44"/>
      <c r="L31" s="44"/>
      <c r="M31" s="44"/>
      <c r="N31" s="44"/>
      <c r="O31" s="44"/>
      <c r="P31" s="40"/>
    </row>
    <row r="32" spans="1:16" ht="24" customHeight="1" x14ac:dyDescent="0.25">
      <c r="A32" s="70"/>
      <c r="B32" s="51" t="s">
        <v>100</v>
      </c>
      <c r="C32" s="49">
        <v>1</v>
      </c>
      <c r="D32" s="38">
        <f t="shared" si="1"/>
        <v>0</v>
      </c>
      <c r="E32" s="44"/>
      <c r="F32" s="44"/>
      <c r="G32" s="44"/>
      <c r="H32" s="44"/>
      <c r="I32" s="44"/>
      <c r="J32" s="44"/>
      <c r="K32" s="44"/>
      <c r="L32" s="44"/>
      <c r="M32" s="44"/>
      <c r="N32" s="44"/>
      <c r="O32" s="44"/>
      <c r="P32" s="40"/>
    </row>
    <row r="33" spans="1:16" ht="24" customHeight="1" x14ac:dyDescent="0.25">
      <c r="A33" s="70"/>
      <c r="B33" s="51" t="s">
        <v>101</v>
      </c>
      <c r="C33" s="49">
        <v>1</v>
      </c>
      <c r="D33" s="38">
        <f t="shared" si="1"/>
        <v>0</v>
      </c>
      <c r="E33" s="44"/>
      <c r="F33" s="44"/>
      <c r="G33" s="44"/>
      <c r="H33" s="44"/>
      <c r="I33" s="44"/>
      <c r="J33" s="44"/>
      <c r="K33" s="44"/>
      <c r="L33" s="44"/>
      <c r="M33" s="44"/>
      <c r="N33" s="44"/>
      <c r="O33" s="44"/>
      <c r="P33" s="40"/>
    </row>
    <row r="34" spans="1:16" ht="24" customHeight="1" x14ac:dyDescent="0.25">
      <c r="A34" s="70"/>
      <c r="B34" s="51" t="s">
        <v>102</v>
      </c>
      <c r="C34" s="49">
        <v>1</v>
      </c>
      <c r="D34" s="38">
        <f t="shared" si="1"/>
        <v>0</v>
      </c>
      <c r="E34" s="44"/>
      <c r="F34" s="44"/>
      <c r="G34" s="44"/>
      <c r="H34" s="44"/>
      <c r="I34" s="44"/>
      <c r="J34" s="44"/>
      <c r="K34" s="44"/>
      <c r="L34" s="44"/>
      <c r="M34" s="44"/>
      <c r="N34" s="44"/>
      <c r="O34" s="44"/>
      <c r="P34" s="40"/>
    </row>
    <row r="35" spans="1:16" ht="24" customHeight="1" x14ac:dyDescent="0.25">
      <c r="A35" s="70"/>
      <c r="B35" s="51" t="s">
        <v>103</v>
      </c>
      <c r="C35" s="49">
        <v>1</v>
      </c>
      <c r="D35" s="38">
        <f t="shared" si="1"/>
        <v>0</v>
      </c>
      <c r="E35" s="44"/>
      <c r="F35" s="44"/>
      <c r="G35" s="44"/>
      <c r="H35" s="44"/>
      <c r="I35" s="44"/>
      <c r="J35" s="44"/>
      <c r="K35" s="44"/>
      <c r="L35" s="44"/>
      <c r="M35" s="44"/>
      <c r="N35" s="44"/>
      <c r="O35" s="44"/>
      <c r="P35" s="40"/>
    </row>
    <row r="36" spans="1:16" ht="24" customHeight="1" x14ac:dyDescent="0.25">
      <c r="A36" s="70"/>
      <c r="B36" s="51" t="s">
        <v>104</v>
      </c>
      <c r="C36" s="49">
        <v>1</v>
      </c>
      <c r="D36" s="38">
        <f t="shared" si="1"/>
        <v>0</v>
      </c>
      <c r="E36" s="44"/>
      <c r="F36" s="44"/>
      <c r="G36" s="44"/>
      <c r="H36" s="44"/>
      <c r="I36" s="44"/>
      <c r="J36" s="44"/>
      <c r="K36" s="44"/>
      <c r="L36" s="44"/>
      <c r="M36" s="44"/>
      <c r="N36" s="44"/>
      <c r="O36" s="44"/>
      <c r="P36" s="40"/>
    </row>
    <row r="37" spans="1:16" ht="24" customHeight="1" thickBot="1" x14ac:dyDescent="0.3">
      <c r="A37" s="71"/>
      <c r="B37" s="52" t="s">
        <v>105</v>
      </c>
      <c r="C37" s="49">
        <v>1</v>
      </c>
      <c r="D37" s="38">
        <f t="shared" si="1"/>
        <v>0</v>
      </c>
      <c r="E37" s="44"/>
      <c r="F37" s="44"/>
      <c r="G37" s="44"/>
      <c r="H37" s="44"/>
      <c r="I37" s="44"/>
      <c r="J37" s="44"/>
      <c r="K37" s="44"/>
      <c r="L37" s="44"/>
      <c r="M37" s="44"/>
      <c r="N37" s="44"/>
      <c r="O37" s="44"/>
      <c r="P37" s="40"/>
    </row>
    <row r="38" spans="1:16" x14ac:dyDescent="0.25">
      <c r="C38" s="53">
        <f>SUM(C3:C37)</f>
        <v>295</v>
      </c>
      <c r="D38" s="54">
        <f>SUM(D3:D37)</f>
        <v>144</v>
      </c>
    </row>
    <row r="39" spans="1:16" x14ac:dyDescent="0.25">
      <c r="C39" s="13"/>
      <c r="D39" s="55">
        <f>D38/C38</f>
        <v>0.488135593220339</v>
      </c>
    </row>
  </sheetData>
  <sheetProtection algorithmName="SHA-512" hashValue="so0Oe1vCeyyadMwd/+GVvVu5O2izN7Kd1zbSs8gfxyXLFkpM+A0hlIGLrBuR8NRkTsH84ef3xyBGSGcG/5HITA==" saltValue="9au+mSI6nQUBL7FbTa3Nwg==" spinCount="100000" sheet="1" objects="1" scenarios="1" autoFilter="0"/>
  <mergeCells count="2">
    <mergeCell ref="A1:A2"/>
    <mergeCell ref="A10:A37"/>
  </mergeCells>
  <conditionalFormatting sqref="C3:D3 D4:D9">
    <cfRule type="dataBar" priority="49">
      <dataBar>
        <cfvo type="min"/>
        <cfvo type="max"/>
        <color rgb="FF008AEF"/>
      </dataBar>
      <extLst>
        <ext xmlns:x14="http://schemas.microsoft.com/office/spreadsheetml/2009/9/main" uri="{B025F937-C7B1-47D3-B67F-A62EFF666E3E}">
          <x14:id>{3C1B8169-3E2A-4A42-9781-AD57755B0F82}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{EB7641E0-14DA-4E8D-BBEC-5E44286F2C63}</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{66EA73C2-D5E9-4EB0-8367-0F7E074244DE}</x14:id>
        </ext>
      </extLst>
    </cfRule>
  </conditionalFormatting>
  <conditionalFormatting sqref="C6:D6">
    <cfRule type="dataBar" priority="6">
      <dataBar>
        <cfvo type="min"/>
        <cfvo type="max"/>
        <color rgb="FF008AEF"/>
      </dataBar>
      <extLst>
        <ext xmlns:x14="http://schemas.microsoft.com/office/spreadsheetml/2009/9/main" uri="{B025F937-C7B1-47D3-B67F-A62EFF666E3E}">
          <x14:id>{2971DE93-6233-4AA8-B80B-9CB73EAF13EF}</x14:id>
        </ext>
      </extLst>
    </cfRule>
  </conditionalFormatting>
  <conditionalFormatting sqref="C7:D7">
    <cfRule type="dataBar" priority="7">
      <dataBar>
        <cfvo type="min"/>
        <cfvo type="max"/>
        <color rgb="FF008AEF"/>
      </dataBar>
      <extLst>
        <ext xmlns:x14="http://schemas.microsoft.com/office/spreadsheetml/2009/9/main" uri="{B025F937-C7B1-47D3-B67F-A62EFF666E3E}">
          <x14:id>{D82DE33D-3900-48A9-8F44-38778E34D8BB}</x14:id>
        </ext>
      </extLst>
    </cfRule>
  </conditionalFormatting>
  <conditionalFormatting sqref="C8:D8">
    <cfRule type="dataBar" priority="8">
      <dataBar>
        <cfvo type="min"/>
        <cfvo type="max"/>
        <color rgb="FF008AEF"/>
      </dataBar>
      <extLst>
        <ext xmlns:x14="http://schemas.microsoft.com/office/spreadsheetml/2009/9/main" uri="{B025F937-C7B1-47D3-B67F-A62EFF666E3E}">
          <x14:id>{CC8EDA81-6F0C-4AA3-8BE1-E6567BC3E39D}</x14:id>
        </ext>
      </extLst>
    </cfRule>
  </conditionalFormatting>
  <conditionalFormatting sqref="C9:D9">
    <cfRule type="dataBar" priority="9">
      <dataBar>
        <cfvo type="min"/>
        <cfvo type="max"/>
        <color rgb="FF008AEF"/>
      </dataBar>
      <extLst>
        <ext xmlns:x14="http://schemas.microsoft.com/office/spreadsheetml/2009/9/main" uri="{B025F937-C7B1-47D3-B67F-A62EFF666E3E}">
          <x14:id>{B1454108-8881-4AFE-AE03-62EA839628A7}</x14:id>
        </ext>
      </extLst>
    </cfRule>
  </conditionalFormatting>
  <conditionalFormatting sqref="C10:D10">
    <cfRule type="dataBar" priority="12">
      <dataBar>
        <cfvo type="min"/>
        <cfvo type="max"/>
        <color rgb="FF008AEF"/>
      </dataBar>
      <extLst>
        <ext xmlns:x14="http://schemas.microsoft.com/office/spreadsheetml/2009/9/main" uri="{B025F937-C7B1-47D3-B67F-A62EFF666E3E}">
          <x14:id>{D23C3BD8-7BD9-4A04-A4C3-D05D30F105DE}</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{AEFBDCFE-F964-4399-9AEE-9261912C14F5}</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{A0513C0A-F62D-418C-8922-2F9FBEDF84E7}</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{8E8CE251-7C5C-49EA-92A6-55F3BDF74CED}</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{1442F27E-EEF6-4655-8850-19B64731EDA4}</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{B607F642-CB94-40E8-9169-FD7A08D1624F}</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{F9A59194-0AD8-44FE-872B-6CF10D6739E4}</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{D519C4BB-0F43-4BDE-8779-12DBF02EEDEC}</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{E4464E33-BD0D-4A28-BC93-2C9C11BC9FA6}</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{71264E69-E1F7-4400-93E2-9FCD03679B90}</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{02FA18A7-EEEE-4692-ADC5-DE3F8C1A8DED}</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{E5E80908-5F0C-45C7-BC86-4188168E2D48}</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{6F725946-EBE0-41F1-B764-DBBD992F32C8}</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{302B410C-13A5-4AC1-AB9C-AB04D0997196}</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{1DE77AC3-D7F1-49EA-B26D-A4A8C69138F5}</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{498B39F1-A50E-41B7-BC0D-FFEADD5B0257}</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{C8A2BB50-4CA0-43BE-BC44-6E4BB35E36A8}</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{EC184EEC-28EC-4452-9420-DAC065A4587E}</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{1D118D8E-912C-4121-88E3-634850393F12}</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{284B1162-84E6-49D5-9D68-75C07AF0F30C}</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{3C00B467-72E8-4004-B7C0-72C23B60025C}</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{7BA5D170-4D72-4D51-AD2F-C9E09ABE0A17}</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{5305CCCF-EEE4-408B-94BC-51E6C25CB284}</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{6D3FC319-EBE4-43E2-8B48-E4FA00DF3618}</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{01E982F0-1EF3-4FAC-ADFF-3A3672F44D28}</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{CDD1D106-9C58-4F39-A6B5-FBF7681E364B}</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{EE4D8847-0A38-4AFE-8BDF-A1B574FC17B8}</x14:id>
        </ext>
      </extLst>
    </cfRule>
  </conditionalFormatting>
  <conditionalFormatting sqref="C37:D37">
    <cfRule type="dataBar" priority="13">
      <dataBar>
        <cfvo type="min"/>
        <cfvo type="max"/>
        <color rgb="FF008AEF"/>
      </dataBar>
      <extLst>
        <ext xmlns:x14="http://schemas.microsoft.com/office/spreadsheetml/2009/9/main" uri="{B025F937-C7B1-47D3-B67F-A62EFF666E3E}">
          <x14:id>{92C52A23-DB70-4D63-ACA9-2A551E52B235}</x14:id>
        </ext>
      </extLst>
    </cfRule>
  </conditionalFormatting>
  <conditionalFormatting sqref="E3:F33 E34:O37">
    <cfRule type="cellIs" dxfId="15" priority="1" operator="greaterThan">
      <formula>0</formula>
    </cfRule>
  </conditionalFormatting>
  <conditionalFormatting sqref="G10:O33">
    <cfRule type="cellIs" dxfId="14" priority="11" operator="greaterThan">
      <formula>0</formula>
    </cfRule>
  </conditionalFormatting>
  <conditionalFormatting sqref="G3:P9">
    <cfRule type="cellIs" dxfId="13"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C1B8169-3E2A-4A42-9781-AD57755B0F82}">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EB7641E0-14DA-4E8D-BBEC-5E44286F2C6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6EA73C2-D5E9-4EB0-8367-0F7E074244D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2971DE93-6233-4AA8-B80B-9CB73EAF13E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D82DE33D-3900-48A9-8F44-38778E34D8BB}">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C8EDA81-6F0C-4AA3-8BE1-E6567BC3E39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1454108-8881-4AFE-AE03-62EA839628A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23C3BD8-7BD9-4A04-A4C3-D05D30F105D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EFBDCFE-F964-4399-9AEE-9261912C14F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0513C0A-F62D-418C-8922-2F9FBEDF84E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E8CE251-7C5C-49EA-92A6-55F3BDF74CED}">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442F27E-EEF6-4655-8850-19B64731EDA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607F642-CB94-40E8-9169-FD7A08D1624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F9A59194-0AD8-44FE-872B-6CF10D6739E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519C4BB-0F43-4BDE-8779-12DBF02EEDE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4464E33-BD0D-4A28-BC93-2C9C11BC9FA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1264E69-E1F7-4400-93E2-9FCD03679B9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2FA18A7-EEEE-4692-ADC5-DE3F8C1A8DE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5E80908-5F0C-45C7-BC86-4188168E2D48}">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6F725946-EBE0-41F1-B764-DBBD992F32C8}">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302B410C-13A5-4AC1-AB9C-AB04D0997196}">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1DE77AC3-D7F1-49EA-B26D-A4A8C69138F5}">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98B39F1-A50E-41B7-BC0D-FFEADD5B025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C8A2BB50-4CA0-43BE-BC44-6E4BB35E36A8}">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C184EEC-28EC-4452-9420-DAC065A4587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D118D8E-912C-4121-88E3-634850393F1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84B1162-84E6-49D5-9D68-75C07AF0F30C}">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C00B467-72E8-4004-B7C0-72C23B60025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BA5D170-4D72-4D51-AD2F-C9E09ABE0A1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5305CCCF-EEE4-408B-94BC-51E6C25CB28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6D3FC319-EBE4-43E2-8B48-E4FA00DF3618}">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1E982F0-1EF3-4FAC-ADFF-3A3672F44D28}">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CDD1D106-9C58-4F39-A6B5-FBF7681E364B}">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EE4D8847-0A38-4AFE-8BDF-A1B574FC17B8}">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92C52A23-DB70-4D63-ACA9-2A551E52B235}">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39"/>
  <sheetViews>
    <sheetView zoomScale="80" zoomScaleNormal="80" workbookViewId="0">
      <selection activeCell="J5" sqref="J5"/>
    </sheetView>
  </sheetViews>
  <sheetFormatPr baseColWidth="10" defaultColWidth="11.28515625" defaultRowHeight="15" x14ac:dyDescent="0.25"/>
  <cols>
    <col min="1" max="1" width="9.85546875" style="2" customWidth="1"/>
    <col min="2" max="2" width="88" style="2" customWidth="1"/>
    <col min="3" max="3" width="11.28515625" style="2"/>
    <col min="4" max="4" width="22.28515625" style="2" customWidth="1"/>
    <col min="5" max="9" width="17.28515625" style="2" customWidth="1"/>
    <col min="10" max="16384" width="11.28515625" style="2"/>
  </cols>
  <sheetData>
    <row r="1" spans="1:16" ht="61.5" customHeight="1" x14ac:dyDescent="0.25">
      <c r="A1" s="67" t="s">
        <v>1</v>
      </c>
      <c r="B1" s="39" t="s">
        <v>46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thickBot="1" x14ac:dyDescent="0.3">
      <c r="A3" s="56" t="s">
        <v>18</v>
      </c>
      <c r="B3" s="24" t="s">
        <v>17</v>
      </c>
      <c r="C3" s="7">
        <v>2</v>
      </c>
      <c r="D3" s="38">
        <f t="shared" ref="D3:D9" si="0">SUM(E3:P3)</f>
        <v>1</v>
      </c>
      <c r="E3" s="44"/>
      <c r="F3" s="44">
        <v>1</v>
      </c>
      <c r="G3" s="44"/>
      <c r="H3" s="44"/>
      <c r="I3" s="44"/>
      <c r="J3" s="44"/>
      <c r="K3" s="44"/>
      <c r="L3" s="44"/>
      <c r="M3" s="44"/>
      <c r="N3" s="44"/>
      <c r="O3" s="44"/>
      <c r="P3" s="44"/>
    </row>
    <row r="4" spans="1:16" ht="81" customHeight="1" thickBot="1" x14ac:dyDescent="0.3">
      <c r="A4" s="57" t="s">
        <v>20</v>
      </c>
      <c r="B4" s="25" t="s">
        <v>19</v>
      </c>
      <c r="C4" s="46">
        <v>2</v>
      </c>
      <c r="D4" s="38">
        <f t="shared" si="0"/>
        <v>1</v>
      </c>
      <c r="E4" s="44">
        <v>0</v>
      </c>
      <c r="F4" s="44">
        <v>0</v>
      </c>
      <c r="G4" s="44">
        <v>0</v>
      </c>
      <c r="H4" s="44">
        <v>0</v>
      </c>
      <c r="I4" s="44">
        <v>1</v>
      </c>
      <c r="J4" s="44"/>
      <c r="K4" s="44"/>
      <c r="L4" s="44"/>
      <c r="M4" s="44"/>
      <c r="N4" s="44"/>
      <c r="O4" s="44"/>
      <c r="P4" s="44"/>
    </row>
    <row r="5" spans="1:16" ht="81" customHeight="1" thickBot="1" x14ac:dyDescent="0.3">
      <c r="A5" s="48" t="s">
        <v>22</v>
      </c>
      <c r="B5" s="26" t="s">
        <v>29</v>
      </c>
      <c r="C5" s="47">
        <v>1</v>
      </c>
      <c r="D5" s="38">
        <f t="shared" si="0"/>
        <v>0</v>
      </c>
      <c r="E5" s="44">
        <v>0</v>
      </c>
      <c r="F5" s="44">
        <v>0</v>
      </c>
      <c r="G5" s="44">
        <v>0</v>
      </c>
      <c r="H5" s="44">
        <v>0</v>
      </c>
      <c r="I5" s="44"/>
      <c r="J5" s="44"/>
      <c r="K5" s="44"/>
      <c r="L5" s="44"/>
      <c r="M5" s="44"/>
      <c r="N5" s="44"/>
      <c r="O5" s="44"/>
      <c r="P5" s="44"/>
    </row>
    <row r="6" spans="1:16" ht="81" customHeight="1" thickBot="1" x14ac:dyDescent="0.3">
      <c r="A6" s="56" t="s">
        <v>18</v>
      </c>
      <c r="B6" s="24" t="s">
        <v>36</v>
      </c>
      <c r="C6" s="49">
        <v>2</v>
      </c>
      <c r="D6" s="38">
        <f t="shared" si="0"/>
        <v>2</v>
      </c>
      <c r="E6" s="44"/>
      <c r="F6" s="44">
        <v>1</v>
      </c>
      <c r="G6" s="44">
        <v>1</v>
      </c>
      <c r="H6" s="44"/>
      <c r="I6" s="44"/>
      <c r="J6" s="44"/>
      <c r="K6" s="44"/>
      <c r="L6" s="44"/>
      <c r="M6" s="44"/>
      <c r="N6" s="44"/>
      <c r="O6" s="44"/>
      <c r="P6" s="44"/>
    </row>
    <row r="7" spans="1:16" ht="81" customHeight="1" thickBot="1" x14ac:dyDescent="0.3">
      <c r="A7" s="43" t="s">
        <v>18</v>
      </c>
      <c r="B7" s="24" t="s">
        <v>31</v>
      </c>
      <c r="C7" s="49">
        <v>2</v>
      </c>
      <c r="D7" s="38">
        <f t="shared" si="0"/>
        <v>2</v>
      </c>
      <c r="E7" s="44">
        <v>2</v>
      </c>
      <c r="F7" s="44"/>
      <c r="G7" s="44"/>
      <c r="H7" s="44"/>
      <c r="I7" s="44"/>
      <c r="J7" s="44"/>
      <c r="K7" s="44"/>
      <c r="L7" s="44"/>
      <c r="M7" s="44"/>
      <c r="N7" s="44"/>
      <c r="O7" s="44"/>
      <c r="P7" s="44"/>
    </row>
    <row r="8" spans="1:16" ht="81" customHeight="1" thickBot="1" x14ac:dyDescent="0.3">
      <c r="A8" s="43" t="s">
        <v>18</v>
      </c>
      <c r="B8" s="24" t="s">
        <v>38</v>
      </c>
      <c r="C8" s="49">
        <v>2</v>
      </c>
      <c r="D8" s="38">
        <f t="shared" si="0"/>
        <v>1</v>
      </c>
      <c r="E8" s="44"/>
      <c r="F8" s="44"/>
      <c r="G8" s="44"/>
      <c r="H8" s="44">
        <v>1</v>
      </c>
      <c r="I8" s="44"/>
      <c r="J8" s="44"/>
      <c r="K8" s="44"/>
      <c r="L8" s="44"/>
      <c r="M8" s="44"/>
      <c r="N8" s="44"/>
      <c r="O8" s="44"/>
      <c r="P8" s="44"/>
    </row>
    <row r="9" spans="1:16" ht="81" customHeight="1" thickBot="1" x14ac:dyDescent="0.3">
      <c r="A9" s="43" t="s">
        <v>18</v>
      </c>
      <c r="B9" s="24" t="s">
        <v>39</v>
      </c>
      <c r="C9" s="49">
        <v>1</v>
      </c>
      <c r="D9" s="38">
        <f t="shared" si="0"/>
        <v>1</v>
      </c>
      <c r="E9" s="44"/>
      <c r="F9" s="44">
        <v>1</v>
      </c>
      <c r="G9" s="44"/>
      <c r="H9" s="44"/>
      <c r="I9" s="44"/>
      <c r="J9" s="44"/>
      <c r="K9" s="44"/>
      <c r="L9" s="44"/>
      <c r="M9" s="44"/>
      <c r="N9" s="44"/>
      <c r="O9" s="44"/>
      <c r="P9" s="44"/>
    </row>
    <row r="10" spans="1:16" ht="28.5" customHeight="1" x14ac:dyDescent="0.25">
      <c r="A10" s="69" t="s">
        <v>77</v>
      </c>
      <c r="B10" s="50" t="s">
        <v>78</v>
      </c>
      <c r="C10" s="49">
        <v>3</v>
      </c>
      <c r="D10" s="38">
        <f t="shared" ref="D10:D37" si="1">SUM(E10:O10)</f>
        <v>4</v>
      </c>
      <c r="E10" s="44"/>
      <c r="F10" s="44"/>
      <c r="G10" s="44">
        <v>1</v>
      </c>
      <c r="H10" s="44">
        <v>3</v>
      </c>
      <c r="I10" s="44"/>
      <c r="J10" s="44"/>
      <c r="K10" s="44"/>
      <c r="L10" s="44"/>
      <c r="M10" s="44"/>
      <c r="N10" s="44"/>
      <c r="O10" s="44"/>
      <c r="P10" s="40"/>
    </row>
    <row r="11" spans="1:16" ht="28.5" customHeight="1" x14ac:dyDescent="0.25">
      <c r="A11" s="70"/>
      <c r="B11" s="50" t="s">
        <v>79</v>
      </c>
      <c r="C11" s="49">
        <v>3</v>
      </c>
      <c r="D11" s="38">
        <f t="shared" si="1"/>
        <v>3</v>
      </c>
      <c r="E11" s="44"/>
      <c r="F11" s="44">
        <v>1</v>
      </c>
      <c r="G11" s="44">
        <v>2</v>
      </c>
      <c r="H11" s="44"/>
      <c r="I11" s="44"/>
      <c r="J11" s="44"/>
      <c r="K11" s="44"/>
      <c r="L11" s="44"/>
      <c r="M11" s="44"/>
      <c r="N11" s="44"/>
      <c r="O11" s="44"/>
      <c r="P11" s="40"/>
    </row>
    <row r="12" spans="1:16" ht="28.5" customHeight="1" x14ac:dyDescent="0.25">
      <c r="A12" s="70"/>
      <c r="B12" s="50" t="s">
        <v>80</v>
      </c>
      <c r="C12" s="49">
        <v>104</v>
      </c>
      <c r="D12" s="38">
        <f t="shared" si="1"/>
        <v>43</v>
      </c>
      <c r="E12" s="44">
        <v>7</v>
      </c>
      <c r="F12" s="44">
        <v>9</v>
      </c>
      <c r="G12" s="44">
        <v>6</v>
      </c>
      <c r="H12" s="44">
        <v>9</v>
      </c>
      <c r="I12" s="44">
        <v>10</v>
      </c>
      <c r="J12" s="44">
        <v>2</v>
      </c>
      <c r="K12" s="44"/>
      <c r="L12" s="44"/>
      <c r="M12" s="44"/>
      <c r="N12" s="44"/>
      <c r="O12" s="44"/>
      <c r="P12" s="40"/>
    </row>
    <row r="13" spans="1:16" ht="28.5" customHeight="1" x14ac:dyDescent="0.25">
      <c r="A13" s="70"/>
      <c r="B13" s="50" t="s">
        <v>81</v>
      </c>
      <c r="C13" s="49">
        <v>110</v>
      </c>
      <c r="D13" s="38">
        <f t="shared" si="1"/>
        <v>58</v>
      </c>
      <c r="E13" s="44">
        <v>26</v>
      </c>
      <c r="F13" s="44"/>
      <c r="G13" s="44"/>
      <c r="H13" s="44">
        <v>32</v>
      </c>
      <c r="I13" s="44"/>
      <c r="J13" s="44"/>
      <c r="K13" s="44"/>
      <c r="L13" s="44"/>
      <c r="M13" s="44"/>
      <c r="N13" s="44"/>
      <c r="O13" s="44"/>
      <c r="P13" s="40"/>
    </row>
    <row r="14" spans="1:16" ht="28.5" customHeight="1" x14ac:dyDescent="0.25">
      <c r="A14" s="70"/>
      <c r="B14" s="50" t="s">
        <v>82</v>
      </c>
      <c r="C14" s="49">
        <v>0</v>
      </c>
      <c r="D14" s="38">
        <f t="shared" si="1"/>
        <v>0</v>
      </c>
      <c r="E14" s="44"/>
      <c r="F14" s="44"/>
      <c r="G14" s="44"/>
      <c r="H14" s="44"/>
      <c r="I14" s="44"/>
      <c r="J14" s="44"/>
      <c r="K14" s="44"/>
      <c r="L14" s="44"/>
      <c r="M14" s="44"/>
      <c r="N14" s="44"/>
      <c r="O14" s="44"/>
      <c r="P14" s="40"/>
    </row>
    <row r="15" spans="1:16" ht="28.5" customHeight="1" x14ac:dyDescent="0.25">
      <c r="A15" s="70"/>
      <c r="B15" s="50" t="s">
        <v>83</v>
      </c>
      <c r="C15" s="49">
        <v>0</v>
      </c>
      <c r="D15" s="38">
        <f t="shared" si="1"/>
        <v>0</v>
      </c>
      <c r="E15" s="44"/>
      <c r="F15" s="44"/>
      <c r="G15" s="44"/>
      <c r="H15" s="44"/>
      <c r="I15" s="44"/>
      <c r="J15" s="44"/>
      <c r="K15" s="44"/>
      <c r="L15" s="44"/>
      <c r="M15" s="44"/>
      <c r="N15" s="44"/>
      <c r="O15" s="44"/>
      <c r="P15" s="40"/>
    </row>
    <row r="16" spans="1:16" ht="28.5" customHeight="1" x14ac:dyDescent="0.25">
      <c r="A16" s="70"/>
      <c r="B16" s="50" t="s">
        <v>84</v>
      </c>
      <c r="C16" s="49">
        <v>0</v>
      </c>
      <c r="D16" s="38">
        <f t="shared" si="1"/>
        <v>0</v>
      </c>
      <c r="E16" s="44"/>
      <c r="F16" s="44"/>
      <c r="G16" s="44"/>
      <c r="H16" s="44"/>
      <c r="I16" s="44"/>
      <c r="J16" s="44"/>
      <c r="K16" s="44"/>
      <c r="L16" s="44"/>
      <c r="M16" s="44"/>
      <c r="N16" s="44"/>
      <c r="O16" s="44"/>
      <c r="P16" s="40"/>
    </row>
    <row r="17" spans="1:16" ht="28.5" customHeight="1" x14ac:dyDescent="0.25">
      <c r="A17" s="70"/>
      <c r="B17" s="50" t="s">
        <v>85</v>
      </c>
      <c r="C17" s="49">
        <v>0</v>
      </c>
      <c r="D17" s="38">
        <f t="shared" si="1"/>
        <v>0</v>
      </c>
      <c r="E17" s="44"/>
      <c r="F17" s="44"/>
      <c r="G17" s="44"/>
      <c r="H17" s="44"/>
      <c r="I17" s="44"/>
      <c r="J17" s="44"/>
      <c r="K17" s="44"/>
      <c r="L17" s="44"/>
      <c r="M17" s="44"/>
      <c r="N17" s="44"/>
      <c r="O17" s="44"/>
      <c r="P17" s="40"/>
    </row>
    <row r="18" spans="1:16" ht="28.5" customHeight="1" x14ac:dyDescent="0.25">
      <c r="A18" s="70"/>
      <c r="B18" s="50" t="s">
        <v>86</v>
      </c>
      <c r="C18" s="49">
        <v>0</v>
      </c>
      <c r="D18" s="38">
        <f t="shared" si="1"/>
        <v>0</v>
      </c>
      <c r="E18" s="44"/>
      <c r="F18" s="44"/>
      <c r="G18" s="44"/>
      <c r="H18" s="44"/>
      <c r="I18" s="44"/>
      <c r="J18" s="44"/>
      <c r="K18" s="44"/>
      <c r="L18" s="44"/>
      <c r="M18" s="44"/>
      <c r="N18" s="44"/>
      <c r="O18" s="44"/>
      <c r="P18" s="40"/>
    </row>
    <row r="19" spans="1:16" ht="28.5" customHeight="1" x14ac:dyDescent="0.25">
      <c r="A19" s="70"/>
      <c r="B19" s="50" t="s">
        <v>87</v>
      </c>
      <c r="C19" s="49">
        <v>0</v>
      </c>
      <c r="D19" s="38">
        <f t="shared" si="1"/>
        <v>0</v>
      </c>
      <c r="E19" s="44"/>
      <c r="F19" s="44"/>
      <c r="G19" s="44"/>
      <c r="H19" s="44"/>
      <c r="I19" s="44"/>
      <c r="J19" s="44"/>
      <c r="K19" s="44"/>
      <c r="L19" s="44"/>
      <c r="M19" s="44"/>
      <c r="N19" s="44"/>
      <c r="O19" s="44"/>
      <c r="P19" s="40"/>
    </row>
    <row r="20" spans="1:16" ht="28.5" customHeight="1" x14ac:dyDescent="0.25">
      <c r="A20" s="70"/>
      <c r="B20" s="50" t="s">
        <v>88</v>
      </c>
      <c r="C20" s="49">
        <v>0</v>
      </c>
      <c r="D20" s="38">
        <f t="shared" si="1"/>
        <v>0</v>
      </c>
      <c r="E20" s="44"/>
      <c r="F20" s="44"/>
      <c r="G20" s="44"/>
      <c r="H20" s="44"/>
      <c r="I20" s="44"/>
      <c r="J20" s="44"/>
      <c r="K20" s="44"/>
      <c r="L20" s="44"/>
      <c r="M20" s="44"/>
      <c r="N20" s="44"/>
      <c r="O20" s="44"/>
      <c r="P20" s="40"/>
    </row>
    <row r="21" spans="1:16" ht="28.5" customHeight="1" x14ac:dyDescent="0.25">
      <c r="A21" s="70"/>
      <c r="B21" s="50" t="s">
        <v>89</v>
      </c>
      <c r="C21" s="49">
        <v>0</v>
      </c>
      <c r="D21" s="38">
        <f t="shared" si="1"/>
        <v>0</v>
      </c>
      <c r="E21" s="44"/>
      <c r="F21" s="44"/>
      <c r="G21" s="44"/>
      <c r="H21" s="44"/>
      <c r="I21" s="44"/>
      <c r="J21" s="44"/>
      <c r="K21" s="44"/>
      <c r="L21" s="44"/>
      <c r="M21" s="44"/>
      <c r="N21" s="44"/>
      <c r="O21" s="44"/>
      <c r="P21" s="40"/>
    </row>
    <row r="22" spans="1:16" ht="28.5" customHeight="1" x14ac:dyDescent="0.25">
      <c r="A22" s="70"/>
      <c r="B22" s="50" t="s">
        <v>90</v>
      </c>
      <c r="C22" s="49">
        <v>0</v>
      </c>
      <c r="D22" s="38">
        <f t="shared" si="1"/>
        <v>0</v>
      </c>
      <c r="E22" s="44"/>
      <c r="F22" s="44"/>
      <c r="G22" s="44"/>
      <c r="H22" s="44"/>
      <c r="I22" s="44"/>
      <c r="J22" s="44"/>
      <c r="K22" s="44"/>
      <c r="L22" s="44"/>
      <c r="M22" s="44"/>
      <c r="N22" s="44"/>
      <c r="O22" s="44"/>
      <c r="P22" s="40"/>
    </row>
    <row r="23" spans="1:16" ht="28.5" customHeight="1" x14ac:dyDescent="0.25">
      <c r="A23" s="70"/>
      <c r="B23" s="50" t="s">
        <v>91</v>
      </c>
      <c r="C23" s="49">
        <v>0</v>
      </c>
      <c r="D23" s="38">
        <f t="shared" si="1"/>
        <v>0</v>
      </c>
      <c r="E23" s="44"/>
      <c r="F23" s="44"/>
      <c r="G23" s="44"/>
      <c r="H23" s="44"/>
      <c r="I23" s="44"/>
      <c r="J23" s="44"/>
      <c r="K23" s="44"/>
      <c r="L23" s="44"/>
      <c r="M23" s="44"/>
      <c r="N23" s="44"/>
      <c r="O23" s="44"/>
      <c r="P23" s="40"/>
    </row>
    <row r="24" spans="1:16" ht="28.5" customHeight="1" x14ac:dyDescent="0.25">
      <c r="A24" s="70"/>
      <c r="B24" s="50" t="s">
        <v>92</v>
      </c>
      <c r="C24" s="49">
        <v>134</v>
      </c>
      <c r="D24" s="38">
        <f t="shared" si="1"/>
        <v>64</v>
      </c>
      <c r="E24" s="44">
        <v>35</v>
      </c>
      <c r="F24" s="44"/>
      <c r="G24" s="44"/>
      <c r="H24" s="44">
        <v>29</v>
      </c>
      <c r="I24" s="44"/>
      <c r="J24" s="44"/>
      <c r="K24" s="44"/>
      <c r="L24" s="44"/>
      <c r="M24" s="44"/>
      <c r="N24" s="44"/>
      <c r="O24" s="44"/>
      <c r="P24" s="40"/>
    </row>
    <row r="25" spans="1:16" ht="28.5" customHeight="1" x14ac:dyDescent="0.25">
      <c r="A25" s="70"/>
      <c r="B25" s="50" t="s">
        <v>93</v>
      </c>
      <c r="C25" s="49">
        <v>0</v>
      </c>
      <c r="D25" s="38">
        <f t="shared" si="1"/>
        <v>0</v>
      </c>
      <c r="E25" s="44"/>
      <c r="F25" s="44"/>
      <c r="G25" s="44"/>
      <c r="H25" s="44"/>
      <c r="I25" s="44"/>
      <c r="J25" s="44"/>
      <c r="K25" s="44"/>
      <c r="L25" s="44"/>
      <c r="M25" s="44"/>
      <c r="N25" s="44"/>
      <c r="O25" s="44"/>
      <c r="P25" s="40"/>
    </row>
    <row r="26" spans="1:16" ht="24" customHeight="1" x14ac:dyDescent="0.25">
      <c r="A26" s="70"/>
      <c r="B26" s="51" t="s">
        <v>94</v>
      </c>
      <c r="C26" s="49">
        <v>3</v>
      </c>
      <c r="D26" s="38">
        <f t="shared" si="1"/>
        <v>3</v>
      </c>
      <c r="E26" s="44"/>
      <c r="F26" s="44">
        <v>3</v>
      </c>
      <c r="G26" s="44"/>
      <c r="H26" s="44"/>
      <c r="I26" s="44"/>
      <c r="J26" s="44"/>
      <c r="K26" s="44"/>
      <c r="L26" s="44"/>
      <c r="M26" s="44"/>
      <c r="N26" s="44"/>
      <c r="O26" s="44"/>
      <c r="P26" s="40"/>
    </row>
    <row r="27" spans="1:16" ht="24" customHeight="1" x14ac:dyDescent="0.25">
      <c r="A27" s="70"/>
      <c r="B27" s="51" t="s">
        <v>95</v>
      </c>
      <c r="C27" s="49">
        <v>3</v>
      </c>
      <c r="D27" s="38">
        <f t="shared" si="1"/>
        <v>0</v>
      </c>
      <c r="E27" s="44"/>
      <c r="F27" s="44"/>
      <c r="G27" s="44"/>
      <c r="H27" s="44"/>
      <c r="I27" s="44"/>
      <c r="J27" s="44"/>
      <c r="K27" s="44"/>
      <c r="L27" s="44"/>
      <c r="M27" s="44"/>
      <c r="N27" s="44"/>
      <c r="O27" s="44"/>
      <c r="P27" s="40"/>
    </row>
    <row r="28" spans="1:16" ht="24" customHeight="1" x14ac:dyDescent="0.25">
      <c r="A28" s="70"/>
      <c r="B28" s="51" t="s">
        <v>96</v>
      </c>
      <c r="C28" s="49">
        <v>3</v>
      </c>
      <c r="D28" s="38">
        <f t="shared" si="1"/>
        <v>3</v>
      </c>
      <c r="E28" s="44"/>
      <c r="F28" s="44"/>
      <c r="G28" s="44"/>
      <c r="H28" s="44"/>
      <c r="I28" s="44">
        <v>3</v>
      </c>
      <c r="J28" s="44"/>
      <c r="K28" s="44"/>
      <c r="L28" s="44"/>
      <c r="M28" s="44"/>
      <c r="N28" s="44"/>
      <c r="O28" s="44"/>
      <c r="P28" s="40"/>
    </row>
    <row r="29" spans="1:16" ht="24" customHeight="1" x14ac:dyDescent="0.25">
      <c r="A29" s="70"/>
      <c r="B29" s="51" t="s">
        <v>97</v>
      </c>
      <c r="C29" s="49">
        <v>3</v>
      </c>
      <c r="D29" s="38">
        <f t="shared" si="1"/>
        <v>0</v>
      </c>
      <c r="E29" s="44"/>
      <c r="F29" s="44"/>
      <c r="G29" s="44"/>
      <c r="H29" s="44"/>
      <c r="I29" s="44"/>
      <c r="J29" s="44"/>
      <c r="K29" s="44"/>
      <c r="L29" s="44"/>
      <c r="M29" s="44"/>
      <c r="N29" s="44"/>
      <c r="O29" s="44"/>
      <c r="P29" s="40"/>
    </row>
    <row r="30" spans="1:16" ht="24" customHeight="1" x14ac:dyDescent="0.25">
      <c r="A30" s="70"/>
      <c r="B30" s="51" t="s">
        <v>98</v>
      </c>
      <c r="C30" s="49">
        <v>3</v>
      </c>
      <c r="D30" s="38">
        <f t="shared" si="1"/>
        <v>0</v>
      </c>
      <c r="E30" s="44"/>
      <c r="F30" s="44"/>
      <c r="G30" s="44"/>
      <c r="H30" s="44"/>
      <c r="I30" s="44"/>
      <c r="J30" s="44"/>
      <c r="K30" s="44"/>
      <c r="L30" s="44"/>
      <c r="M30" s="44"/>
      <c r="N30" s="44"/>
      <c r="O30" s="44"/>
      <c r="P30" s="40"/>
    </row>
    <row r="31" spans="1:16" ht="24" customHeight="1" x14ac:dyDescent="0.25">
      <c r="A31" s="70"/>
      <c r="B31" s="51" t="s">
        <v>99</v>
      </c>
      <c r="C31" s="49">
        <v>1</v>
      </c>
      <c r="D31" s="38">
        <f t="shared" si="1"/>
        <v>0</v>
      </c>
      <c r="E31" s="44"/>
      <c r="F31" s="44"/>
      <c r="G31" s="44"/>
      <c r="H31" s="44"/>
      <c r="I31" s="44"/>
      <c r="J31" s="44"/>
      <c r="K31" s="44"/>
      <c r="L31" s="44"/>
      <c r="M31" s="44"/>
      <c r="N31" s="44"/>
      <c r="O31" s="44"/>
      <c r="P31" s="40"/>
    </row>
    <row r="32" spans="1:16" ht="24" customHeight="1" x14ac:dyDescent="0.25">
      <c r="A32" s="70"/>
      <c r="B32" s="51" t="s">
        <v>100</v>
      </c>
      <c r="C32" s="49">
        <v>1</v>
      </c>
      <c r="D32" s="38">
        <f t="shared" si="1"/>
        <v>0</v>
      </c>
      <c r="E32" s="44"/>
      <c r="F32" s="44"/>
      <c r="G32" s="44"/>
      <c r="H32" s="44"/>
      <c r="I32" s="44"/>
      <c r="J32" s="44"/>
      <c r="K32" s="44"/>
      <c r="L32" s="44"/>
      <c r="M32" s="44"/>
      <c r="N32" s="44"/>
      <c r="O32" s="44"/>
      <c r="P32" s="40"/>
    </row>
    <row r="33" spans="1:16" ht="24" customHeight="1" x14ac:dyDescent="0.25">
      <c r="A33" s="70"/>
      <c r="B33" s="51" t="s">
        <v>101</v>
      </c>
      <c r="C33" s="49">
        <v>1</v>
      </c>
      <c r="D33" s="38">
        <f t="shared" si="1"/>
        <v>0</v>
      </c>
      <c r="E33" s="44"/>
      <c r="F33" s="44"/>
      <c r="G33" s="44"/>
      <c r="H33" s="44"/>
      <c r="I33" s="44"/>
      <c r="J33" s="44"/>
      <c r="K33" s="44"/>
      <c r="L33" s="44"/>
      <c r="M33" s="44"/>
      <c r="N33" s="44"/>
      <c r="O33" s="44"/>
      <c r="P33" s="40"/>
    </row>
    <row r="34" spans="1:16" ht="24" customHeight="1" x14ac:dyDescent="0.25">
      <c r="A34" s="70"/>
      <c r="B34" s="51" t="s">
        <v>102</v>
      </c>
      <c r="C34" s="49">
        <v>1</v>
      </c>
      <c r="D34" s="38">
        <f t="shared" si="1"/>
        <v>0</v>
      </c>
      <c r="E34" s="44"/>
      <c r="F34" s="44"/>
      <c r="G34" s="44"/>
      <c r="H34" s="44"/>
      <c r="I34" s="44"/>
      <c r="J34" s="44"/>
      <c r="K34" s="44"/>
      <c r="L34" s="44"/>
      <c r="M34" s="44"/>
      <c r="N34" s="44"/>
      <c r="O34" s="44"/>
      <c r="P34" s="40"/>
    </row>
    <row r="35" spans="1:16" ht="24" customHeight="1" x14ac:dyDescent="0.25">
      <c r="A35" s="70"/>
      <c r="B35" s="51" t="s">
        <v>103</v>
      </c>
      <c r="C35" s="49">
        <v>1</v>
      </c>
      <c r="D35" s="38">
        <f t="shared" si="1"/>
        <v>0</v>
      </c>
      <c r="E35" s="44"/>
      <c r="F35" s="44"/>
      <c r="G35" s="44"/>
      <c r="H35" s="44"/>
      <c r="I35" s="44"/>
      <c r="J35" s="44"/>
      <c r="K35" s="44"/>
      <c r="L35" s="44"/>
      <c r="M35" s="44"/>
      <c r="N35" s="44"/>
      <c r="O35" s="44"/>
      <c r="P35" s="40"/>
    </row>
    <row r="36" spans="1:16" ht="24" customHeight="1" x14ac:dyDescent="0.25">
      <c r="A36" s="70"/>
      <c r="B36" s="51" t="s">
        <v>104</v>
      </c>
      <c r="C36" s="49">
        <v>1</v>
      </c>
      <c r="D36" s="38">
        <f t="shared" si="1"/>
        <v>0</v>
      </c>
      <c r="E36" s="44"/>
      <c r="F36" s="44"/>
      <c r="G36" s="44"/>
      <c r="H36" s="44"/>
      <c r="I36" s="44"/>
      <c r="J36" s="44"/>
      <c r="K36" s="44"/>
      <c r="L36" s="44"/>
      <c r="M36" s="44"/>
      <c r="N36" s="44"/>
      <c r="O36" s="44"/>
      <c r="P36" s="40"/>
    </row>
    <row r="37" spans="1:16" ht="24" customHeight="1" thickBot="1" x14ac:dyDescent="0.3">
      <c r="A37" s="71"/>
      <c r="B37" s="52" t="s">
        <v>105</v>
      </c>
      <c r="C37" s="49">
        <v>1</v>
      </c>
      <c r="D37" s="38">
        <f t="shared" si="1"/>
        <v>0</v>
      </c>
      <c r="E37" s="44"/>
      <c r="F37" s="44"/>
      <c r="G37" s="44"/>
      <c r="H37" s="44"/>
      <c r="I37" s="44"/>
      <c r="J37" s="44"/>
      <c r="K37" s="44"/>
      <c r="L37" s="44"/>
      <c r="M37" s="44"/>
      <c r="N37" s="44"/>
      <c r="O37" s="44"/>
      <c r="P37" s="40"/>
    </row>
    <row r="38" spans="1:16" x14ac:dyDescent="0.25">
      <c r="C38" s="53">
        <f>SUM(C3:C37)</f>
        <v>388</v>
      </c>
      <c r="D38" s="54">
        <f>SUM(D3:D37)</f>
        <v>186</v>
      </c>
    </row>
    <row r="39" spans="1:16" x14ac:dyDescent="0.25">
      <c r="C39" s="13"/>
      <c r="D39" s="55">
        <f>D38/C38</f>
        <v>0.47938144329896909</v>
      </c>
    </row>
  </sheetData>
  <sheetProtection algorithmName="SHA-512" hashValue="dAvoMWxIG6wO6ZEtlOfA+8Jc7TvgYWvLohbHrgwE6uD80m6DkRnd+rb4IU9eqfbc13G0Zsp5r6YKA5nZ6ftgWw==" saltValue="r+4e+Q5fmt5/8pW8Uc2O5w==" spinCount="100000" sheet="1" objects="1" scenarios="1" autoFilter="0"/>
  <mergeCells count="2">
    <mergeCell ref="A1:A2"/>
    <mergeCell ref="A10:A37"/>
  </mergeCells>
  <conditionalFormatting sqref="C3:D3 D4:D9">
    <cfRule type="dataBar" priority="50">
      <dataBar>
        <cfvo type="min"/>
        <cfvo type="max"/>
        <color rgb="FF008AEF"/>
      </dataBar>
      <extLst>
        <ext xmlns:x14="http://schemas.microsoft.com/office/spreadsheetml/2009/9/main" uri="{B025F937-C7B1-47D3-B67F-A62EFF666E3E}">
          <x14:id>{753BA7FC-3357-4D36-AE98-F3DB0285798E}</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{550407A6-F487-407B-915E-4F70BFEC5778}</x14:id>
        </ext>
      </extLst>
    </cfRule>
  </conditionalFormatting>
  <conditionalFormatting sqref="C5:D5">
    <cfRule type="dataBar" priority="5">
      <dataBar>
        <cfvo type="min"/>
        <cfvo type="max"/>
        <color rgb="FF008AEF"/>
      </dataBar>
      <extLst>
        <ext xmlns:x14="http://schemas.microsoft.com/office/spreadsheetml/2009/9/main" uri="{B025F937-C7B1-47D3-B67F-A62EFF666E3E}">
          <x14:id>{32350CE0-C3A2-41D7-8B50-3F0D9442828B}</x14:id>
        </ext>
      </extLst>
    </cfRule>
  </conditionalFormatting>
  <conditionalFormatting sqref="C6:D6">
    <cfRule type="dataBar" priority="6">
      <dataBar>
        <cfvo type="min"/>
        <cfvo type="max"/>
        <color rgb="FF008AEF"/>
      </dataBar>
      <extLst>
        <ext xmlns:x14="http://schemas.microsoft.com/office/spreadsheetml/2009/9/main" uri="{B025F937-C7B1-47D3-B67F-A62EFF666E3E}">
          <x14:id>{E1C74091-11C5-44B7-9F55-8A88AEB88DE2}</x14:id>
        </ext>
      </extLst>
    </cfRule>
  </conditionalFormatting>
  <conditionalFormatting sqref="C7:D7">
    <cfRule type="dataBar" priority="7">
      <dataBar>
        <cfvo type="min"/>
        <cfvo type="max"/>
        <color rgb="FF008AEF"/>
      </dataBar>
      <extLst>
        <ext xmlns:x14="http://schemas.microsoft.com/office/spreadsheetml/2009/9/main" uri="{B025F937-C7B1-47D3-B67F-A62EFF666E3E}">
          <x14:id>{B425EF30-CBDD-4C25-A042-576ADD49414F}</x14:id>
        </ext>
      </extLst>
    </cfRule>
  </conditionalFormatting>
  <conditionalFormatting sqref="C8:D8">
    <cfRule type="dataBar" priority="8">
      <dataBar>
        <cfvo type="min"/>
        <cfvo type="max"/>
        <color rgb="FF008AEF"/>
      </dataBar>
      <extLst>
        <ext xmlns:x14="http://schemas.microsoft.com/office/spreadsheetml/2009/9/main" uri="{B025F937-C7B1-47D3-B67F-A62EFF666E3E}">
          <x14:id>{7409836F-74F0-42F1-B817-C364CD97B1D6}</x14:id>
        </ext>
      </extLst>
    </cfRule>
  </conditionalFormatting>
  <conditionalFormatting sqref="C9:D9">
    <cfRule type="dataBar" priority="9">
      <dataBar>
        <cfvo type="min"/>
        <cfvo type="max"/>
        <color rgb="FF008AEF"/>
      </dataBar>
      <extLst>
        <ext xmlns:x14="http://schemas.microsoft.com/office/spreadsheetml/2009/9/main" uri="{B025F937-C7B1-47D3-B67F-A62EFF666E3E}">
          <x14:id>{C0BEF601-DF87-4C31-8188-64E8832E80AC}</x14:id>
        </ext>
      </extLst>
    </cfRule>
  </conditionalFormatting>
  <conditionalFormatting sqref="C10:D10">
    <cfRule type="dataBar" priority="12">
      <dataBar>
        <cfvo type="min"/>
        <cfvo type="max"/>
        <color rgb="FF008AEF"/>
      </dataBar>
      <extLst>
        <ext xmlns:x14="http://schemas.microsoft.com/office/spreadsheetml/2009/9/main" uri="{B025F937-C7B1-47D3-B67F-A62EFF666E3E}">
          <x14:id>{B7ED6A5D-2E6A-43B2-B775-148B14BE0975}</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{C5A6950B-7CE1-46F1-AAE0-007CF08055ED}</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{3C1DC3E7-2D77-4244-B670-90B2F5E3DBE6}</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{AEEE6F72-1FC3-42E9-A09F-706BABC9D0A6}</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{D73344CD-CBD4-4634-A7A9-CFAFD34C51CB}</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{4E91F4E9-2325-4774-9B5C-E9F6C3FC7B55}</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{10D8C59A-B7EB-4309-A5D2-71AD3510A356}</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{FFFA3053-0B13-4BAA-824E-9D4453A900B7}</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{E874AC81-F3D0-4959-8BAA-58422F448C29}</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{579711A8-5CBE-4C2D-937E-F5AADEBE4F41}</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{ED7CED15-B10C-44E0-8BF4-EEC310BA4751}</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{19A309EA-1F92-4DCC-8217-E9D2C155B8C4}</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{ECDB386C-A0BA-4FD5-B535-9840A2162B86}</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{44DE36E1-A719-41B2-B786-A047BAEBE0E9}</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{AF57631D-CEC9-4B23-9ACC-E8A7F30D493B}</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{219FF595-103A-4805-90BB-FF3C9A811C16}</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{42EC195C-8E6D-4A89-BC60-6ED7C7B2E2F5}</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{97E4BCA8-8C8F-4BA8-AC8A-046EF6FE8B5D}</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{90C57C1F-DFF3-4434-A76C-31D737699D9C}</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{155938B8-FFFE-420E-97EB-A5278D68D44C}</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{A4053362-8841-4524-BDD9-6BB5055B7BE9}</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{CE33594D-FF3D-43CB-9207-0DCDE1E80E23}</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{49A7F723-031D-499C-8BE9-2AF55DBF8B89}</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{765DAE91-380E-4449-93D4-55660D4E7811}</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{5BBBEEB1-6734-4B40-B7B0-6CB46CA14904}</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{E762016F-8E01-4DFF-9A90-9DF4FB3430BE}</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{CB067F6E-7E14-49F5-9E98-813DECAEEA0F}</x14:id>
        </ext>
      </extLst>
    </cfRule>
  </conditionalFormatting>
  <conditionalFormatting sqref="C37:D37">
    <cfRule type="dataBar" priority="13">
      <dataBar>
        <cfvo type="min"/>
        <cfvo type="max"/>
        <color rgb="FF008AEF"/>
      </dataBar>
      <extLst>
        <ext xmlns:x14="http://schemas.microsoft.com/office/spreadsheetml/2009/9/main" uri="{B025F937-C7B1-47D3-B67F-A62EFF666E3E}">
          <x14:id>{80761414-C77F-4D3D-B9C1-7333ACC1F8C1}</x14:id>
        </ext>
      </extLst>
    </cfRule>
  </conditionalFormatting>
  <conditionalFormatting sqref="E3:F33 E34:O37">
    <cfRule type="cellIs" dxfId="12" priority="1" operator="greaterThan">
      <formula>0</formula>
    </cfRule>
  </conditionalFormatting>
  <conditionalFormatting sqref="G10:O33">
    <cfRule type="cellIs" dxfId="11" priority="11" operator="greaterThan">
      <formula>0</formula>
    </cfRule>
  </conditionalFormatting>
  <conditionalFormatting sqref="G3:P9">
    <cfRule type="cellIs" dxfId="10"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53BA7FC-3357-4D36-AE98-F3DB0285798E}">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550407A6-F487-407B-915E-4F70BFEC577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32350CE0-C3A2-41D7-8B50-3F0D9442828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1C74091-11C5-44B7-9F55-8A88AEB88DE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425EF30-CBDD-4C25-A042-576ADD49414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409836F-74F0-42F1-B817-C364CD97B1D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0BEF601-DF87-4C31-8188-64E8832E80A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7ED6A5D-2E6A-43B2-B775-148B14BE097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5A6950B-7CE1-46F1-AAE0-007CF08055E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3C1DC3E7-2D77-4244-B670-90B2F5E3DBE6}">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AEEE6F72-1FC3-42E9-A09F-706BABC9D0A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73344CD-CBD4-4634-A7A9-CFAFD34C51C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E91F4E9-2325-4774-9B5C-E9F6C3FC7B5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0D8C59A-B7EB-4309-A5D2-71AD3510A35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FFA3053-0B13-4BAA-824E-9D4453A900B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874AC81-F3D0-4959-8BAA-58422F448C2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579711A8-5CBE-4C2D-937E-F5AADEBE4F41}">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D7CED15-B10C-44E0-8BF4-EEC310BA4751}">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9A309EA-1F92-4DCC-8217-E9D2C155B8C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CDB386C-A0BA-4FD5-B535-9840A2162B8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4DE36E1-A719-41B2-B786-A047BAEBE0E9}">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F57631D-CEC9-4B23-9ACC-E8A7F30D493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19FF595-103A-4805-90BB-FF3C9A811C1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2EC195C-8E6D-4A89-BC60-6ED7C7B2E2F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7E4BCA8-8C8F-4BA8-AC8A-046EF6FE8B5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0C57C1F-DFF3-4434-A76C-31D737699D9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55938B8-FFFE-420E-97EB-A5278D68D44C}">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4053362-8841-4524-BDD9-6BB5055B7BE9}">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E33594D-FF3D-43CB-9207-0DCDE1E80E2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49A7F723-031D-499C-8BE9-2AF55DBF8B8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65DAE91-380E-4449-93D4-55660D4E781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BBBEEB1-6734-4B40-B7B0-6CB46CA14904}">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E762016F-8E01-4DFF-9A90-9DF4FB3430BE}">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CB067F6E-7E14-49F5-9E98-813DECAEEA0F}">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80761414-C77F-4D3D-B9C1-7333ACC1F8C1}">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P35"/>
  <sheetViews>
    <sheetView zoomScale="80" zoomScaleNormal="80" workbookViewId="0">
      <selection activeCell="O22" sqref="O22"/>
    </sheetView>
  </sheetViews>
  <sheetFormatPr baseColWidth="10" defaultColWidth="11.42578125" defaultRowHeight="15" x14ac:dyDescent="0.25"/>
  <cols>
    <col min="1" max="1" width="8.28515625" style="2" customWidth="1"/>
    <col min="2" max="2" width="90.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47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x14ac:dyDescent="0.25">
      <c r="A3" s="43" t="s">
        <v>18</v>
      </c>
      <c r="B3" s="27" t="s">
        <v>17</v>
      </c>
      <c r="C3" s="7">
        <v>2</v>
      </c>
      <c r="D3" s="38">
        <f t="shared" ref="D3:D5" si="0">SUM(E3:P3)</f>
        <v>0</v>
      </c>
      <c r="E3" s="44"/>
      <c r="F3" s="44"/>
      <c r="G3" s="44"/>
      <c r="H3" s="44"/>
      <c r="I3" s="44"/>
      <c r="J3" s="44"/>
      <c r="K3" s="44"/>
      <c r="L3" s="44"/>
      <c r="M3" s="44"/>
      <c r="N3" s="44"/>
      <c r="O3" s="44"/>
      <c r="P3" s="44"/>
    </row>
    <row r="4" spans="1:16" ht="81" customHeight="1" x14ac:dyDescent="0.25">
      <c r="A4" s="45" t="s">
        <v>20</v>
      </c>
      <c r="B4" s="28" t="s">
        <v>19</v>
      </c>
      <c r="C4" s="46">
        <v>2</v>
      </c>
      <c r="D4" s="38">
        <f t="shared" si="0"/>
        <v>0</v>
      </c>
      <c r="E4" s="44">
        <v>0</v>
      </c>
      <c r="F4" s="44">
        <v>0</v>
      </c>
      <c r="G4" s="44">
        <v>0</v>
      </c>
      <c r="H4" s="44">
        <v>0</v>
      </c>
      <c r="I4" s="44"/>
      <c r="J4" s="44"/>
      <c r="K4" s="44"/>
      <c r="L4" s="44"/>
      <c r="M4" s="44"/>
      <c r="N4" s="44"/>
      <c r="O4" s="44"/>
      <c r="P4" s="44"/>
    </row>
    <row r="5" spans="1:16" ht="81" customHeight="1" x14ac:dyDescent="0.25">
      <c r="A5" s="43" t="s">
        <v>18</v>
      </c>
      <c r="B5" s="27" t="s">
        <v>27</v>
      </c>
      <c r="C5" s="47">
        <v>1</v>
      </c>
      <c r="D5" s="38">
        <f t="shared" si="0"/>
        <v>0</v>
      </c>
      <c r="E5" s="44">
        <v>0</v>
      </c>
      <c r="F5" s="44">
        <v>0</v>
      </c>
      <c r="G5" s="44">
        <v>0</v>
      </c>
      <c r="H5" s="44">
        <v>0</v>
      </c>
      <c r="I5" s="44"/>
      <c r="J5" s="44"/>
      <c r="K5" s="44"/>
      <c r="L5" s="44"/>
      <c r="M5" s="44"/>
      <c r="N5" s="44"/>
      <c r="O5" s="44"/>
      <c r="P5" s="44"/>
    </row>
    <row r="6" spans="1:16" ht="28.5" customHeight="1" x14ac:dyDescent="0.25">
      <c r="A6" s="69" t="s">
        <v>77</v>
      </c>
      <c r="B6" s="50" t="s">
        <v>78</v>
      </c>
      <c r="C6" s="49">
        <v>3</v>
      </c>
      <c r="D6" s="38">
        <f t="shared" ref="D6:D33" si="1">SUM(E6:O6)</f>
        <v>0</v>
      </c>
      <c r="E6" s="44"/>
      <c r="F6" s="44"/>
      <c r="G6" s="44"/>
      <c r="H6" s="44"/>
      <c r="I6" s="44"/>
      <c r="J6" s="44"/>
      <c r="K6" s="44"/>
      <c r="L6" s="44"/>
      <c r="M6" s="44"/>
      <c r="N6" s="44"/>
      <c r="O6" s="44"/>
      <c r="P6" s="40"/>
    </row>
    <row r="7" spans="1:16" ht="28.5" customHeight="1" x14ac:dyDescent="0.25">
      <c r="A7" s="70"/>
      <c r="B7" s="50" t="s">
        <v>79</v>
      </c>
      <c r="C7" s="49">
        <v>3</v>
      </c>
      <c r="D7" s="38">
        <f t="shared" si="1"/>
        <v>0</v>
      </c>
      <c r="E7" s="44"/>
      <c r="F7" s="44"/>
      <c r="G7" s="44"/>
      <c r="H7" s="44"/>
      <c r="I7" s="44"/>
      <c r="J7" s="44"/>
      <c r="K7" s="44"/>
      <c r="L7" s="44"/>
      <c r="M7" s="44"/>
      <c r="N7" s="44"/>
      <c r="O7" s="44"/>
      <c r="P7" s="40"/>
    </row>
    <row r="8" spans="1:16" ht="28.5" customHeight="1" x14ac:dyDescent="0.25">
      <c r="A8" s="70"/>
      <c r="B8" s="50" t="s">
        <v>80</v>
      </c>
      <c r="C8" s="49">
        <v>64</v>
      </c>
      <c r="D8" s="38">
        <f t="shared" si="1"/>
        <v>20</v>
      </c>
      <c r="E8" s="44"/>
      <c r="F8" s="44">
        <v>4</v>
      </c>
      <c r="G8" s="44">
        <v>6</v>
      </c>
      <c r="H8" s="44">
        <v>6</v>
      </c>
      <c r="I8" s="44">
        <v>2</v>
      </c>
      <c r="J8" s="44">
        <v>2</v>
      </c>
      <c r="K8" s="44"/>
      <c r="L8" s="44"/>
      <c r="M8" s="44"/>
      <c r="N8" s="44"/>
      <c r="O8" s="44"/>
      <c r="P8" s="40"/>
    </row>
    <row r="9" spans="1:16" ht="28.5" customHeight="1" x14ac:dyDescent="0.25">
      <c r="A9" s="70"/>
      <c r="B9" s="50" t="s">
        <v>81</v>
      </c>
      <c r="C9" s="49">
        <v>53</v>
      </c>
      <c r="D9" s="38">
        <f t="shared" si="1"/>
        <v>21</v>
      </c>
      <c r="E9" s="44"/>
      <c r="F9" s="44"/>
      <c r="G9" s="44">
        <v>13</v>
      </c>
      <c r="H9" s="44">
        <v>8</v>
      </c>
      <c r="I9" s="44"/>
      <c r="J9" s="44"/>
      <c r="K9" s="44"/>
      <c r="L9" s="44"/>
      <c r="M9" s="44"/>
      <c r="N9" s="44"/>
      <c r="O9" s="44"/>
      <c r="P9" s="40"/>
    </row>
    <row r="10" spans="1:16" ht="28.5" customHeight="1" x14ac:dyDescent="0.25">
      <c r="A10" s="70"/>
      <c r="B10" s="50" t="s">
        <v>82</v>
      </c>
      <c r="C10" s="49">
        <v>0</v>
      </c>
      <c r="D10" s="38">
        <f t="shared" si="1"/>
        <v>0</v>
      </c>
      <c r="E10" s="44"/>
      <c r="F10" s="44"/>
      <c r="G10" s="44"/>
      <c r="H10" s="44"/>
      <c r="I10" s="44"/>
      <c r="J10" s="44"/>
      <c r="K10" s="44"/>
      <c r="L10" s="44"/>
      <c r="M10" s="44"/>
      <c r="N10" s="44"/>
      <c r="O10" s="44"/>
      <c r="P10" s="40"/>
    </row>
    <row r="11" spans="1:16" ht="28.5" customHeight="1" x14ac:dyDescent="0.25">
      <c r="A11" s="70"/>
      <c r="B11" s="50" t="s">
        <v>83</v>
      </c>
      <c r="C11" s="49">
        <v>11</v>
      </c>
      <c r="D11" s="38">
        <f t="shared" si="1"/>
        <v>0</v>
      </c>
      <c r="E11" s="44"/>
      <c r="F11" s="44"/>
      <c r="G11" s="44"/>
      <c r="H11" s="44"/>
      <c r="I11" s="44"/>
      <c r="J11" s="44"/>
      <c r="K11" s="44"/>
      <c r="L11" s="44"/>
      <c r="M11" s="44"/>
      <c r="N11" s="44"/>
      <c r="O11" s="44"/>
      <c r="P11" s="40"/>
    </row>
    <row r="12" spans="1:16" ht="28.5" customHeight="1" x14ac:dyDescent="0.25">
      <c r="A12" s="70"/>
      <c r="B12" s="50" t="s">
        <v>84</v>
      </c>
      <c r="C12" s="49">
        <v>0</v>
      </c>
      <c r="D12" s="38">
        <f t="shared" si="1"/>
        <v>0</v>
      </c>
      <c r="E12" s="44"/>
      <c r="F12" s="44"/>
      <c r="G12" s="44"/>
      <c r="H12" s="44"/>
      <c r="I12" s="44"/>
      <c r="J12" s="44"/>
      <c r="K12" s="44"/>
      <c r="L12" s="44"/>
      <c r="M12" s="44"/>
      <c r="N12" s="44"/>
      <c r="O12" s="44"/>
      <c r="P12" s="40"/>
    </row>
    <row r="13" spans="1:16" ht="28.5" customHeight="1" x14ac:dyDescent="0.25">
      <c r="A13" s="70"/>
      <c r="B13" s="50" t="s">
        <v>85</v>
      </c>
      <c r="C13" s="49">
        <v>0</v>
      </c>
      <c r="D13" s="38">
        <f t="shared" si="1"/>
        <v>0</v>
      </c>
      <c r="E13" s="44"/>
      <c r="F13" s="44"/>
      <c r="G13" s="44"/>
      <c r="H13" s="44"/>
      <c r="I13" s="44"/>
      <c r="J13" s="44"/>
      <c r="K13" s="44"/>
      <c r="L13" s="44"/>
      <c r="M13" s="44"/>
      <c r="N13" s="44"/>
      <c r="O13" s="44"/>
      <c r="P13" s="40"/>
    </row>
    <row r="14" spans="1:16" ht="28.5" customHeight="1" x14ac:dyDescent="0.25">
      <c r="A14" s="70"/>
      <c r="B14" s="50" t="s">
        <v>86</v>
      </c>
      <c r="C14" s="49">
        <v>0</v>
      </c>
      <c r="D14" s="38">
        <f t="shared" si="1"/>
        <v>0</v>
      </c>
      <c r="E14" s="44"/>
      <c r="F14" s="44"/>
      <c r="G14" s="44"/>
      <c r="H14" s="44"/>
      <c r="I14" s="44"/>
      <c r="J14" s="44"/>
      <c r="K14" s="44"/>
      <c r="L14" s="44"/>
      <c r="M14" s="44"/>
      <c r="N14" s="44"/>
      <c r="O14" s="44"/>
      <c r="P14" s="40"/>
    </row>
    <row r="15" spans="1:16" ht="28.5" customHeight="1" x14ac:dyDescent="0.25">
      <c r="A15" s="70"/>
      <c r="B15" s="50" t="s">
        <v>87</v>
      </c>
      <c r="C15" s="49">
        <v>0</v>
      </c>
      <c r="D15" s="38">
        <f t="shared" si="1"/>
        <v>0</v>
      </c>
      <c r="E15" s="44"/>
      <c r="F15" s="44"/>
      <c r="G15" s="44"/>
      <c r="H15" s="44"/>
      <c r="I15" s="44"/>
      <c r="J15" s="44"/>
      <c r="K15" s="44"/>
      <c r="L15" s="44"/>
      <c r="M15" s="44"/>
      <c r="N15" s="44"/>
      <c r="O15" s="44"/>
      <c r="P15" s="40"/>
    </row>
    <row r="16" spans="1:16" ht="28.5" customHeight="1" x14ac:dyDescent="0.25">
      <c r="A16" s="70"/>
      <c r="B16" s="50" t="s">
        <v>88</v>
      </c>
      <c r="C16" s="49">
        <v>0</v>
      </c>
      <c r="D16" s="38">
        <f t="shared" si="1"/>
        <v>0</v>
      </c>
      <c r="E16" s="44"/>
      <c r="F16" s="44"/>
      <c r="G16" s="44"/>
      <c r="H16" s="44"/>
      <c r="I16" s="44"/>
      <c r="J16" s="44"/>
      <c r="K16" s="44"/>
      <c r="L16" s="44"/>
      <c r="M16" s="44"/>
      <c r="N16" s="44"/>
      <c r="O16" s="44"/>
      <c r="P16" s="40"/>
    </row>
    <row r="17" spans="1:16" ht="28.5" customHeight="1" x14ac:dyDescent="0.25">
      <c r="A17" s="70"/>
      <c r="B17" s="50" t="s">
        <v>89</v>
      </c>
      <c r="C17" s="49">
        <v>0</v>
      </c>
      <c r="D17" s="38">
        <f t="shared" si="1"/>
        <v>0</v>
      </c>
      <c r="E17" s="44"/>
      <c r="F17" s="44"/>
      <c r="G17" s="44"/>
      <c r="H17" s="44"/>
      <c r="I17" s="44"/>
      <c r="J17" s="44"/>
      <c r="K17" s="44"/>
      <c r="L17" s="44"/>
      <c r="M17" s="44"/>
      <c r="N17" s="44"/>
      <c r="O17" s="44"/>
      <c r="P17" s="40"/>
    </row>
    <row r="18" spans="1:16" ht="28.5" customHeight="1" x14ac:dyDescent="0.25">
      <c r="A18" s="70"/>
      <c r="B18" s="50" t="s">
        <v>90</v>
      </c>
      <c r="C18" s="49">
        <v>0</v>
      </c>
      <c r="D18" s="38">
        <f t="shared" si="1"/>
        <v>0</v>
      </c>
      <c r="E18" s="44"/>
      <c r="F18" s="44"/>
      <c r="G18" s="44"/>
      <c r="H18" s="44"/>
      <c r="I18" s="44"/>
      <c r="J18" s="44"/>
      <c r="K18" s="44"/>
      <c r="L18" s="44"/>
      <c r="M18" s="44"/>
      <c r="N18" s="44"/>
      <c r="O18" s="44"/>
      <c r="P18" s="40"/>
    </row>
    <row r="19" spans="1:16" ht="28.5" customHeight="1" x14ac:dyDescent="0.25">
      <c r="A19" s="70"/>
      <c r="B19" s="50" t="s">
        <v>91</v>
      </c>
      <c r="C19" s="49">
        <v>0</v>
      </c>
      <c r="D19" s="38">
        <f t="shared" si="1"/>
        <v>0</v>
      </c>
      <c r="E19" s="44"/>
      <c r="F19" s="44"/>
      <c r="G19" s="44"/>
      <c r="H19" s="44"/>
      <c r="I19" s="44"/>
      <c r="J19" s="44"/>
      <c r="K19" s="44"/>
      <c r="L19" s="44"/>
      <c r="M19" s="44"/>
      <c r="N19" s="44"/>
      <c r="O19" s="44"/>
      <c r="P19" s="40"/>
    </row>
    <row r="20" spans="1:16" ht="28.5" customHeight="1" x14ac:dyDescent="0.25">
      <c r="A20" s="70"/>
      <c r="B20" s="50" t="s">
        <v>92</v>
      </c>
      <c r="C20" s="49">
        <v>108</v>
      </c>
      <c r="D20" s="38">
        <f t="shared" si="1"/>
        <v>29</v>
      </c>
      <c r="E20" s="44">
        <v>5</v>
      </c>
      <c r="F20" s="44"/>
      <c r="G20" s="44">
        <v>5</v>
      </c>
      <c r="H20" s="44">
        <v>10</v>
      </c>
      <c r="I20" s="44">
        <v>9</v>
      </c>
      <c r="J20" s="44"/>
      <c r="K20" s="44"/>
      <c r="L20" s="44"/>
      <c r="M20" s="44"/>
      <c r="N20" s="44"/>
      <c r="O20" s="44"/>
      <c r="P20" s="40"/>
    </row>
    <row r="21" spans="1:16" ht="28.5" customHeight="1" x14ac:dyDescent="0.25">
      <c r="A21" s="70"/>
      <c r="B21" s="50" t="s">
        <v>93</v>
      </c>
      <c r="C21" s="49">
        <v>0</v>
      </c>
      <c r="D21" s="38">
        <f t="shared" si="1"/>
        <v>0</v>
      </c>
      <c r="E21" s="44"/>
      <c r="F21" s="44"/>
      <c r="G21" s="44"/>
      <c r="H21" s="44"/>
      <c r="I21" s="44"/>
      <c r="J21" s="44"/>
      <c r="K21" s="44"/>
      <c r="L21" s="44"/>
      <c r="M21" s="44"/>
      <c r="N21" s="44"/>
      <c r="O21" s="44"/>
      <c r="P21" s="40"/>
    </row>
    <row r="22" spans="1:16" ht="24" customHeight="1" x14ac:dyDescent="0.25">
      <c r="A22" s="70"/>
      <c r="B22" s="51" t="s">
        <v>94</v>
      </c>
      <c r="C22" s="49">
        <v>3</v>
      </c>
      <c r="D22" s="38">
        <f t="shared" si="1"/>
        <v>0</v>
      </c>
      <c r="E22" s="44"/>
      <c r="F22" s="44"/>
      <c r="G22" s="44"/>
      <c r="H22" s="44"/>
      <c r="I22" s="44"/>
      <c r="J22" s="44"/>
      <c r="K22" s="44"/>
      <c r="L22" s="44"/>
      <c r="M22" s="44"/>
      <c r="N22" s="44"/>
      <c r="O22" s="44"/>
      <c r="P22" s="40"/>
    </row>
    <row r="23" spans="1:16" ht="24" customHeight="1" x14ac:dyDescent="0.25">
      <c r="A23" s="70"/>
      <c r="B23" s="51" t="s">
        <v>95</v>
      </c>
      <c r="C23" s="49">
        <v>3</v>
      </c>
      <c r="D23" s="38">
        <f t="shared" si="1"/>
        <v>3</v>
      </c>
      <c r="E23" s="44"/>
      <c r="F23" s="44"/>
      <c r="G23" s="44"/>
      <c r="H23" s="44">
        <v>3</v>
      </c>
      <c r="I23" s="44"/>
      <c r="J23" s="44"/>
      <c r="K23" s="44"/>
      <c r="L23" s="44"/>
      <c r="M23" s="44"/>
      <c r="N23" s="44"/>
      <c r="O23" s="44"/>
      <c r="P23" s="40"/>
    </row>
    <row r="24" spans="1:16" ht="24" customHeight="1" x14ac:dyDescent="0.25">
      <c r="A24" s="70"/>
      <c r="B24" s="51" t="s">
        <v>96</v>
      </c>
      <c r="C24" s="49">
        <v>3</v>
      </c>
      <c r="D24" s="38">
        <f t="shared" si="1"/>
        <v>3</v>
      </c>
      <c r="E24" s="44"/>
      <c r="F24" s="44"/>
      <c r="G24" s="44"/>
      <c r="H24" s="44"/>
      <c r="I24" s="44">
        <v>3</v>
      </c>
      <c r="J24" s="44"/>
      <c r="K24" s="44"/>
      <c r="L24" s="44"/>
      <c r="M24" s="44"/>
      <c r="N24" s="44"/>
      <c r="O24" s="44"/>
      <c r="P24" s="40"/>
    </row>
    <row r="25" spans="1:16" ht="24" customHeight="1" x14ac:dyDescent="0.25">
      <c r="A25" s="70"/>
      <c r="B25" s="51" t="s">
        <v>97</v>
      </c>
      <c r="C25" s="49">
        <v>3</v>
      </c>
      <c r="D25" s="38">
        <f t="shared" si="1"/>
        <v>0</v>
      </c>
      <c r="E25" s="44"/>
      <c r="F25" s="44"/>
      <c r="G25" s="44"/>
      <c r="H25" s="44"/>
      <c r="I25" s="44"/>
      <c r="J25" s="44"/>
      <c r="K25" s="44"/>
      <c r="L25" s="44"/>
      <c r="M25" s="44"/>
      <c r="N25" s="44"/>
      <c r="O25" s="44"/>
      <c r="P25" s="40"/>
    </row>
    <row r="26" spans="1:16" ht="24" customHeight="1" x14ac:dyDescent="0.25">
      <c r="A26" s="70"/>
      <c r="B26" s="51" t="s">
        <v>98</v>
      </c>
      <c r="C26" s="49">
        <v>3</v>
      </c>
      <c r="D26" s="38">
        <f t="shared" si="1"/>
        <v>0</v>
      </c>
      <c r="E26" s="44"/>
      <c r="F26" s="44"/>
      <c r="G26" s="44"/>
      <c r="H26" s="44"/>
      <c r="I26" s="44"/>
      <c r="J26" s="44"/>
      <c r="K26" s="44"/>
      <c r="L26" s="44"/>
      <c r="M26" s="44"/>
      <c r="N26" s="44"/>
      <c r="O26" s="44"/>
      <c r="P26" s="40"/>
    </row>
    <row r="27" spans="1:16" ht="24" customHeight="1" x14ac:dyDescent="0.25">
      <c r="A27" s="70"/>
      <c r="B27" s="51" t="s">
        <v>99</v>
      </c>
      <c r="C27" s="49">
        <v>1</v>
      </c>
      <c r="D27" s="38">
        <f t="shared" si="1"/>
        <v>0</v>
      </c>
      <c r="E27" s="44"/>
      <c r="F27" s="44"/>
      <c r="G27" s="44"/>
      <c r="H27" s="44"/>
      <c r="I27" s="44"/>
      <c r="J27" s="44"/>
      <c r="K27" s="44"/>
      <c r="L27" s="44"/>
      <c r="M27" s="44"/>
      <c r="N27" s="44"/>
      <c r="O27" s="44"/>
      <c r="P27" s="40"/>
    </row>
    <row r="28" spans="1:16" ht="24" customHeight="1" x14ac:dyDescent="0.25">
      <c r="A28" s="70"/>
      <c r="B28" s="51" t="s">
        <v>100</v>
      </c>
      <c r="C28" s="49">
        <v>1</v>
      </c>
      <c r="D28" s="38">
        <f t="shared" si="1"/>
        <v>0</v>
      </c>
      <c r="E28" s="44"/>
      <c r="F28" s="44"/>
      <c r="G28" s="44"/>
      <c r="H28" s="44"/>
      <c r="I28" s="44"/>
      <c r="J28" s="44"/>
      <c r="K28" s="44"/>
      <c r="L28" s="44"/>
      <c r="M28" s="44"/>
      <c r="N28" s="44"/>
      <c r="O28" s="44"/>
      <c r="P28" s="40"/>
    </row>
    <row r="29" spans="1:16" ht="24" customHeight="1" x14ac:dyDescent="0.25">
      <c r="A29" s="70"/>
      <c r="B29" s="51" t="s">
        <v>101</v>
      </c>
      <c r="C29" s="49">
        <v>1</v>
      </c>
      <c r="D29" s="38">
        <f t="shared" si="1"/>
        <v>0</v>
      </c>
      <c r="E29" s="44"/>
      <c r="F29" s="44"/>
      <c r="G29" s="44"/>
      <c r="H29" s="44"/>
      <c r="I29" s="44"/>
      <c r="J29" s="44"/>
      <c r="K29" s="44"/>
      <c r="L29" s="44"/>
      <c r="M29" s="44"/>
      <c r="N29" s="44"/>
      <c r="O29" s="44"/>
      <c r="P29" s="40"/>
    </row>
    <row r="30" spans="1:16" ht="24" customHeight="1" x14ac:dyDescent="0.25">
      <c r="A30" s="70"/>
      <c r="B30" s="51" t="s">
        <v>102</v>
      </c>
      <c r="C30" s="49">
        <v>1</v>
      </c>
      <c r="D30" s="38">
        <f t="shared" si="1"/>
        <v>0</v>
      </c>
      <c r="E30" s="44"/>
      <c r="F30" s="44"/>
      <c r="G30" s="44"/>
      <c r="H30" s="44"/>
      <c r="I30" s="44"/>
      <c r="J30" s="44"/>
      <c r="K30" s="44"/>
      <c r="L30" s="44"/>
      <c r="M30" s="44"/>
      <c r="N30" s="44"/>
      <c r="O30" s="44"/>
      <c r="P30" s="40"/>
    </row>
    <row r="31" spans="1:16" ht="24" customHeight="1" x14ac:dyDescent="0.25">
      <c r="A31" s="70"/>
      <c r="B31" s="51" t="s">
        <v>103</v>
      </c>
      <c r="C31" s="49">
        <v>1</v>
      </c>
      <c r="D31" s="38">
        <f t="shared" si="1"/>
        <v>0</v>
      </c>
      <c r="E31" s="44"/>
      <c r="F31" s="44"/>
      <c r="G31" s="44"/>
      <c r="H31" s="44"/>
      <c r="I31" s="44"/>
      <c r="J31" s="44"/>
      <c r="K31" s="44"/>
      <c r="L31" s="44"/>
      <c r="M31" s="44"/>
      <c r="N31" s="44"/>
      <c r="O31" s="44"/>
      <c r="P31" s="40"/>
    </row>
    <row r="32" spans="1:16" ht="24" customHeight="1" x14ac:dyDescent="0.25">
      <c r="A32" s="70"/>
      <c r="B32" s="51" t="s">
        <v>104</v>
      </c>
      <c r="C32" s="49">
        <v>1</v>
      </c>
      <c r="D32" s="38">
        <f t="shared" si="1"/>
        <v>0</v>
      </c>
      <c r="E32" s="44"/>
      <c r="F32" s="44"/>
      <c r="G32" s="44"/>
      <c r="H32" s="44"/>
      <c r="I32" s="44"/>
      <c r="J32" s="44"/>
      <c r="K32" s="44"/>
      <c r="L32" s="44"/>
      <c r="M32" s="44"/>
      <c r="N32" s="44"/>
      <c r="O32" s="44"/>
      <c r="P32" s="40"/>
    </row>
    <row r="33" spans="1:16" ht="24" customHeight="1" thickBot="1" x14ac:dyDescent="0.3">
      <c r="A33" s="71"/>
      <c r="B33" s="52" t="s">
        <v>105</v>
      </c>
      <c r="C33" s="49">
        <v>1</v>
      </c>
      <c r="D33" s="38">
        <f t="shared" si="1"/>
        <v>0</v>
      </c>
      <c r="E33" s="44"/>
      <c r="F33" s="44"/>
      <c r="G33" s="44"/>
      <c r="H33" s="44"/>
      <c r="I33" s="44"/>
      <c r="J33" s="44"/>
      <c r="K33" s="44"/>
      <c r="L33" s="44"/>
      <c r="M33" s="44"/>
      <c r="N33" s="44"/>
      <c r="O33" s="44"/>
      <c r="P33" s="40"/>
    </row>
    <row r="34" spans="1:16" x14ac:dyDescent="0.25">
      <c r="C34" s="53">
        <f>SUM(C3:C33)</f>
        <v>269</v>
      </c>
      <c r="D34" s="54">
        <f>SUM(D3:D33)</f>
        <v>76</v>
      </c>
    </row>
    <row r="35" spans="1:16" x14ac:dyDescent="0.25">
      <c r="C35" s="13"/>
      <c r="D35" s="55">
        <f>D34/C34</f>
        <v>0.28252788104089221</v>
      </c>
    </row>
  </sheetData>
  <sheetProtection algorithmName="SHA-512" hashValue="ZeEe1k6b7Zv5WRXPsyvRdK6rP+TfkkxtbzoHV9P1MMW0Ypralb98VePAnSuUl2oU/jQpv6jCZnaIqgxYsVYVKg==" saltValue="PA7AxgMkNj8hkwsu6FKsdw==" spinCount="100000" sheet="1" objects="1" scenarios="1" autoFilter="0"/>
  <mergeCells count="2">
    <mergeCell ref="A1:A2"/>
    <mergeCell ref="A6:A33"/>
  </mergeCells>
  <conditionalFormatting sqref="C3:D3 D4:D5">
    <cfRule type="dataBar" priority="51">
      <dataBar>
        <cfvo type="min"/>
        <cfvo type="max"/>
        <color rgb="FF008AEF"/>
      </dataBar>
      <extLst>
        <ext xmlns:x14="http://schemas.microsoft.com/office/spreadsheetml/2009/9/main" uri="{B025F937-C7B1-47D3-B67F-A62EFF666E3E}">
          <x14:id>{E08B70E1-780B-4CCB-81F7-05C77125ADC0}</x14:id>
        </ext>
      </extLst>
    </cfRule>
  </conditionalFormatting>
  <conditionalFormatting sqref="C4:D4">
    <cfRule type="dataBar" priority="4">
      <dataBar>
        <cfvo type="min"/>
        <cfvo type="max"/>
        <color rgb="FF008AEF"/>
      </dataBar>
      <extLst>
        <ext xmlns:x14="http://schemas.microsoft.com/office/spreadsheetml/2009/9/main" uri="{B025F937-C7B1-47D3-B67F-A62EFF666E3E}">
          <x14:id>{F4F80563-0F26-4F54-8D23-FCC7D237F62A}</x14:id>
        </ext>
      </extLst>
    </cfRule>
  </conditionalFormatting>
  <conditionalFormatting sqref="C5:D5">
    <cfRule type="dataBar" priority="5">
      <dataBar>
        <cfvo type="min"/>
        <cfvo type="max"/>
        <color rgb="FF008AEF"/>
      </dataBar>
      <extLst>
        <ext xmlns:x14="http://schemas.microsoft.com/office/spreadsheetml/2009/9/main" uri="{B025F937-C7B1-47D3-B67F-A62EFF666E3E}">
          <x14:id>{D0F7C611-311F-4DFE-A14B-64F493FB728D}</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{87C93807-FD0C-45FF-977B-60776FC8A12F}</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{450E8785-C4E8-4076-828A-204F61818445}</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{B73159EF-7CBF-4BD9-86AA-FCA61560E27D}</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{5989F819-5533-4B21-8407-814854EFBB05}</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{42A77645-54CB-426C-BD51-623ED595C41C}</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{6EB80B36-02F9-4296-930E-5FE80B3BA8B8}</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{48DD77B4-4377-4A07-937A-6F907D69D3CA}</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{88F660BC-FB86-44DE-9D69-C7187C01C207}</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{6E82F159-4E29-46A0-AC01-182167F49D7B}</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{5C832CED-5A77-431D-B789-E0D921473ACC}</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{36E5C436-6726-4E7D-9CC3-D78E46AF5634}</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{02A2B01E-6343-4450-8A09-FA1B5998B404}</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{E2931CFC-E8E4-4457-915A-18C88AD8476D}</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{968E3785-617A-47B5-BC1F-B1EDB2F1E11D}</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{3CA748DB-A958-44A6-9FE5-F972F719C137}</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{1CF996C5-FC94-4DB5-BED2-E9A09F9140DC}</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{CFC19F94-A969-4FAF-A4F3-53626EED1761}</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{2AA0E3A0-88B7-41C3-B6C4-16938A87C32C}</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{97D31B65-E598-4AD0-96CF-8304DB83F67D}</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{27951D22-0304-42CB-9BEC-A795E095F859}</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{152F20A0-4875-4859-9219-B40D09DC949D}</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{981B64CA-1816-4ED0-9D29-AC9405DD101E}</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{34F9DC7B-039D-421E-A519-4826AD755022}</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{4B913261-8366-4437-9333-04C243AACA1B}</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{5662C08C-E459-49A7-A408-4CEC65E59E3B}</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{70D3B63F-B254-4293-8EE4-AAFD3C1269D7}</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{0C727204-40C7-4B95-819C-7CC9100F90C0}</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{895CD083-F825-45F8-B5CC-42E31BBFEA80}</x14:id>
        </ext>
      </extLst>
    </cfRule>
  </conditionalFormatting>
  <conditionalFormatting sqref="E3:F29 E30:O33">
    <cfRule type="cellIs" dxfId="9" priority="1" operator="greaterThan">
      <formula>0</formula>
    </cfRule>
  </conditionalFormatting>
  <conditionalFormatting sqref="G6:O29">
    <cfRule type="cellIs" dxfId="8" priority="11" operator="greaterThan">
      <formula>0</formula>
    </cfRule>
  </conditionalFormatting>
  <conditionalFormatting sqref="G3:P5">
    <cfRule type="cellIs" dxfId="7"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08B70E1-780B-4CCB-81F7-05C77125ADC0}">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F4F80563-0F26-4F54-8D23-FCC7D237F62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0F7C611-311F-4DFE-A14B-64F493FB728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7C93807-FD0C-45FF-977B-60776FC8A12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450E8785-C4E8-4076-828A-204F6181844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73159EF-7CBF-4BD9-86AA-FCA61560E27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989F819-5533-4B21-8407-814854EFBB0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2A77645-54CB-426C-BD51-623ED595C41C}">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EB80B36-02F9-4296-930E-5FE80B3BA8B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8DD77B4-4377-4A07-937A-6F907D69D3C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8F660BC-FB86-44DE-9D69-C7187C01C207}">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E82F159-4E29-46A0-AC01-182167F49D7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5C832CED-5A77-431D-B789-E0D921473AC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6E5C436-6726-4E7D-9CC3-D78E46AF563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2A2B01E-6343-4450-8A09-FA1B5998B40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2931CFC-E8E4-4457-915A-18C88AD8476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968E3785-617A-47B5-BC1F-B1EDB2F1E11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CA748DB-A958-44A6-9FE5-F972F719C13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1CF996C5-FC94-4DB5-BED2-E9A09F9140D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FC19F94-A969-4FAF-A4F3-53626EED176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AA0E3A0-88B7-41C3-B6C4-16938A87C32C}">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97D31B65-E598-4AD0-96CF-8304DB83F67D}">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7951D22-0304-42CB-9BEC-A795E095F85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152F20A0-4875-4859-9219-B40D09DC949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81B64CA-1816-4ED0-9D29-AC9405DD101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4F9DC7B-039D-421E-A519-4826AD75502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B913261-8366-4437-9333-04C243AACA1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662C08C-E459-49A7-A408-4CEC65E59E3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70D3B63F-B254-4293-8EE4-AAFD3C1269D7}">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0C727204-40C7-4B95-819C-7CC9100F90C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95CD083-F825-45F8-B5CC-42E31BBFEA80}">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P37"/>
  <sheetViews>
    <sheetView zoomScale="80" zoomScaleNormal="80" workbookViewId="0">
      <selection activeCell="L25" sqref="L25"/>
    </sheetView>
  </sheetViews>
  <sheetFormatPr baseColWidth="10" defaultColWidth="11.42578125" defaultRowHeight="15" x14ac:dyDescent="0.25"/>
  <cols>
    <col min="1" max="1" width="10.5703125" style="2" customWidth="1"/>
    <col min="2" max="2" width="89" style="2" customWidth="1"/>
    <col min="3" max="3" width="11.42578125" style="2"/>
    <col min="4" max="4" width="22.42578125" style="2" customWidth="1"/>
    <col min="5" max="9" width="17.140625" style="2" customWidth="1"/>
    <col min="10" max="16384" width="11.42578125" style="2"/>
  </cols>
  <sheetData>
    <row r="1" spans="1:16" ht="61.5" customHeight="1" x14ac:dyDescent="0.25">
      <c r="A1" s="67" t="s">
        <v>1</v>
      </c>
      <c r="B1" s="39" t="s">
        <v>48</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x14ac:dyDescent="0.25">
      <c r="A3" s="43" t="s">
        <v>18</v>
      </c>
      <c r="B3" s="29" t="s">
        <v>17</v>
      </c>
      <c r="C3" s="7">
        <v>2</v>
      </c>
      <c r="D3" s="38">
        <f t="shared" ref="D3:D7" si="0">SUM(E3:P3)</f>
        <v>1</v>
      </c>
      <c r="E3" s="44"/>
      <c r="F3" s="44"/>
      <c r="G3" s="44"/>
      <c r="H3" s="44"/>
      <c r="I3" s="44"/>
      <c r="J3" s="44">
        <v>1</v>
      </c>
      <c r="K3" s="44"/>
      <c r="L3" s="44"/>
      <c r="M3" s="44"/>
      <c r="N3" s="44"/>
      <c r="O3" s="44"/>
      <c r="P3" s="44"/>
    </row>
    <row r="4" spans="1:16" ht="81" customHeight="1" x14ac:dyDescent="0.25">
      <c r="A4" s="45" t="s">
        <v>20</v>
      </c>
      <c r="B4" s="30" t="s">
        <v>19</v>
      </c>
      <c r="C4" s="46">
        <v>2</v>
      </c>
      <c r="D4" s="38">
        <f t="shared" si="0"/>
        <v>0</v>
      </c>
      <c r="E4" s="44">
        <v>0</v>
      </c>
      <c r="F4" s="44">
        <v>0</v>
      </c>
      <c r="G4" s="44">
        <v>0</v>
      </c>
      <c r="H4" s="44">
        <v>0</v>
      </c>
      <c r="I4" s="44"/>
      <c r="J4" s="44"/>
      <c r="K4" s="44"/>
      <c r="L4" s="44"/>
      <c r="M4" s="44"/>
      <c r="N4" s="44"/>
      <c r="O4" s="44"/>
      <c r="P4" s="44"/>
    </row>
    <row r="5" spans="1:16" ht="81" customHeight="1" x14ac:dyDescent="0.25">
      <c r="A5" s="43" t="s">
        <v>18</v>
      </c>
      <c r="B5" s="29" t="s">
        <v>37</v>
      </c>
      <c r="C5" s="47">
        <v>1</v>
      </c>
      <c r="D5" s="38">
        <f t="shared" si="0"/>
        <v>0</v>
      </c>
      <c r="E5" s="44"/>
      <c r="F5" s="44"/>
      <c r="G5" s="44"/>
      <c r="H5" s="44"/>
      <c r="I5" s="44"/>
      <c r="J5" s="44"/>
      <c r="K5" s="44"/>
      <c r="L5" s="44"/>
      <c r="M5" s="44"/>
      <c r="N5" s="44"/>
      <c r="O5" s="44"/>
      <c r="P5" s="44"/>
    </row>
    <row r="6" spans="1:16" ht="81" customHeight="1" x14ac:dyDescent="0.25">
      <c r="A6" s="43" t="s">
        <v>18</v>
      </c>
      <c r="B6" s="29" t="s">
        <v>38</v>
      </c>
      <c r="C6" s="49">
        <v>2</v>
      </c>
      <c r="D6" s="38">
        <f t="shared" si="0"/>
        <v>0</v>
      </c>
      <c r="E6" s="44"/>
      <c r="F6" s="44"/>
      <c r="G6" s="44"/>
      <c r="H6" s="44"/>
      <c r="I6" s="44"/>
      <c r="J6" s="44"/>
      <c r="K6" s="44"/>
      <c r="L6" s="44"/>
      <c r="M6" s="44"/>
      <c r="N6" s="44"/>
      <c r="O6" s="44"/>
      <c r="P6" s="44"/>
    </row>
    <row r="7" spans="1:16" ht="81" customHeight="1" x14ac:dyDescent="0.25">
      <c r="A7" s="43" t="s">
        <v>18</v>
      </c>
      <c r="B7" s="29" t="s">
        <v>39</v>
      </c>
      <c r="C7" s="49">
        <v>2</v>
      </c>
      <c r="D7" s="38">
        <f t="shared" si="0"/>
        <v>1</v>
      </c>
      <c r="E7" s="44">
        <v>1</v>
      </c>
      <c r="G7" s="44"/>
      <c r="H7" s="44"/>
      <c r="I7" s="44"/>
      <c r="J7" s="44"/>
      <c r="K7" s="44"/>
      <c r="L7" s="44"/>
      <c r="M7" s="44"/>
      <c r="N7" s="44"/>
      <c r="O7" s="44"/>
      <c r="P7" s="44"/>
    </row>
    <row r="8" spans="1:16" ht="28.5" customHeight="1" x14ac:dyDescent="0.25">
      <c r="A8" s="69" t="s">
        <v>77</v>
      </c>
      <c r="B8" s="50" t="s">
        <v>78</v>
      </c>
      <c r="C8" s="49">
        <v>3</v>
      </c>
      <c r="D8" s="38">
        <f t="shared" ref="D8:D35" si="1">SUM(E8:O8)</f>
        <v>0</v>
      </c>
      <c r="E8" s="44"/>
      <c r="F8" s="44"/>
      <c r="G8" s="44"/>
      <c r="H8" s="44"/>
      <c r="I8" s="44"/>
      <c r="J8" s="44"/>
      <c r="K8" s="44"/>
      <c r="L8" s="44"/>
      <c r="M8" s="44"/>
      <c r="N8" s="44"/>
      <c r="O8" s="44"/>
      <c r="P8" s="40"/>
    </row>
    <row r="9" spans="1:16" ht="28.5" customHeight="1" x14ac:dyDescent="0.25">
      <c r="A9" s="70"/>
      <c r="B9" s="50" t="s">
        <v>79</v>
      </c>
      <c r="C9" s="49">
        <v>1</v>
      </c>
      <c r="D9" s="38">
        <f t="shared" si="1"/>
        <v>0</v>
      </c>
      <c r="E9" s="44"/>
      <c r="F9" s="44"/>
      <c r="G9" s="44"/>
      <c r="H9" s="44"/>
      <c r="I9" s="44"/>
      <c r="J9" s="44"/>
      <c r="K9" s="44"/>
      <c r="L9" s="44"/>
      <c r="M9" s="44"/>
      <c r="N9" s="44"/>
      <c r="O9" s="44"/>
      <c r="P9" s="40"/>
    </row>
    <row r="10" spans="1:16" ht="28.5" customHeight="1" x14ac:dyDescent="0.25">
      <c r="A10" s="70"/>
      <c r="B10" s="50" t="s">
        <v>80</v>
      </c>
      <c r="C10" s="49">
        <v>48</v>
      </c>
      <c r="D10" s="38">
        <f t="shared" si="1"/>
        <v>21</v>
      </c>
      <c r="E10" s="44">
        <v>3</v>
      </c>
      <c r="F10" s="44">
        <v>5</v>
      </c>
      <c r="G10" s="44">
        <v>4</v>
      </c>
      <c r="H10" s="44">
        <v>4</v>
      </c>
      <c r="I10" s="44">
        <v>4</v>
      </c>
      <c r="J10" s="44">
        <v>1</v>
      </c>
      <c r="K10" s="44"/>
      <c r="L10" s="44"/>
      <c r="M10" s="44"/>
      <c r="N10" s="44"/>
      <c r="O10" s="44"/>
      <c r="P10" s="40"/>
    </row>
    <row r="11" spans="1:16" ht="28.5" customHeight="1" x14ac:dyDescent="0.25">
      <c r="A11" s="70"/>
      <c r="B11" s="50" t="s">
        <v>81</v>
      </c>
      <c r="C11" s="49">
        <v>36</v>
      </c>
      <c r="D11" s="38">
        <f t="shared" si="1"/>
        <v>43</v>
      </c>
      <c r="E11" s="44">
        <v>10</v>
      </c>
      <c r="F11" s="44"/>
      <c r="G11" s="44">
        <v>10</v>
      </c>
      <c r="H11" s="44">
        <v>23</v>
      </c>
      <c r="I11" s="44"/>
      <c r="J11" s="44"/>
      <c r="K11" s="44"/>
      <c r="L11" s="44"/>
      <c r="M11" s="44"/>
      <c r="N11" s="44"/>
      <c r="O11" s="44"/>
      <c r="P11" s="40"/>
    </row>
    <row r="12" spans="1:16" ht="28.5" customHeight="1" x14ac:dyDescent="0.25">
      <c r="A12" s="70"/>
      <c r="B12" s="50" t="s">
        <v>82</v>
      </c>
      <c r="C12" s="49">
        <v>0</v>
      </c>
      <c r="D12" s="38">
        <f t="shared" si="1"/>
        <v>0</v>
      </c>
      <c r="E12" s="44"/>
      <c r="F12" s="44"/>
      <c r="G12" s="44"/>
      <c r="H12" s="44"/>
      <c r="I12" s="44"/>
      <c r="J12" s="44"/>
      <c r="K12" s="44"/>
      <c r="L12" s="44"/>
      <c r="M12" s="44"/>
      <c r="N12" s="44"/>
      <c r="O12" s="44"/>
      <c r="P12" s="40"/>
    </row>
    <row r="13" spans="1:16" ht="28.5" customHeight="1" x14ac:dyDescent="0.25">
      <c r="A13" s="70"/>
      <c r="B13" s="50" t="s">
        <v>83</v>
      </c>
      <c r="C13" s="49">
        <v>0</v>
      </c>
      <c r="D13" s="38">
        <f t="shared" si="1"/>
        <v>0</v>
      </c>
      <c r="E13" s="44"/>
      <c r="F13" s="44"/>
      <c r="G13" s="44"/>
      <c r="H13" s="44"/>
      <c r="I13" s="44"/>
      <c r="J13" s="44"/>
      <c r="K13" s="44"/>
      <c r="L13" s="44"/>
      <c r="M13" s="44"/>
      <c r="N13" s="44"/>
      <c r="O13" s="44"/>
      <c r="P13" s="40"/>
    </row>
    <row r="14" spans="1:16" ht="28.5" customHeight="1" x14ac:dyDescent="0.25">
      <c r="A14" s="70"/>
      <c r="B14" s="50" t="s">
        <v>84</v>
      </c>
      <c r="C14" s="49">
        <v>0</v>
      </c>
      <c r="D14" s="38">
        <f t="shared" si="1"/>
        <v>0</v>
      </c>
      <c r="E14" s="44"/>
      <c r="F14" s="44"/>
      <c r="G14" s="44"/>
      <c r="H14" s="44"/>
      <c r="I14" s="44"/>
      <c r="J14" s="44"/>
      <c r="K14" s="44"/>
      <c r="L14" s="44"/>
      <c r="M14" s="44"/>
      <c r="N14" s="44"/>
      <c r="O14" s="44"/>
      <c r="P14" s="40"/>
    </row>
    <row r="15" spans="1:16" ht="28.5" customHeight="1" x14ac:dyDescent="0.25">
      <c r="A15" s="70"/>
      <c r="B15" s="50" t="s">
        <v>85</v>
      </c>
      <c r="C15" s="49">
        <v>0</v>
      </c>
      <c r="D15" s="38">
        <f t="shared" si="1"/>
        <v>0</v>
      </c>
      <c r="E15" s="44"/>
      <c r="F15" s="44"/>
      <c r="G15" s="44"/>
      <c r="H15" s="44"/>
      <c r="I15" s="44"/>
      <c r="J15" s="44"/>
      <c r="K15" s="44"/>
      <c r="L15" s="44"/>
      <c r="M15" s="44"/>
      <c r="N15" s="44"/>
      <c r="O15" s="44"/>
      <c r="P15" s="40"/>
    </row>
    <row r="16" spans="1:16" ht="28.5" customHeight="1" x14ac:dyDescent="0.25">
      <c r="A16" s="70"/>
      <c r="B16" s="50" t="s">
        <v>86</v>
      </c>
      <c r="C16" s="49">
        <v>0</v>
      </c>
      <c r="D16" s="38">
        <f t="shared" si="1"/>
        <v>0</v>
      </c>
      <c r="E16" s="44"/>
      <c r="F16" s="44"/>
      <c r="G16" s="44"/>
      <c r="H16" s="44"/>
      <c r="I16" s="44"/>
      <c r="J16" s="44"/>
      <c r="K16" s="44"/>
      <c r="L16" s="44"/>
      <c r="M16" s="44"/>
      <c r="N16" s="44"/>
      <c r="O16" s="44"/>
      <c r="P16" s="40"/>
    </row>
    <row r="17" spans="1:16" ht="28.5" customHeight="1" x14ac:dyDescent="0.25">
      <c r="A17" s="70"/>
      <c r="B17" s="50" t="s">
        <v>87</v>
      </c>
      <c r="C17" s="49">
        <v>0</v>
      </c>
      <c r="D17" s="38">
        <f t="shared" si="1"/>
        <v>0</v>
      </c>
      <c r="E17" s="44"/>
      <c r="F17" s="44"/>
      <c r="G17" s="44"/>
      <c r="H17" s="44"/>
      <c r="I17" s="44"/>
      <c r="J17" s="44"/>
      <c r="K17" s="44"/>
      <c r="L17" s="44"/>
      <c r="M17" s="44"/>
      <c r="N17" s="44"/>
      <c r="O17" s="44"/>
      <c r="P17" s="40"/>
    </row>
    <row r="18" spans="1:16" ht="28.5" customHeight="1" x14ac:dyDescent="0.25">
      <c r="A18" s="70"/>
      <c r="B18" s="50" t="s">
        <v>88</v>
      </c>
      <c r="C18" s="49">
        <v>0</v>
      </c>
      <c r="D18" s="38">
        <f t="shared" si="1"/>
        <v>0</v>
      </c>
      <c r="E18" s="44"/>
      <c r="F18" s="44"/>
      <c r="G18" s="44"/>
      <c r="H18" s="44"/>
      <c r="I18" s="44"/>
      <c r="J18" s="44"/>
      <c r="K18" s="44"/>
      <c r="L18" s="44"/>
      <c r="M18" s="44"/>
      <c r="N18" s="44"/>
      <c r="O18" s="44"/>
      <c r="P18" s="40"/>
    </row>
    <row r="19" spans="1:16" ht="28.5" customHeight="1" x14ac:dyDescent="0.25">
      <c r="A19" s="70"/>
      <c r="B19" s="50" t="s">
        <v>89</v>
      </c>
      <c r="C19" s="49">
        <v>0</v>
      </c>
      <c r="D19" s="38">
        <f t="shared" si="1"/>
        <v>0</v>
      </c>
      <c r="E19" s="44"/>
      <c r="F19" s="44"/>
      <c r="G19" s="44"/>
      <c r="H19" s="44"/>
      <c r="I19" s="44"/>
      <c r="J19" s="44"/>
      <c r="K19" s="44"/>
      <c r="L19" s="44"/>
      <c r="M19" s="44"/>
      <c r="N19" s="44"/>
      <c r="O19" s="44"/>
      <c r="P19" s="40"/>
    </row>
    <row r="20" spans="1:16" ht="28.5" customHeight="1" x14ac:dyDescent="0.25">
      <c r="A20" s="70"/>
      <c r="B20" s="50" t="s">
        <v>90</v>
      </c>
      <c r="C20" s="49">
        <v>0</v>
      </c>
      <c r="D20" s="38">
        <f t="shared" si="1"/>
        <v>0</v>
      </c>
      <c r="E20" s="44"/>
      <c r="F20" s="44"/>
      <c r="G20" s="44"/>
      <c r="H20" s="44"/>
      <c r="I20" s="44"/>
      <c r="J20" s="44"/>
      <c r="K20" s="44"/>
      <c r="L20" s="44"/>
      <c r="M20" s="44"/>
      <c r="N20" s="44"/>
      <c r="O20" s="44"/>
      <c r="P20" s="40"/>
    </row>
    <row r="21" spans="1:16" ht="28.5" customHeight="1" x14ac:dyDescent="0.25">
      <c r="A21" s="70"/>
      <c r="B21" s="50" t="s">
        <v>91</v>
      </c>
      <c r="C21" s="49">
        <v>0</v>
      </c>
      <c r="D21" s="38">
        <f t="shared" si="1"/>
        <v>0</v>
      </c>
      <c r="E21" s="44"/>
      <c r="F21" s="44"/>
      <c r="G21" s="44"/>
      <c r="H21" s="44"/>
      <c r="I21" s="44"/>
      <c r="J21" s="44"/>
      <c r="K21" s="44"/>
      <c r="L21" s="44"/>
      <c r="M21" s="44"/>
      <c r="N21" s="44"/>
      <c r="O21" s="44"/>
      <c r="P21" s="40"/>
    </row>
    <row r="22" spans="1:16" ht="28.5" customHeight="1" x14ac:dyDescent="0.25">
      <c r="A22" s="70"/>
      <c r="B22" s="50" t="s">
        <v>92</v>
      </c>
      <c r="C22" s="49">
        <v>160</v>
      </c>
      <c r="D22" s="38">
        <f t="shared" si="1"/>
        <v>61</v>
      </c>
      <c r="E22" s="44">
        <v>10</v>
      </c>
      <c r="F22" s="44">
        <v>15</v>
      </c>
      <c r="G22" s="44">
        <v>7</v>
      </c>
      <c r="H22" s="44">
        <v>11</v>
      </c>
      <c r="I22" s="44">
        <v>12</v>
      </c>
      <c r="J22" s="44">
        <v>6</v>
      </c>
      <c r="K22" s="44"/>
      <c r="L22" s="44"/>
      <c r="M22" s="44"/>
      <c r="N22" s="44"/>
      <c r="O22" s="44"/>
      <c r="P22" s="40"/>
    </row>
    <row r="23" spans="1:16" ht="28.5" customHeight="1" x14ac:dyDescent="0.25">
      <c r="A23" s="70"/>
      <c r="B23" s="50" t="s">
        <v>93</v>
      </c>
      <c r="C23" s="49">
        <v>0</v>
      </c>
      <c r="D23" s="38">
        <f t="shared" si="1"/>
        <v>0</v>
      </c>
      <c r="E23" s="44"/>
      <c r="F23" s="44"/>
      <c r="G23" s="44"/>
      <c r="H23" s="44"/>
      <c r="I23" s="44"/>
      <c r="J23" s="44"/>
      <c r="K23" s="44"/>
      <c r="L23" s="44"/>
      <c r="M23" s="44"/>
      <c r="N23" s="44"/>
      <c r="O23" s="44"/>
      <c r="P23" s="40"/>
    </row>
    <row r="24" spans="1:16" ht="24" customHeight="1" x14ac:dyDescent="0.25">
      <c r="A24" s="70"/>
      <c r="B24" s="51" t="s">
        <v>94</v>
      </c>
      <c r="C24" s="49">
        <v>6</v>
      </c>
      <c r="D24" s="38">
        <f t="shared" si="1"/>
        <v>6</v>
      </c>
      <c r="E24" s="44"/>
      <c r="F24" s="44">
        <v>2</v>
      </c>
      <c r="G24" s="44">
        <v>4</v>
      </c>
      <c r="H24" s="44"/>
      <c r="I24" s="44"/>
      <c r="J24" s="44"/>
      <c r="K24" s="44"/>
      <c r="L24" s="44"/>
      <c r="M24" s="44"/>
      <c r="N24" s="44"/>
      <c r="O24" s="44"/>
      <c r="P24" s="40"/>
    </row>
    <row r="25" spans="1:16" ht="24" customHeight="1" x14ac:dyDescent="0.25">
      <c r="A25" s="70"/>
      <c r="B25" s="51" t="s">
        <v>95</v>
      </c>
      <c r="C25" s="49">
        <v>6</v>
      </c>
      <c r="D25" s="38">
        <f t="shared" si="1"/>
        <v>6</v>
      </c>
      <c r="E25" s="44"/>
      <c r="F25" s="44"/>
      <c r="G25" s="44"/>
      <c r="H25" s="44">
        <v>6</v>
      </c>
      <c r="I25" s="44"/>
      <c r="J25" s="44"/>
      <c r="K25" s="44"/>
      <c r="L25" s="44"/>
      <c r="M25" s="44"/>
      <c r="N25" s="44"/>
      <c r="O25" s="44"/>
      <c r="P25" s="40"/>
    </row>
    <row r="26" spans="1:16" ht="24" customHeight="1" x14ac:dyDescent="0.25">
      <c r="A26" s="70"/>
      <c r="B26" s="51" t="s">
        <v>96</v>
      </c>
      <c r="C26" s="49">
        <v>6</v>
      </c>
      <c r="D26" s="38">
        <f t="shared" si="1"/>
        <v>6</v>
      </c>
      <c r="E26" s="44"/>
      <c r="F26" s="44"/>
      <c r="G26" s="44"/>
      <c r="H26" s="44"/>
      <c r="I26" s="44">
        <v>6</v>
      </c>
      <c r="J26" s="44"/>
      <c r="K26" s="44"/>
      <c r="L26" s="44"/>
      <c r="M26" s="44"/>
      <c r="N26" s="44"/>
      <c r="O26" s="44"/>
      <c r="P26" s="40"/>
    </row>
    <row r="27" spans="1:16" ht="24" customHeight="1" x14ac:dyDescent="0.25">
      <c r="A27" s="70"/>
      <c r="B27" s="51" t="s">
        <v>97</v>
      </c>
      <c r="C27" s="49">
        <v>6</v>
      </c>
      <c r="D27" s="38">
        <f t="shared" si="1"/>
        <v>1</v>
      </c>
      <c r="E27" s="44"/>
      <c r="F27" s="44"/>
      <c r="G27" s="44"/>
      <c r="H27" s="44"/>
      <c r="I27" s="44"/>
      <c r="J27" s="44">
        <v>1</v>
      </c>
      <c r="K27" s="44"/>
      <c r="L27" s="44"/>
      <c r="M27" s="44"/>
      <c r="N27" s="44"/>
      <c r="O27" s="44"/>
      <c r="P27" s="40"/>
    </row>
    <row r="28" spans="1:16" ht="24" customHeight="1" x14ac:dyDescent="0.25">
      <c r="A28" s="70"/>
      <c r="B28" s="51" t="s">
        <v>98</v>
      </c>
      <c r="C28" s="49">
        <v>6</v>
      </c>
      <c r="D28" s="38">
        <f t="shared" si="1"/>
        <v>0</v>
      </c>
      <c r="E28" s="44"/>
      <c r="F28" s="44"/>
      <c r="G28" s="44"/>
      <c r="H28" s="44"/>
      <c r="I28" s="44"/>
      <c r="J28" s="44"/>
      <c r="K28" s="44"/>
      <c r="L28" s="44"/>
      <c r="M28" s="44"/>
      <c r="N28" s="44"/>
      <c r="O28" s="44"/>
      <c r="P28" s="40"/>
    </row>
    <row r="29" spans="1:16" ht="24" customHeight="1" x14ac:dyDescent="0.25">
      <c r="A29" s="70"/>
      <c r="B29" s="51" t="s">
        <v>99</v>
      </c>
      <c r="C29" s="49">
        <v>1</v>
      </c>
      <c r="D29" s="38">
        <f t="shared" si="1"/>
        <v>0</v>
      </c>
      <c r="E29" s="44"/>
      <c r="F29" s="44"/>
      <c r="G29" s="44"/>
      <c r="H29" s="44"/>
      <c r="I29" s="44"/>
      <c r="J29" s="44"/>
      <c r="K29" s="44"/>
      <c r="L29" s="44"/>
      <c r="M29" s="44"/>
      <c r="N29" s="44"/>
      <c r="O29" s="44"/>
      <c r="P29" s="40"/>
    </row>
    <row r="30" spans="1:16" ht="24" customHeight="1" x14ac:dyDescent="0.25">
      <c r="A30" s="70"/>
      <c r="B30" s="51" t="s">
        <v>100</v>
      </c>
      <c r="C30" s="49">
        <v>1</v>
      </c>
      <c r="D30" s="38">
        <f t="shared" si="1"/>
        <v>0</v>
      </c>
      <c r="E30" s="44"/>
      <c r="F30" s="44"/>
      <c r="G30" s="44"/>
      <c r="H30" s="44"/>
      <c r="I30" s="44"/>
      <c r="J30" s="44"/>
      <c r="K30" s="44"/>
      <c r="L30" s="44"/>
      <c r="M30" s="44"/>
      <c r="N30" s="44"/>
      <c r="O30" s="44"/>
      <c r="P30" s="40"/>
    </row>
    <row r="31" spans="1:16" ht="24" customHeight="1" x14ac:dyDescent="0.25">
      <c r="A31" s="70"/>
      <c r="B31" s="51" t="s">
        <v>101</v>
      </c>
      <c r="C31" s="49">
        <v>1</v>
      </c>
      <c r="D31" s="38">
        <f t="shared" si="1"/>
        <v>0</v>
      </c>
      <c r="E31" s="44"/>
      <c r="F31" s="44"/>
      <c r="G31" s="44"/>
      <c r="H31" s="44"/>
      <c r="I31" s="44"/>
      <c r="J31" s="44"/>
      <c r="K31" s="44"/>
      <c r="L31" s="44"/>
      <c r="M31" s="44"/>
      <c r="N31" s="44"/>
      <c r="O31" s="44"/>
      <c r="P31" s="40"/>
    </row>
    <row r="32" spans="1:16" ht="24" customHeight="1" x14ac:dyDescent="0.25">
      <c r="A32" s="70"/>
      <c r="B32" s="51" t="s">
        <v>102</v>
      </c>
      <c r="C32" s="49">
        <v>1</v>
      </c>
      <c r="D32" s="38">
        <f t="shared" si="1"/>
        <v>0</v>
      </c>
      <c r="E32" s="44"/>
      <c r="F32" s="44"/>
      <c r="G32" s="44"/>
      <c r="H32" s="44"/>
      <c r="I32" s="44"/>
      <c r="J32" s="44"/>
      <c r="K32" s="44"/>
      <c r="L32" s="44"/>
      <c r="M32" s="44"/>
      <c r="N32" s="44"/>
      <c r="O32" s="44"/>
      <c r="P32" s="40"/>
    </row>
    <row r="33" spans="1:16" ht="24" customHeight="1" x14ac:dyDescent="0.25">
      <c r="A33" s="70"/>
      <c r="B33" s="51" t="s">
        <v>103</v>
      </c>
      <c r="C33" s="49">
        <v>1</v>
      </c>
      <c r="D33" s="38">
        <f t="shared" si="1"/>
        <v>0</v>
      </c>
      <c r="E33" s="44"/>
      <c r="F33" s="44"/>
      <c r="G33" s="44"/>
      <c r="H33" s="44"/>
      <c r="I33" s="44"/>
      <c r="J33" s="44"/>
      <c r="K33" s="44"/>
      <c r="L33" s="44"/>
      <c r="M33" s="44"/>
      <c r="N33" s="44"/>
      <c r="O33" s="44"/>
      <c r="P33" s="40"/>
    </row>
    <row r="34" spans="1:16" ht="24" customHeight="1" x14ac:dyDescent="0.25">
      <c r="A34" s="70"/>
      <c r="B34" s="51" t="s">
        <v>104</v>
      </c>
      <c r="C34" s="49">
        <v>1</v>
      </c>
      <c r="D34" s="38">
        <f t="shared" si="1"/>
        <v>0</v>
      </c>
      <c r="E34" s="44"/>
      <c r="F34" s="44"/>
      <c r="G34" s="44"/>
      <c r="H34" s="44"/>
      <c r="I34" s="44"/>
      <c r="J34" s="44"/>
      <c r="K34" s="44"/>
      <c r="L34" s="44"/>
      <c r="M34" s="44"/>
      <c r="N34" s="44"/>
      <c r="O34" s="44"/>
      <c r="P34" s="40"/>
    </row>
    <row r="35" spans="1:16" ht="24" customHeight="1" thickBot="1" x14ac:dyDescent="0.3">
      <c r="A35" s="71"/>
      <c r="B35" s="52" t="s">
        <v>105</v>
      </c>
      <c r="C35" s="49">
        <v>1</v>
      </c>
      <c r="D35" s="38">
        <f t="shared" si="1"/>
        <v>0</v>
      </c>
      <c r="E35" s="44"/>
      <c r="F35" s="44"/>
      <c r="G35" s="44"/>
      <c r="H35" s="44"/>
      <c r="I35" s="44"/>
      <c r="J35" s="44"/>
      <c r="K35" s="44"/>
      <c r="L35" s="44"/>
      <c r="M35" s="44"/>
      <c r="N35" s="44"/>
      <c r="O35" s="44"/>
      <c r="P35" s="40"/>
    </row>
    <row r="36" spans="1:16" x14ac:dyDescent="0.25">
      <c r="C36" s="53">
        <f>SUM(C3:C35)</f>
        <v>294</v>
      </c>
      <c r="D36" s="54">
        <f>SUM(D3:D35)</f>
        <v>146</v>
      </c>
    </row>
    <row r="37" spans="1:16" x14ac:dyDescent="0.25">
      <c r="C37" s="13"/>
      <c r="D37" s="55">
        <f>D36/C36</f>
        <v>0.49659863945578231</v>
      </c>
    </row>
  </sheetData>
  <sheetProtection algorithmName="SHA-512" hashValue="aASs14r0hoRkpHNbaFUrnzmfTqIS9pTC5pkp/Sj4Ezgbx9cq3+sA7Y2us+ytCXVhQYgTEvBr2PJ2iXiqW1NkMw==" saltValue="ECCqSyDMREldVLb7mZqsNQ==" spinCount="100000" sheet="1" objects="1" scenarios="1" autoFilter="0"/>
  <mergeCells count="2">
    <mergeCell ref="A1:A2"/>
    <mergeCell ref="A8:A35"/>
  </mergeCells>
  <conditionalFormatting sqref="C3:D3 D4:D7">
    <cfRule type="dataBar" priority="52">
      <dataBar>
        <cfvo type="min"/>
        <cfvo type="max"/>
        <color rgb="FF008AEF"/>
      </dataBar>
      <extLst>
        <ext xmlns:x14="http://schemas.microsoft.com/office/spreadsheetml/2009/9/main" uri="{B025F937-C7B1-47D3-B67F-A62EFF666E3E}">
          <x14:id>{C07CD63D-6833-499C-8BD1-36F0C13AA43E}</x14:id>
        </ext>
      </extLst>
    </cfRule>
  </conditionalFormatting>
  <conditionalFormatting sqref="C4:D4">
    <cfRule type="dataBar" priority="4">
      <dataBar>
        <cfvo type="min"/>
        <cfvo type="max"/>
        <color rgb="FF008AEF"/>
      </dataBar>
      <extLst>
        <ext xmlns:x14="http://schemas.microsoft.com/office/spreadsheetml/2009/9/main" uri="{B025F937-C7B1-47D3-B67F-A62EFF666E3E}">
          <x14:id>{3C217599-89FE-4941-86B4-8D479C20FF37}</x14:id>
        </ext>
      </extLst>
    </cfRule>
  </conditionalFormatting>
  <conditionalFormatting sqref="C5:D5">
    <cfRule type="dataBar" priority="5">
      <dataBar>
        <cfvo type="min"/>
        <cfvo type="max"/>
        <color rgb="FF008AEF"/>
      </dataBar>
      <extLst>
        <ext xmlns:x14="http://schemas.microsoft.com/office/spreadsheetml/2009/9/main" uri="{B025F937-C7B1-47D3-B67F-A62EFF666E3E}">
          <x14:id>{D16C5B23-D1F5-4E4F-8495-09C5EB1F831C}</x14:id>
        </ext>
      </extLst>
    </cfRule>
  </conditionalFormatting>
  <conditionalFormatting sqref="C6:D6">
    <cfRule type="dataBar" priority="6">
      <dataBar>
        <cfvo type="min"/>
        <cfvo type="max"/>
        <color rgb="FF008AEF"/>
      </dataBar>
      <extLst>
        <ext xmlns:x14="http://schemas.microsoft.com/office/spreadsheetml/2009/9/main" uri="{B025F937-C7B1-47D3-B67F-A62EFF666E3E}">
          <x14:id>{386B18F0-6265-4E4F-AFFA-8E91E736F7D5}</x14:id>
        </ext>
      </extLst>
    </cfRule>
  </conditionalFormatting>
  <conditionalFormatting sqref="C7:D7">
    <cfRule type="dataBar" priority="7">
      <dataBar>
        <cfvo type="min"/>
        <cfvo type="max"/>
        <color rgb="FF008AEF"/>
      </dataBar>
      <extLst>
        <ext xmlns:x14="http://schemas.microsoft.com/office/spreadsheetml/2009/9/main" uri="{B025F937-C7B1-47D3-B67F-A62EFF666E3E}">
          <x14:id>{8010D179-4222-433E-8D26-8CC1C498CC25}</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{FC6D750F-2991-456D-9FB1-DC78904927DE}</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{B1B15737-B54D-4738-A4EB-12D03C341624}</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{32C49F54-15A3-4EA0-B22D-3910E551F122}</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{F48278FD-340C-4AF1-BC87-48309145E84C}</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{173E1611-9CDA-4EEF-847D-427144C4BE27}</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{3FCD9C7F-4139-4DC9-9DD4-799CBF00693C}</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{B59C867E-23CD-4CA2-8E45-2E3FF47D2EF6}</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{739B644D-2263-4B71-BDCE-75EDEC1941D4}</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{E04EFFAC-4DC2-47CE-8F56-D5FAA3C83F8C}</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{9ADD6CDD-167F-45BA-A2F2-FDB1B6CBE970}</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{49EFC8C5-8429-4518-BD0C-5D6F3CC00403}</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{4D21EB35-0B12-4FF5-9098-DC380A721BDD}</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{058F3506-D6A5-45D5-825E-9E1899C341FD}</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{052F5A33-E475-4A05-906A-DDABC2EC4E44}</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{672D477A-3EAC-448B-A111-38CEF4E13EF1}</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{8CDB175B-E2F7-4256-94C9-7F02B49A3F64}</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{305A0A7E-15BA-4FF4-AC5A-CAE45F700324}</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{5C333FBB-733D-452E-BEF6-0CDD5DA7D061}</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{C8E138A4-170D-4478-835E-2A52B4F42DEB}</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{9FA76DEB-8DFB-4700-8BC8-DB0F3F46D41F}</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{0C6BA0C6-EF30-4B22-9A4C-F23068571687}</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{DA771A0E-6BC3-4EA6-A7A8-C63903199A02}</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{BC564D2F-CF63-4EED-9CEA-24310CD6AAED}</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{C9BA9964-1D75-43C1-8C87-37BFC8AF6A8D}</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{19ED2230-1BE8-4189-9C86-B788F0784EE6}</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{881EA049-B3FB-47B3-9483-87F74E9195B9}</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{76A8B4F0-654B-4A08-8DC7-434773584E7C}</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{E91C5AD1-43F1-4A01-A535-A46316BD0D8F}</x14:id>
        </ext>
      </extLst>
    </cfRule>
  </conditionalFormatting>
  <conditionalFormatting sqref="E3:F6 E7 E8:O35">
    <cfRule type="cellIs" dxfId="6" priority="1" operator="greaterThan">
      <formula>0</formula>
    </cfRule>
  </conditionalFormatting>
  <conditionalFormatting sqref="G3:P7">
    <cfRule type="cellIs" dxfId="5"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07CD63D-6833-499C-8BD1-36F0C13AA43E}">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3C217599-89FE-4941-86B4-8D479C20FF3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16C5B23-D1F5-4E4F-8495-09C5EB1F831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86B18F0-6265-4E4F-AFFA-8E91E736F7D5}">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010D179-4222-433E-8D26-8CC1C498CC2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C6D750F-2991-456D-9FB1-DC78904927DE}">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1B15737-B54D-4738-A4EB-12D03C34162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32C49F54-15A3-4EA0-B22D-3910E551F12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48278FD-340C-4AF1-BC87-48309145E84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173E1611-9CDA-4EEF-847D-427144C4BE2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3FCD9C7F-4139-4DC9-9DD4-799CBF00693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59C867E-23CD-4CA2-8E45-2E3FF47D2EF6}">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739B644D-2263-4B71-BDCE-75EDEC1941D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E04EFFAC-4DC2-47CE-8F56-D5FAA3C83F8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ADD6CDD-167F-45BA-A2F2-FDB1B6CBE97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9EFC8C5-8429-4518-BD0C-5D6F3CC0040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D21EB35-0B12-4FF5-9098-DC380A721BD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58F3506-D6A5-45D5-825E-9E1899C341F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052F5A33-E475-4A05-906A-DDABC2EC4E4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672D477A-3EAC-448B-A111-38CEF4E13EF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8CDB175B-E2F7-4256-94C9-7F02B49A3F6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305A0A7E-15BA-4FF4-AC5A-CAE45F700324}">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C333FBB-733D-452E-BEF6-0CDD5DA7D06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C8E138A4-170D-4478-835E-2A52B4F42DEB}">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FA76DEB-8DFB-4700-8BC8-DB0F3F46D41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C6BA0C6-EF30-4B22-9A4C-F2306857168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A771A0E-6BC3-4EA6-A7A8-C63903199A0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C564D2F-CF63-4EED-9CEA-24310CD6AAE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9BA9964-1D75-43C1-8C87-37BFC8AF6A8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19ED2230-1BE8-4189-9C86-B788F0784EE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81EA049-B3FB-47B3-9483-87F74E9195B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6A8B4F0-654B-4A08-8DC7-434773584E7C}">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E91C5AD1-43F1-4A01-A535-A46316BD0D8F}">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P37"/>
  <sheetViews>
    <sheetView zoomScale="80" zoomScaleNormal="80" zoomScaleSheetLayoutView="100" workbookViewId="0">
      <selection activeCell="H38" sqref="H38"/>
    </sheetView>
  </sheetViews>
  <sheetFormatPr baseColWidth="10" defaultColWidth="11.42578125" defaultRowHeight="15" x14ac:dyDescent="0.25"/>
  <cols>
    <col min="1" max="1" width="11.42578125" style="2" customWidth="1"/>
    <col min="2" max="2" width="86.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67" t="s">
        <v>1</v>
      </c>
      <c r="B1" s="39" t="s">
        <v>49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68"/>
      <c r="B2" s="39"/>
      <c r="C2" s="3">
        <v>2026</v>
      </c>
      <c r="D2" s="3" t="s">
        <v>16</v>
      </c>
      <c r="E2" s="42"/>
      <c r="F2" s="42"/>
      <c r="G2" s="42"/>
      <c r="H2" s="42"/>
      <c r="I2" s="42"/>
      <c r="J2" s="42"/>
      <c r="K2" s="42"/>
      <c r="L2" s="42"/>
      <c r="M2" s="42"/>
      <c r="N2" s="42"/>
      <c r="O2" s="42"/>
      <c r="P2" s="42"/>
    </row>
    <row r="3" spans="1:16" ht="81" customHeight="1" thickBot="1" x14ac:dyDescent="0.3">
      <c r="A3" s="56" t="s">
        <v>18</v>
      </c>
      <c r="B3" s="15" t="s">
        <v>17</v>
      </c>
      <c r="C3" s="7">
        <v>2</v>
      </c>
      <c r="D3" s="38">
        <f t="shared" ref="D3:D7" si="0">SUM(E3:P3)</f>
        <v>1</v>
      </c>
      <c r="E3" s="44">
        <v>1</v>
      </c>
      <c r="F3" s="44"/>
      <c r="G3" s="44"/>
      <c r="H3" s="44"/>
      <c r="I3" s="44"/>
      <c r="J3" s="44"/>
      <c r="K3" s="44"/>
      <c r="L3" s="44"/>
      <c r="M3" s="44"/>
      <c r="N3" s="44"/>
      <c r="O3" s="44"/>
      <c r="P3" s="44"/>
    </row>
    <row r="4" spans="1:16" ht="81" customHeight="1" thickBot="1" x14ac:dyDescent="0.3">
      <c r="A4" s="57" t="s">
        <v>20</v>
      </c>
      <c r="B4" s="16" t="s">
        <v>19</v>
      </c>
      <c r="C4" s="46">
        <v>2</v>
      </c>
      <c r="D4" s="38">
        <f t="shared" si="0"/>
        <v>0</v>
      </c>
      <c r="E4" s="44">
        <v>0</v>
      </c>
      <c r="F4" s="44">
        <v>0</v>
      </c>
      <c r="G4" s="44">
        <v>0</v>
      </c>
      <c r="H4" s="44">
        <v>0</v>
      </c>
      <c r="I4" s="44"/>
      <c r="J4" s="44"/>
      <c r="K4" s="44"/>
      <c r="L4" s="44"/>
      <c r="M4" s="44"/>
      <c r="N4" s="44"/>
      <c r="O4" s="44"/>
      <c r="P4" s="44"/>
    </row>
    <row r="5" spans="1:16" ht="81" customHeight="1" thickBot="1" x14ac:dyDescent="0.3">
      <c r="A5" s="48" t="s">
        <v>22</v>
      </c>
      <c r="B5" s="10" t="s">
        <v>21</v>
      </c>
      <c r="C5" s="47">
        <v>2</v>
      </c>
      <c r="D5" s="38">
        <f t="shared" si="0"/>
        <v>0</v>
      </c>
      <c r="E5" s="44">
        <v>0</v>
      </c>
      <c r="F5" s="44">
        <v>0</v>
      </c>
      <c r="G5" s="44">
        <v>0</v>
      </c>
      <c r="H5" s="44">
        <v>0</v>
      </c>
      <c r="I5" s="44"/>
      <c r="J5" s="44"/>
      <c r="K5" s="44"/>
      <c r="L5" s="44"/>
      <c r="M5" s="44"/>
      <c r="N5" s="44"/>
      <c r="O5" s="44"/>
      <c r="P5" s="44"/>
    </row>
    <row r="6" spans="1:16" ht="81" customHeight="1" thickBot="1" x14ac:dyDescent="0.3">
      <c r="A6" s="43" t="s">
        <v>18</v>
      </c>
      <c r="B6" s="17" t="s">
        <v>23</v>
      </c>
      <c r="C6" s="49">
        <v>2</v>
      </c>
      <c r="D6" s="38">
        <f t="shared" si="0"/>
        <v>0</v>
      </c>
      <c r="E6" s="44"/>
      <c r="F6" s="44"/>
      <c r="G6" s="44"/>
      <c r="H6" s="44"/>
      <c r="I6" s="44"/>
      <c r="J6" s="44"/>
      <c r="K6" s="44"/>
      <c r="L6" s="44"/>
      <c r="M6" s="44"/>
      <c r="N6" s="44"/>
      <c r="O6" s="44"/>
      <c r="P6" s="44"/>
    </row>
    <row r="7" spans="1:16" ht="81" customHeight="1" thickBot="1" x14ac:dyDescent="0.3">
      <c r="A7" s="43" t="s">
        <v>18</v>
      </c>
      <c r="B7" s="17" t="s">
        <v>24</v>
      </c>
      <c r="C7" s="49">
        <v>1</v>
      </c>
      <c r="D7" s="38">
        <f t="shared" si="0"/>
        <v>0</v>
      </c>
      <c r="E7" s="44"/>
      <c r="F7" s="44"/>
      <c r="G7" s="44"/>
      <c r="H7" s="44"/>
      <c r="I7" s="44"/>
      <c r="J7" s="44"/>
      <c r="K7" s="44"/>
      <c r="L7" s="44"/>
      <c r="M7" s="44"/>
      <c r="N7" s="44"/>
      <c r="O7" s="44"/>
      <c r="P7" s="44"/>
    </row>
    <row r="8" spans="1:16" ht="28.5" customHeight="1" x14ac:dyDescent="0.25">
      <c r="A8" s="69" t="s">
        <v>77</v>
      </c>
      <c r="B8" s="50" t="s">
        <v>78</v>
      </c>
      <c r="C8" s="49">
        <v>3</v>
      </c>
      <c r="D8" s="38">
        <f t="shared" ref="D8:D35" si="1">SUM(E8:O8)</f>
        <v>0</v>
      </c>
      <c r="E8" s="44"/>
      <c r="F8" s="44"/>
      <c r="G8" s="44"/>
      <c r="H8" s="44"/>
      <c r="I8" s="44"/>
      <c r="J8" s="44"/>
      <c r="K8" s="44"/>
      <c r="L8" s="44"/>
      <c r="M8" s="44"/>
      <c r="N8" s="44"/>
      <c r="O8" s="44"/>
      <c r="P8" s="40"/>
    </row>
    <row r="9" spans="1:16" ht="28.5" customHeight="1" x14ac:dyDescent="0.25">
      <c r="A9" s="70"/>
      <c r="B9" s="50" t="s">
        <v>79</v>
      </c>
      <c r="C9" s="49">
        <v>3</v>
      </c>
      <c r="D9" s="38">
        <f t="shared" si="1"/>
        <v>0</v>
      </c>
      <c r="E9" s="44"/>
      <c r="F9" s="44"/>
      <c r="G9" s="44"/>
      <c r="H9" s="44"/>
      <c r="I9" s="44"/>
      <c r="J9" s="44"/>
      <c r="K9" s="44"/>
      <c r="L9" s="44"/>
      <c r="M9" s="44"/>
      <c r="N9" s="44"/>
      <c r="O9" s="44"/>
      <c r="P9" s="40"/>
    </row>
    <row r="10" spans="1:16" ht="28.5" customHeight="1" x14ac:dyDescent="0.25">
      <c r="A10" s="70"/>
      <c r="B10" s="50" t="s">
        <v>80</v>
      </c>
      <c r="C10" s="49">
        <v>72</v>
      </c>
      <c r="D10" s="38">
        <f t="shared" si="1"/>
        <v>21</v>
      </c>
      <c r="E10" s="44">
        <v>3</v>
      </c>
      <c r="F10" s="44">
        <v>13</v>
      </c>
      <c r="G10" s="44">
        <v>2</v>
      </c>
      <c r="H10" s="44"/>
      <c r="I10" s="44"/>
      <c r="J10" s="44">
        <v>3</v>
      </c>
      <c r="K10" s="44"/>
      <c r="L10" s="44"/>
      <c r="M10" s="44"/>
      <c r="N10" s="44"/>
      <c r="O10" s="44"/>
      <c r="P10" s="40"/>
    </row>
    <row r="11" spans="1:16" ht="28.5" customHeight="1" x14ac:dyDescent="0.25">
      <c r="A11" s="70"/>
      <c r="B11" s="50" t="s">
        <v>81</v>
      </c>
      <c r="C11" s="49">
        <v>130</v>
      </c>
      <c r="D11" s="38">
        <f t="shared" si="1"/>
        <v>18</v>
      </c>
      <c r="E11" s="44"/>
      <c r="F11" s="44"/>
      <c r="G11" s="44">
        <v>18</v>
      </c>
      <c r="H11" s="44"/>
      <c r="I11" s="44"/>
      <c r="J11" s="44"/>
      <c r="K11" s="44"/>
      <c r="L11" s="44"/>
      <c r="M11" s="44"/>
      <c r="N11" s="44"/>
      <c r="O11" s="44"/>
      <c r="P11" s="40"/>
    </row>
    <row r="12" spans="1:16" ht="28.5" customHeight="1" x14ac:dyDescent="0.25">
      <c r="A12" s="70"/>
      <c r="B12" s="50" t="s">
        <v>82</v>
      </c>
      <c r="C12" s="49">
        <v>0</v>
      </c>
      <c r="D12" s="38">
        <f t="shared" si="1"/>
        <v>0</v>
      </c>
      <c r="E12" s="44"/>
      <c r="F12" s="44"/>
      <c r="G12" s="44"/>
      <c r="H12" s="44"/>
      <c r="I12" s="44"/>
      <c r="J12" s="44"/>
      <c r="K12" s="44"/>
      <c r="L12" s="44"/>
      <c r="M12" s="44"/>
      <c r="N12" s="44"/>
      <c r="O12" s="44"/>
      <c r="P12" s="40"/>
    </row>
    <row r="13" spans="1:16" ht="28.5" customHeight="1" x14ac:dyDescent="0.25">
      <c r="A13" s="70"/>
      <c r="B13" s="50" t="s">
        <v>83</v>
      </c>
      <c r="C13" s="49">
        <v>0</v>
      </c>
      <c r="D13" s="38">
        <f t="shared" si="1"/>
        <v>0</v>
      </c>
      <c r="E13" s="44"/>
      <c r="F13" s="44"/>
      <c r="G13" s="44"/>
      <c r="H13" s="44"/>
      <c r="I13" s="44"/>
      <c r="J13" s="44"/>
      <c r="K13" s="44"/>
      <c r="L13" s="44"/>
      <c r="M13" s="44"/>
      <c r="N13" s="44"/>
      <c r="O13" s="44"/>
      <c r="P13" s="40"/>
    </row>
    <row r="14" spans="1:16" ht="28.5" customHeight="1" x14ac:dyDescent="0.25">
      <c r="A14" s="70"/>
      <c r="B14" s="50" t="s">
        <v>84</v>
      </c>
      <c r="C14" s="49">
        <v>0</v>
      </c>
      <c r="D14" s="38">
        <f t="shared" si="1"/>
        <v>0</v>
      </c>
      <c r="E14" s="44"/>
      <c r="F14" s="44"/>
      <c r="G14" s="44"/>
      <c r="H14" s="44"/>
      <c r="I14" s="44"/>
      <c r="J14" s="44"/>
      <c r="K14" s="44"/>
      <c r="L14" s="44"/>
      <c r="M14" s="44"/>
      <c r="N14" s="44"/>
      <c r="O14" s="44"/>
      <c r="P14" s="40"/>
    </row>
    <row r="15" spans="1:16" ht="28.5" customHeight="1" x14ac:dyDescent="0.25">
      <c r="A15" s="70"/>
      <c r="B15" s="50" t="s">
        <v>85</v>
      </c>
      <c r="C15" s="49">
        <v>0</v>
      </c>
      <c r="D15" s="38">
        <f t="shared" si="1"/>
        <v>0</v>
      </c>
      <c r="E15" s="44"/>
      <c r="F15" s="44"/>
      <c r="G15" s="44"/>
      <c r="H15" s="44"/>
      <c r="I15" s="44"/>
      <c r="J15" s="44"/>
      <c r="K15" s="44"/>
      <c r="L15" s="44"/>
      <c r="M15" s="44"/>
      <c r="N15" s="44"/>
      <c r="O15" s="44"/>
      <c r="P15" s="40"/>
    </row>
    <row r="16" spans="1:16" ht="28.5" customHeight="1" x14ac:dyDescent="0.25">
      <c r="A16" s="70"/>
      <c r="B16" s="50" t="s">
        <v>86</v>
      </c>
      <c r="C16" s="49">
        <v>0</v>
      </c>
      <c r="D16" s="38">
        <f t="shared" si="1"/>
        <v>0</v>
      </c>
      <c r="E16" s="44"/>
      <c r="F16" s="44"/>
      <c r="G16" s="44"/>
      <c r="H16" s="44"/>
      <c r="I16" s="44"/>
      <c r="J16" s="44"/>
      <c r="K16" s="44"/>
      <c r="L16" s="44"/>
      <c r="M16" s="44"/>
      <c r="N16" s="44"/>
      <c r="O16" s="44"/>
      <c r="P16" s="40"/>
    </row>
    <row r="17" spans="1:16" ht="28.5" customHeight="1" x14ac:dyDescent="0.25">
      <c r="A17" s="70"/>
      <c r="B17" s="50" t="s">
        <v>87</v>
      </c>
      <c r="C17" s="49">
        <v>0</v>
      </c>
      <c r="D17" s="38">
        <f t="shared" si="1"/>
        <v>0</v>
      </c>
      <c r="E17" s="44"/>
      <c r="F17" s="44"/>
      <c r="G17" s="44"/>
      <c r="H17" s="44"/>
      <c r="I17" s="44"/>
      <c r="J17" s="44"/>
      <c r="K17" s="44"/>
      <c r="L17" s="44"/>
      <c r="M17" s="44"/>
      <c r="N17" s="44"/>
      <c r="O17" s="44"/>
      <c r="P17" s="40"/>
    </row>
    <row r="18" spans="1:16" ht="28.5" customHeight="1" x14ac:dyDescent="0.25">
      <c r="A18" s="70"/>
      <c r="B18" s="50" t="s">
        <v>88</v>
      </c>
      <c r="C18" s="49">
        <v>0</v>
      </c>
      <c r="D18" s="38">
        <f t="shared" si="1"/>
        <v>0</v>
      </c>
      <c r="E18" s="44"/>
      <c r="F18" s="44"/>
      <c r="G18" s="44"/>
      <c r="H18" s="44"/>
      <c r="I18" s="44"/>
      <c r="J18" s="44"/>
      <c r="K18" s="44"/>
      <c r="L18" s="44"/>
      <c r="M18" s="44"/>
      <c r="N18" s="44"/>
      <c r="O18" s="44"/>
      <c r="P18" s="40"/>
    </row>
    <row r="19" spans="1:16" ht="28.5" customHeight="1" x14ac:dyDescent="0.25">
      <c r="A19" s="70"/>
      <c r="B19" s="50" t="s">
        <v>89</v>
      </c>
      <c r="C19" s="49">
        <v>0</v>
      </c>
      <c r="D19" s="38">
        <f t="shared" si="1"/>
        <v>0</v>
      </c>
      <c r="E19" s="44"/>
      <c r="F19" s="44"/>
      <c r="G19" s="44"/>
      <c r="H19" s="44"/>
      <c r="I19" s="44"/>
      <c r="J19" s="44"/>
      <c r="K19" s="44"/>
      <c r="L19" s="44"/>
      <c r="M19" s="44"/>
      <c r="N19" s="44"/>
      <c r="O19" s="44"/>
      <c r="P19" s="40"/>
    </row>
    <row r="20" spans="1:16" ht="28.5" customHeight="1" x14ac:dyDescent="0.25">
      <c r="A20" s="70"/>
      <c r="B20" s="50" t="s">
        <v>90</v>
      </c>
      <c r="C20" s="49">
        <v>0</v>
      </c>
      <c r="D20" s="38">
        <f t="shared" si="1"/>
        <v>0</v>
      </c>
      <c r="E20" s="44"/>
      <c r="F20" s="44"/>
      <c r="G20" s="44"/>
      <c r="H20" s="44"/>
      <c r="I20" s="44"/>
      <c r="J20" s="44"/>
      <c r="K20" s="44"/>
      <c r="L20" s="44"/>
      <c r="M20" s="44"/>
      <c r="N20" s="44"/>
      <c r="O20" s="44"/>
      <c r="P20" s="40"/>
    </row>
    <row r="21" spans="1:16" ht="28.5" customHeight="1" x14ac:dyDescent="0.25">
      <c r="A21" s="70"/>
      <c r="B21" s="50" t="s">
        <v>91</v>
      </c>
      <c r="C21" s="49">
        <v>0</v>
      </c>
      <c r="D21" s="38">
        <f t="shared" si="1"/>
        <v>0</v>
      </c>
      <c r="E21" s="44"/>
      <c r="F21" s="44"/>
      <c r="G21" s="44"/>
      <c r="H21" s="44"/>
      <c r="I21" s="44"/>
      <c r="J21" s="44"/>
      <c r="K21" s="44"/>
      <c r="L21" s="44"/>
      <c r="M21" s="44"/>
      <c r="N21" s="44"/>
      <c r="O21" s="44"/>
      <c r="P21" s="40"/>
    </row>
    <row r="22" spans="1:16" ht="28.5" customHeight="1" x14ac:dyDescent="0.25">
      <c r="A22" s="70"/>
      <c r="B22" s="50" t="s">
        <v>92</v>
      </c>
      <c r="C22" s="49">
        <v>58</v>
      </c>
      <c r="D22" s="38">
        <f t="shared" si="1"/>
        <v>59</v>
      </c>
      <c r="E22" s="44">
        <v>30</v>
      </c>
      <c r="F22" s="44"/>
      <c r="G22" s="44"/>
      <c r="H22" s="44">
        <v>29</v>
      </c>
      <c r="I22" s="44"/>
      <c r="J22" s="44"/>
      <c r="K22" s="44"/>
      <c r="L22" s="44"/>
      <c r="M22" s="44"/>
      <c r="N22" s="44"/>
      <c r="O22" s="44"/>
      <c r="P22" s="40"/>
    </row>
    <row r="23" spans="1:16" ht="28.5" customHeight="1" x14ac:dyDescent="0.25">
      <c r="A23" s="70"/>
      <c r="B23" s="50" t="s">
        <v>93</v>
      </c>
      <c r="C23" s="49">
        <v>2</v>
      </c>
      <c r="D23" s="38">
        <f t="shared" si="1"/>
        <v>0</v>
      </c>
      <c r="E23" s="44"/>
      <c r="F23" s="44"/>
      <c r="G23" s="44"/>
      <c r="H23" s="44"/>
      <c r="I23" s="44"/>
      <c r="J23" s="44"/>
      <c r="K23" s="44"/>
      <c r="L23" s="44"/>
      <c r="M23" s="44"/>
      <c r="N23" s="44"/>
      <c r="O23" s="44"/>
      <c r="P23" s="40"/>
    </row>
    <row r="24" spans="1:16" ht="24" customHeight="1" x14ac:dyDescent="0.25">
      <c r="A24" s="70"/>
      <c r="B24" s="51" t="s">
        <v>94</v>
      </c>
      <c r="C24" s="49">
        <v>4</v>
      </c>
      <c r="D24" s="38">
        <f t="shared" si="1"/>
        <v>4</v>
      </c>
      <c r="E24" s="44"/>
      <c r="F24" s="44"/>
      <c r="G24" s="44">
        <v>4</v>
      </c>
      <c r="H24" s="44"/>
      <c r="I24" s="44"/>
      <c r="J24" s="44"/>
      <c r="K24" s="44"/>
      <c r="L24" s="44"/>
      <c r="M24" s="44"/>
      <c r="N24" s="44"/>
      <c r="O24" s="44"/>
      <c r="P24" s="40"/>
    </row>
    <row r="25" spans="1:16" ht="24" customHeight="1" x14ac:dyDescent="0.25">
      <c r="A25" s="70"/>
      <c r="B25" s="51" t="s">
        <v>95</v>
      </c>
      <c r="C25" s="49">
        <v>4</v>
      </c>
      <c r="D25" s="38">
        <f t="shared" si="1"/>
        <v>4</v>
      </c>
      <c r="E25" s="44"/>
      <c r="F25" s="44"/>
      <c r="G25" s="44"/>
      <c r="H25" s="44">
        <v>4</v>
      </c>
      <c r="I25" s="44"/>
      <c r="J25" s="44"/>
      <c r="K25" s="44"/>
      <c r="L25" s="44"/>
      <c r="M25" s="44"/>
      <c r="N25" s="44"/>
      <c r="O25" s="44"/>
      <c r="P25" s="40"/>
    </row>
    <row r="26" spans="1:16" ht="24" customHeight="1" x14ac:dyDescent="0.25">
      <c r="A26" s="70"/>
      <c r="B26" s="51" t="s">
        <v>96</v>
      </c>
      <c r="C26" s="49">
        <v>4</v>
      </c>
      <c r="D26" s="38">
        <f t="shared" si="1"/>
        <v>4</v>
      </c>
      <c r="E26" s="44"/>
      <c r="F26" s="44"/>
      <c r="G26" s="44"/>
      <c r="H26" s="44"/>
      <c r="I26" s="44">
        <v>4</v>
      </c>
      <c r="J26" s="44"/>
      <c r="K26" s="44"/>
      <c r="L26" s="44"/>
      <c r="M26" s="44"/>
      <c r="N26" s="44"/>
      <c r="O26" s="44"/>
      <c r="P26" s="40"/>
    </row>
    <row r="27" spans="1:16" ht="24" customHeight="1" x14ac:dyDescent="0.25">
      <c r="A27" s="70"/>
      <c r="B27" s="51" t="s">
        <v>97</v>
      </c>
      <c r="C27" s="49">
        <v>4</v>
      </c>
      <c r="D27" s="38">
        <f t="shared" si="1"/>
        <v>0</v>
      </c>
      <c r="E27" s="44"/>
      <c r="F27" s="44"/>
      <c r="G27" s="44"/>
      <c r="H27" s="44"/>
      <c r="I27" s="44"/>
      <c r="J27" s="44"/>
      <c r="K27" s="44"/>
      <c r="L27" s="44"/>
      <c r="M27" s="44"/>
      <c r="N27" s="44"/>
      <c r="O27" s="44"/>
      <c r="P27" s="40"/>
    </row>
    <row r="28" spans="1:16" ht="24" customHeight="1" x14ac:dyDescent="0.25">
      <c r="A28" s="70"/>
      <c r="B28" s="51" t="s">
        <v>98</v>
      </c>
      <c r="C28" s="49">
        <v>4</v>
      </c>
      <c r="D28" s="38">
        <f t="shared" si="1"/>
        <v>0</v>
      </c>
      <c r="E28" s="44"/>
      <c r="F28" s="44"/>
      <c r="G28" s="44"/>
      <c r="H28" s="44"/>
      <c r="I28" s="44"/>
      <c r="J28" s="44"/>
      <c r="K28" s="44"/>
      <c r="L28" s="44"/>
      <c r="M28" s="44"/>
      <c r="N28" s="44"/>
      <c r="O28" s="44"/>
      <c r="P28" s="40"/>
    </row>
    <row r="29" spans="1:16" ht="24" customHeight="1" x14ac:dyDescent="0.25">
      <c r="A29" s="70"/>
      <c r="B29" s="51" t="s">
        <v>99</v>
      </c>
      <c r="C29" s="49">
        <v>1</v>
      </c>
      <c r="D29" s="38">
        <f t="shared" si="1"/>
        <v>0</v>
      </c>
      <c r="E29" s="44"/>
      <c r="F29" s="44"/>
      <c r="G29" s="44"/>
      <c r="H29" s="44"/>
      <c r="I29" s="44"/>
      <c r="J29" s="44"/>
      <c r="K29" s="44"/>
      <c r="L29" s="44"/>
      <c r="M29" s="44"/>
      <c r="N29" s="44"/>
      <c r="O29" s="44"/>
      <c r="P29" s="40"/>
    </row>
    <row r="30" spans="1:16" ht="24" customHeight="1" x14ac:dyDescent="0.25">
      <c r="A30" s="70"/>
      <c r="B30" s="51" t="s">
        <v>100</v>
      </c>
      <c r="C30" s="49">
        <v>1</v>
      </c>
      <c r="D30" s="38">
        <f t="shared" si="1"/>
        <v>0</v>
      </c>
      <c r="E30" s="44"/>
      <c r="F30" s="44"/>
      <c r="G30" s="44"/>
      <c r="H30" s="44"/>
      <c r="I30" s="44"/>
      <c r="J30" s="44"/>
      <c r="K30" s="44"/>
      <c r="L30" s="44"/>
      <c r="M30" s="44"/>
      <c r="N30" s="44"/>
      <c r="O30" s="44"/>
      <c r="P30" s="40"/>
    </row>
    <row r="31" spans="1:16" ht="24" customHeight="1" x14ac:dyDescent="0.25">
      <c r="A31" s="70"/>
      <c r="B31" s="51" t="s">
        <v>101</v>
      </c>
      <c r="C31" s="49">
        <v>1</v>
      </c>
      <c r="D31" s="38">
        <f t="shared" si="1"/>
        <v>0</v>
      </c>
      <c r="E31" s="44"/>
      <c r="F31" s="44"/>
      <c r="G31" s="44"/>
      <c r="H31" s="44"/>
      <c r="I31" s="44"/>
      <c r="J31" s="44"/>
      <c r="K31" s="44"/>
      <c r="L31" s="44"/>
      <c r="M31" s="44"/>
      <c r="N31" s="44"/>
      <c r="O31" s="44"/>
      <c r="P31" s="40"/>
    </row>
    <row r="32" spans="1:16" ht="24" customHeight="1" x14ac:dyDescent="0.25">
      <c r="A32" s="70"/>
      <c r="B32" s="51" t="s">
        <v>102</v>
      </c>
      <c r="C32" s="49">
        <v>1</v>
      </c>
      <c r="D32" s="38">
        <f t="shared" si="1"/>
        <v>0</v>
      </c>
      <c r="E32" s="44"/>
      <c r="F32" s="44"/>
      <c r="G32" s="44"/>
      <c r="H32" s="44"/>
      <c r="I32" s="44"/>
      <c r="J32" s="44"/>
      <c r="K32" s="44"/>
      <c r="L32" s="44"/>
      <c r="M32" s="44"/>
      <c r="N32" s="44"/>
      <c r="O32" s="44"/>
      <c r="P32" s="40"/>
    </row>
    <row r="33" spans="1:16" ht="24" customHeight="1" x14ac:dyDescent="0.25">
      <c r="A33" s="70"/>
      <c r="B33" s="51" t="s">
        <v>103</v>
      </c>
      <c r="C33" s="49">
        <v>1</v>
      </c>
      <c r="D33" s="38">
        <f t="shared" si="1"/>
        <v>0</v>
      </c>
      <c r="E33" s="44"/>
      <c r="F33" s="44"/>
      <c r="G33" s="44"/>
      <c r="H33" s="44"/>
      <c r="I33" s="44"/>
      <c r="J33" s="44"/>
      <c r="K33" s="44"/>
      <c r="L33" s="44"/>
      <c r="M33" s="44"/>
      <c r="N33" s="44"/>
      <c r="O33" s="44"/>
      <c r="P33" s="40"/>
    </row>
    <row r="34" spans="1:16" ht="24" customHeight="1" x14ac:dyDescent="0.25">
      <c r="A34" s="70"/>
      <c r="B34" s="51" t="s">
        <v>104</v>
      </c>
      <c r="C34" s="49">
        <v>1</v>
      </c>
      <c r="D34" s="38">
        <f t="shared" si="1"/>
        <v>0</v>
      </c>
      <c r="E34" s="44"/>
      <c r="F34" s="44"/>
      <c r="G34" s="44"/>
      <c r="H34" s="44"/>
      <c r="I34" s="44"/>
      <c r="J34" s="44"/>
      <c r="K34" s="44"/>
      <c r="L34" s="44"/>
      <c r="M34" s="44"/>
      <c r="N34" s="44"/>
      <c r="O34" s="44"/>
      <c r="P34" s="40"/>
    </row>
    <row r="35" spans="1:16" ht="24" customHeight="1" thickBot="1" x14ac:dyDescent="0.3">
      <c r="A35" s="71"/>
      <c r="B35" s="52" t="s">
        <v>105</v>
      </c>
      <c r="C35" s="49">
        <v>1</v>
      </c>
      <c r="D35" s="38">
        <f t="shared" si="1"/>
        <v>0</v>
      </c>
      <c r="E35" s="44"/>
      <c r="F35" s="44"/>
      <c r="G35" s="44"/>
      <c r="H35" s="44"/>
      <c r="I35" s="44"/>
      <c r="J35" s="44"/>
      <c r="K35" s="44"/>
      <c r="L35" s="44"/>
      <c r="M35" s="44"/>
      <c r="N35" s="44"/>
      <c r="O35" s="44"/>
      <c r="P35" s="40"/>
    </row>
    <row r="36" spans="1:16" x14ac:dyDescent="0.25">
      <c r="C36" s="53">
        <f>SUM(C3:C35)</f>
        <v>304</v>
      </c>
      <c r="D36" s="54">
        <f>SUM(D3:D35)</f>
        <v>111</v>
      </c>
    </row>
    <row r="37" spans="1:16" x14ac:dyDescent="0.25">
      <c r="C37" s="13"/>
      <c r="D37" s="55">
        <f>D36/C36</f>
        <v>0.36513157894736842</v>
      </c>
    </row>
  </sheetData>
  <sheetProtection algorithmName="SHA-512" hashValue="8yiKuhlh3xtEnTpPsk+DdpecGZ/r9HvFYaTfOcQcL16EIpcQL1icE+Lylzw0zTB2bXfC88uXeXlqGWrarr93CA==" saltValue="fqd2eaarE5UISEVoYpAs3g==" spinCount="100000" sheet="1" objects="1" scenarios="1" autoFilter="0"/>
  <mergeCells count="2">
    <mergeCell ref="A1:A2"/>
    <mergeCell ref="A8:A35"/>
  </mergeCells>
  <conditionalFormatting sqref="C3:D3 D4:D7">
    <cfRule type="dataBar" priority="53">
      <dataBar>
        <cfvo type="min"/>
        <cfvo type="max"/>
        <color rgb="FF008AEF"/>
      </dataBar>
      <extLst>
        <ext xmlns:x14="http://schemas.microsoft.com/office/spreadsheetml/2009/9/main" uri="{B025F937-C7B1-47D3-B67F-A62EFF666E3E}">
          <x14:id>{C4BDEF8D-9294-4F96-BEE3-9D5272B26F22}</x14:id>
        </ext>
      </extLst>
    </cfRule>
  </conditionalFormatting>
  <conditionalFormatting sqref="C4:D4">
    <cfRule type="dataBar" priority="4">
      <dataBar>
        <cfvo type="min"/>
        <cfvo type="max"/>
        <color rgb="FF008AEF"/>
      </dataBar>
      <extLst>
        <ext xmlns:x14="http://schemas.microsoft.com/office/spreadsheetml/2009/9/main" uri="{B025F937-C7B1-47D3-B67F-A62EFF666E3E}">
          <x14:id>{D4A483AF-312F-4D09-B4B0-CC05DB284E33}</x14:id>
        </ext>
      </extLst>
    </cfRule>
  </conditionalFormatting>
  <conditionalFormatting sqref="C5:D5">
    <cfRule type="dataBar" priority="5">
      <dataBar>
        <cfvo type="min"/>
        <cfvo type="max"/>
        <color rgb="FF008AEF"/>
      </dataBar>
      <extLst>
        <ext xmlns:x14="http://schemas.microsoft.com/office/spreadsheetml/2009/9/main" uri="{B025F937-C7B1-47D3-B67F-A62EFF666E3E}">
          <x14:id>{B92CDCAC-361A-4D5B-9AA0-05AB53475D4B}</x14:id>
        </ext>
      </extLst>
    </cfRule>
  </conditionalFormatting>
  <conditionalFormatting sqref="C6:D6">
    <cfRule type="dataBar" priority="6">
      <dataBar>
        <cfvo type="min"/>
        <cfvo type="max"/>
        <color rgb="FF008AEF"/>
      </dataBar>
      <extLst>
        <ext xmlns:x14="http://schemas.microsoft.com/office/spreadsheetml/2009/9/main" uri="{B025F937-C7B1-47D3-B67F-A62EFF666E3E}">
          <x14:id>{106B1070-D1A7-467E-B40E-31F18E369552}</x14:id>
        </ext>
      </extLst>
    </cfRule>
  </conditionalFormatting>
  <conditionalFormatting sqref="C7:D7">
    <cfRule type="dataBar" priority="7">
      <dataBar>
        <cfvo type="min"/>
        <cfvo type="max"/>
        <color rgb="FF008AEF"/>
      </dataBar>
      <extLst>
        <ext xmlns:x14="http://schemas.microsoft.com/office/spreadsheetml/2009/9/main" uri="{B025F937-C7B1-47D3-B67F-A62EFF666E3E}">
          <x14:id>{6002707B-DD66-4E65-9089-E536FF24B7A4}</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{5F6FDCBE-0AEA-49C6-8224-BBE7D1F22D5F}</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{3C74EF7D-326C-4634-95AA-650908639A74}</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{B768A75C-7831-4946-A151-AF174FCD455A}</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{7D20670F-CE6E-4A10-A542-FFC71222DCDD}</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{6EE51511-D247-46C7-9BE1-A21235736DBE}</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{730E9D57-B6F9-4500-9FB8-FDC95BF2D3C6}</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{C0E196D7-C7DC-4640-97B7-C3D362688AB8}</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{564BA421-B336-47DA-9DC0-7D2583ED5FCE}</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{7C43E362-6220-4B28-8663-38472ADC8EDE}</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{B5F98642-602E-4166-B251-F1BE4792FD38}</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{D45F4E00-CF3F-4B5E-A2EF-CA66E2F4AA5E}</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{C1726043-2C58-4316-9849-C1233103AE83}</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{C2FAB0BD-8814-449C-8209-A89C7D45D23B}</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{A2C0EF7E-80C1-4B2A-ABA6-57EC5C4570CA}</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{E32E313F-49D4-4B7D-89D8-330C74B5E85C}</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{20B53634-1E7C-45F7-B6D2-4CAD83B9ADBA}</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{840E2C66-9DD7-40DB-888A-0CE045F0A380}</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{5E0CD9C7-DD24-4D08-9736-5257132FEC14}</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{FF76D38A-647B-4790-85A8-0883BB3BDA03}</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{2AFFFAF2-FC12-4EC0-B272-BF99990E54EC}</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{61AD610D-4ABC-4BC7-AC34-1DD3A6717827}</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{6E92053C-FD40-4B89-A479-7346F34A82F9}</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{6A0791FE-BA53-42B2-B818-2C7A97E38910}</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{AA6B0B2C-805C-49F4-BC18-3EC770B1816F}</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{58564369-E3A9-4A83-885F-AECFD5B97E82}</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{780F140A-C5F8-4CC5-9051-AB70E99DA64C}</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{C946F98D-B6E5-4875-A6FA-B9C6EDBE0BD8}</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{03353EF8-AB4E-400A-8160-C09FF5C2343B}</x14:id>
        </ext>
      </extLst>
    </cfRule>
  </conditionalFormatting>
  <conditionalFormatting sqref="E3:F31 E32:O35">
    <cfRule type="cellIs" dxfId="4" priority="1" operator="greaterThan">
      <formula>0</formula>
    </cfRule>
  </conditionalFormatting>
  <conditionalFormatting sqref="G8:O31">
    <cfRule type="cellIs" dxfId="3" priority="11" operator="greaterThan">
      <formula>0</formula>
    </cfRule>
  </conditionalFormatting>
  <conditionalFormatting sqref="G3:P7">
    <cfRule type="cellIs" dxfId="2"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4BDEF8D-9294-4F96-BEE3-9D5272B26F22}">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D4A483AF-312F-4D09-B4B0-CC05DB284E3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92CDCAC-361A-4D5B-9AA0-05AB53475D4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06B1070-D1A7-467E-B40E-31F18E36955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6002707B-DD66-4E65-9089-E536FF24B7A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F6FDCBE-0AEA-49C6-8224-BBE7D1F22D5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3C74EF7D-326C-4634-95AA-650908639A7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768A75C-7831-4946-A151-AF174FCD455A}">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D20670F-CE6E-4A10-A542-FFC71222DCD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EE51511-D247-46C7-9BE1-A21235736DB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30E9D57-B6F9-4500-9FB8-FDC95BF2D3C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0E196D7-C7DC-4640-97B7-C3D362688AB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564BA421-B336-47DA-9DC0-7D2583ED5FC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C43E362-6220-4B28-8663-38472ADC8EDE}">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5F98642-602E-4166-B251-F1BE4792FD3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45F4E00-CF3F-4B5E-A2EF-CA66E2F4AA5E}">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C1726043-2C58-4316-9849-C1233103AE83}">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2FAB0BD-8814-449C-8209-A89C7D45D23B}">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A2C0EF7E-80C1-4B2A-ABA6-57EC5C4570C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32E313F-49D4-4B7D-89D8-330C74B5E85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0B53634-1E7C-45F7-B6D2-4CAD83B9ADB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40E2C66-9DD7-40DB-888A-0CE045F0A38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E0CD9C7-DD24-4D08-9736-5257132FEC1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F76D38A-647B-4790-85A8-0883BB3BDA0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2AFFFAF2-FC12-4EC0-B272-BF99990E54E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1AD610D-4ABC-4BC7-AC34-1DD3A671782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6E92053C-FD40-4B89-A479-7346F34A82F9}">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A0791FE-BA53-42B2-B818-2C7A97E38910}">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AA6B0B2C-805C-49F4-BC18-3EC770B1816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58564369-E3A9-4A83-885F-AECFD5B97E82}">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80F140A-C5F8-4CC5-9051-AB70E99DA64C}">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C946F98D-B6E5-4875-A6FA-B9C6EDBE0BD8}">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03353EF8-AB4E-400A-8160-C09FF5C2343B}">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E14"/>
  <sheetViews>
    <sheetView tabSelected="1" workbookViewId="0">
      <selection activeCell="G13" sqref="G13"/>
    </sheetView>
  </sheetViews>
  <sheetFormatPr baseColWidth="10" defaultRowHeight="15" x14ac:dyDescent="0.25"/>
  <cols>
    <col min="1" max="1" width="11.28515625" customWidth="1"/>
    <col min="2" max="2" width="24" customWidth="1"/>
    <col min="3" max="3" width="11.85546875" bestFit="1" customWidth="1"/>
  </cols>
  <sheetData>
    <row r="1" spans="1:5" x14ac:dyDescent="0.25">
      <c r="A1" s="72" t="s">
        <v>50</v>
      </c>
      <c r="B1" s="72"/>
      <c r="C1" s="33" t="s">
        <v>2</v>
      </c>
      <c r="D1" s="33" t="s">
        <v>76</v>
      </c>
      <c r="E1" s="33" t="s">
        <v>106</v>
      </c>
    </row>
    <row r="2" spans="1:5" x14ac:dyDescent="0.25">
      <c r="A2" s="37" t="s">
        <v>52</v>
      </c>
      <c r="B2" s="32" t="s">
        <v>64</v>
      </c>
      <c r="C2" s="34">
        <f>'D37 Cartago'!C36</f>
        <v>830</v>
      </c>
      <c r="D2" s="41">
        <f>'D37 Cartago'!D36</f>
        <v>355</v>
      </c>
      <c r="E2" s="66">
        <f>D2/C2</f>
        <v>0.42771084337349397</v>
      </c>
    </row>
    <row r="3" spans="1:5" x14ac:dyDescent="0.25">
      <c r="A3" s="37" t="s">
        <v>53</v>
      </c>
      <c r="B3" s="32" t="s">
        <v>65</v>
      </c>
      <c r="C3" s="35">
        <f>'D38 Paraiso'!C36</f>
        <v>288</v>
      </c>
      <c r="D3" s="35">
        <f>'D38 Paraiso'!D36</f>
        <v>125</v>
      </c>
      <c r="E3" s="66">
        <f t="shared" ref="E3:E13" si="0">D3/C3</f>
        <v>0.43402777777777779</v>
      </c>
    </row>
    <row r="4" spans="1:5" x14ac:dyDescent="0.25">
      <c r="A4" s="37" t="s">
        <v>54</v>
      </c>
      <c r="B4" s="32" t="s">
        <v>66</v>
      </c>
      <c r="C4" s="34">
        <f>'D39 La Unión'!C37</f>
        <v>411</v>
      </c>
      <c r="D4" s="41">
        <f>'D39 La Unión'!D37</f>
        <v>180</v>
      </c>
      <c r="E4" s="66">
        <f t="shared" si="0"/>
        <v>0.43795620437956206</v>
      </c>
    </row>
    <row r="5" spans="1:5" x14ac:dyDescent="0.25">
      <c r="A5" s="37" t="s">
        <v>55</v>
      </c>
      <c r="B5" s="32" t="s">
        <v>67</v>
      </c>
      <c r="C5" s="34">
        <f>'D40 Jiménez'!C36</f>
        <v>229</v>
      </c>
      <c r="D5" s="41">
        <f>'D40 Jiménez'!D36</f>
        <v>69</v>
      </c>
      <c r="E5" s="66">
        <f t="shared" si="0"/>
        <v>0.30131004366812225</v>
      </c>
    </row>
    <row r="6" spans="1:5" x14ac:dyDescent="0.25">
      <c r="A6" s="37" t="s">
        <v>56</v>
      </c>
      <c r="B6" s="32" t="s">
        <v>68</v>
      </c>
      <c r="C6" s="34">
        <f>'D41 Turrialba'!C38</f>
        <v>346</v>
      </c>
      <c r="D6" s="41">
        <f>'D41 Turrialba'!D38</f>
        <v>112</v>
      </c>
      <c r="E6" s="66">
        <f t="shared" si="0"/>
        <v>0.32369942196531792</v>
      </c>
    </row>
    <row r="7" spans="1:5" x14ac:dyDescent="0.25">
      <c r="A7" s="37" t="s">
        <v>57</v>
      </c>
      <c r="B7" s="32" t="s">
        <v>69</v>
      </c>
      <c r="C7" s="34">
        <f>'D42 Alvarado'!C39</f>
        <v>249</v>
      </c>
      <c r="D7" s="41">
        <f>'D42 Alvarado'!D39</f>
        <v>132</v>
      </c>
      <c r="E7" s="66">
        <f t="shared" si="0"/>
        <v>0.53012048192771088</v>
      </c>
    </row>
    <row r="8" spans="1:5" x14ac:dyDescent="0.25">
      <c r="A8" s="37" t="s">
        <v>58</v>
      </c>
      <c r="B8" s="32" t="s">
        <v>70</v>
      </c>
      <c r="C8" s="34">
        <f>'D43 Oreamuno'!C38</f>
        <v>728</v>
      </c>
      <c r="D8" s="41">
        <f>'D43 Oreamuno'!D38</f>
        <v>145</v>
      </c>
      <c r="E8" s="66">
        <f t="shared" si="0"/>
        <v>0.19917582417582416</v>
      </c>
    </row>
    <row r="9" spans="1:5" x14ac:dyDescent="0.25">
      <c r="A9" s="37" t="s">
        <v>59</v>
      </c>
      <c r="B9" s="32" t="s">
        <v>71</v>
      </c>
      <c r="C9" s="34">
        <f>'D44 El Guarco'!C38</f>
        <v>295</v>
      </c>
      <c r="D9" s="41">
        <f>'D44 El Guarco'!D38</f>
        <v>144</v>
      </c>
      <c r="E9" s="66">
        <f t="shared" si="0"/>
        <v>0.488135593220339</v>
      </c>
    </row>
    <row r="10" spans="1:5" x14ac:dyDescent="0.25">
      <c r="A10" s="37" t="s">
        <v>60</v>
      </c>
      <c r="B10" s="32" t="s">
        <v>72</v>
      </c>
      <c r="C10" s="34">
        <f>'D45 Tarrazú'!C38</f>
        <v>388</v>
      </c>
      <c r="D10" s="41">
        <f>'D45 Tarrazú'!D38</f>
        <v>186</v>
      </c>
      <c r="E10" s="66">
        <f t="shared" si="0"/>
        <v>0.47938144329896909</v>
      </c>
    </row>
    <row r="11" spans="1:5" x14ac:dyDescent="0.25">
      <c r="A11" s="37" t="s">
        <v>61</v>
      </c>
      <c r="B11" s="32" t="s">
        <v>73</v>
      </c>
      <c r="C11" s="34">
        <f>'D46 Dota'!C34</f>
        <v>269</v>
      </c>
      <c r="D11" s="41">
        <f>'D46 Dota'!D34</f>
        <v>76</v>
      </c>
      <c r="E11" s="66">
        <f t="shared" si="0"/>
        <v>0.28252788104089221</v>
      </c>
    </row>
    <row r="12" spans="1:5" x14ac:dyDescent="0.25">
      <c r="A12" s="37" t="s">
        <v>62</v>
      </c>
      <c r="B12" s="32" t="s">
        <v>74</v>
      </c>
      <c r="C12" s="34">
        <f>'D47 León Cortés'!C36</f>
        <v>294</v>
      </c>
      <c r="D12" s="41">
        <f>'D47 León Cortés'!D36</f>
        <v>146</v>
      </c>
      <c r="E12" s="66">
        <f t="shared" si="0"/>
        <v>0.49659863945578231</v>
      </c>
    </row>
    <row r="13" spans="1:5" x14ac:dyDescent="0.25">
      <c r="A13" s="37" t="s">
        <v>63</v>
      </c>
      <c r="B13" s="32" t="s">
        <v>75</v>
      </c>
      <c r="C13" s="34">
        <f>'D48 Guadalupe'!C36</f>
        <v>304</v>
      </c>
      <c r="D13" s="41">
        <f>'D48 Guadalupe'!D36</f>
        <v>111</v>
      </c>
      <c r="E13" s="66">
        <f t="shared" si="0"/>
        <v>0.36513157894736842</v>
      </c>
    </row>
    <row r="14" spans="1:5" x14ac:dyDescent="0.25">
      <c r="B14" s="31" t="s">
        <v>51</v>
      </c>
      <c r="C14" s="36">
        <f>SUM(C2:C13)</f>
        <v>4631</v>
      </c>
      <c r="D14" s="36">
        <f>SUM(D2:D13)</f>
        <v>1781</v>
      </c>
      <c r="E14" s="66">
        <f>D14/C14</f>
        <v>0.38458216367955084</v>
      </c>
    </row>
  </sheetData>
  <sheetProtection autoFilter="0"/>
  <mergeCells count="1">
    <mergeCell ref="A1:B1"/>
  </mergeCells>
  <phoneticPr fontId="11" type="noConversion"/>
  <conditionalFormatting sqref="C2:D2">
    <cfRule type="dataBar" priority="26">
      <dataBar>
        <cfvo type="min"/>
        <cfvo type="max"/>
        <color rgb="FF008AEF"/>
      </dataBar>
      <extLst>
        <ext xmlns:x14="http://schemas.microsoft.com/office/spreadsheetml/2009/9/main" uri="{B025F937-C7B1-47D3-B67F-A62EFF666E3E}">
          <x14:id>{3879BB07-0C8B-43B5-989B-5A74D0B00254}</x14:id>
        </ext>
      </extLst>
    </cfRule>
  </conditionalFormatting>
  <conditionalFormatting sqref="C3:D3">
    <cfRule type="dataBar" priority="17">
      <dataBar>
        <cfvo type="min"/>
        <cfvo type="max"/>
        <color rgb="FF008AEF"/>
      </dataBar>
      <extLst>
        <ext xmlns:x14="http://schemas.microsoft.com/office/spreadsheetml/2009/9/main" uri="{B025F937-C7B1-47D3-B67F-A62EFF666E3E}">
          <x14:id>{B66A5258-01B4-491C-AADC-CDC71FE34CBB}</x14:id>
        </ext>
      </extLst>
    </cfRule>
  </conditionalFormatting>
  <conditionalFormatting sqref="C4:D4">
    <cfRule type="dataBar" priority="16">
      <dataBar>
        <cfvo type="min"/>
        <cfvo type="max"/>
        <color rgb="FF008AEF"/>
      </dataBar>
      <extLst>
        <ext xmlns:x14="http://schemas.microsoft.com/office/spreadsheetml/2009/9/main" uri="{B025F937-C7B1-47D3-B67F-A62EFF666E3E}">
          <x14:id>{9EBBCBF1-136D-44B1-8316-57DE36995C8B}</x14:id>
        </ext>
      </extLst>
    </cfRule>
  </conditionalFormatting>
  <conditionalFormatting sqref="C5:D5">
    <cfRule type="dataBar" priority="15">
      <dataBar>
        <cfvo type="min"/>
        <cfvo type="max"/>
        <color rgb="FF008AEF"/>
      </dataBar>
      <extLst>
        <ext xmlns:x14="http://schemas.microsoft.com/office/spreadsheetml/2009/9/main" uri="{B025F937-C7B1-47D3-B67F-A62EFF666E3E}">
          <x14:id>{8E14658A-EDE8-4ACE-AA88-59A050B552D9}</x14:id>
        </ext>
      </extLst>
    </cfRule>
  </conditionalFormatting>
  <conditionalFormatting sqref="C6:D6">
    <cfRule type="dataBar" priority="14">
      <dataBar>
        <cfvo type="min"/>
        <cfvo type="max"/>
        <color rgb="FF008AEF"/>
      </dataBar>
      <extLst>
        <ext xmlns:x14="http://schemas.microsoft.com/office/spreadsheetml/2009/9/main" uri="{B025F937-C7B1-47D3-B67F-A62EFF666E3E}">
          <x14:id>{4B6A04C4-AC07-4A0C-AE5E-D6C7C78297C0}</x14:id>
        </ext>
      </extLst>
    </cfRule>
  </conditionalFormatting>
  <conditionalFormatting sqref="C7:D7">
    <cfRule type="dataBar" priority="13">
      <dataBar>
        <cfvo type="min"/>
        <cfvo type="max"/>
        <color rgb="FF008AEF"/>
      </dataBar>
      <extLst>
        <ext xmlns:x14="http://schemas.microsoft.com/office/spreadsheetml/2009/9/main" uri="{B025F937-C7B1-47D3-B67F-A62EFF666E3E}">
          <x14:id>{35151319-C479-4861-848D-6AD1EA339721}</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{DCE4CA7D-00E5-458A-998D-06505F3CFB33}</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{60788BF9-EC76-4462-9F1E-6F62E2056F59}</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{24B8CFDF-EAA1-4780-A0D4-D57D1BDD371A}</x14:id>
        </ext>
      </extLst>
    </cfRule>
  </conditionalFormatting>
  <conditionalFormatting sqref="C11:D11">
    <cfRule type="dataBar" priority="9">
      <dataBar>
        <cfvo type="min"/>
        <cfvo type="max"/>
        <color rgb="FF008AEF"/>
      </dataBar>
      <extLst>
        <ext xmlns:x14="http://schemas.microsoft.com/office/spreadsheetml/2009/9/main" uri="{B025F937-C7B1-47D3-B67F-A62EFF666E3E}">
          <x14:id>{2DA16D28-3A6D-44CC-AF52-D2D1F9C26018}</x14:id>
        </ext>
      </extLst>
    </cfRule>
  </conditionalFormatting>
  <conditionalFormatting sqref="C12:D12">
    <cfRule type="dataBar" priority="8">
      <dataBar>
        <cfvo type="min"/>
        <cfvo type="max"/>
        <color rgb="FF008AEF"/>
      </dataBar>
      <extLst>
        <ext xmlns:x14="http://schemas.microsoft.com/office/spreadsheetml/2009/9/main" uri="{B025F937-C7B1-47D3-B67F-A62EFF666E3E}">
          <x14:id>{5650D7A2-5961-4D7C-8960-F2BC6E27D931}</x14:id>
        </ext>
      </extLst>
    </cfRule>
  </conditionalFormatting>
  <conditionalFormatting sqref="C13:D13">
    <cfRule type="dataBar" priority="7">
      <dataBar>
        <cfvo type="min"/>
        <cfvo type="max"/>
        <color rgb="FF008AEF"/>
      </dataBar>
      <extLst>
        <ext xmlns:x14="http://schemas.microsoft.com/office/spreadsheetml/2009/9/main" uri="{B025F937-C7B1-47D3-B67F-A62EFF666E3E}">
          <x14:id>{01E3260A-93A9-4204-A8BC-3992ACDFC249}</x14:id>
        </ext>
      </extLst>
    </cfRule>
  </conditionalFormatting>
  <conditionalFormatting sqref="E2:E14">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879BB07-0C8B-43B5-989B-5A74D0B00254}">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B66A5258-01B4-491C-AADC-CDC71FE34CBB}">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9EBBCBF1-136D-44B1-8316-57DE36995C8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E14658A-EDE8-4ACE-AA88-59A050B552D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4B6A04C4-AC07-4A0C-AE5E-D6C7C78297C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35151319-C479-4861-848D-6AD1EA339721}">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CE4CA7D-00E5-458A-998D-06505F3CFB3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0788BF9-EC76-4462-9F1E-6F62E2056F59}">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24B8CFDF-EAA1-4780-A0D4-D57D1BDD371A}">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DA16D28-3A6D-44CC-AF52-D2D1F9C2601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650D7A2-5961-4D7C-8960-F2BC6E27D93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01E3260A-93A9-4204-A8BC-3992ACDFC249}">
            <x14:dataBar minLength="0" maxLength="100" gradient="0">
              <x14:cfvo type="autoMin"/>
              <x14:cfvo type="autoMax"/>
              <x14:negativeFillColor rgb="FFFF0000"/>
              <x14:axisColor rgb="FF000000"/>
            </x14:dataBar>
          </x14:cfRule>
          <xm:sqref>C13:D13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D37 Cartago</vt:lpstr>
      <vt:lpstr>D38 Paraiso</vt:lpstr>
      <vt:lpstr>D39 La Unión</vt:lpstr>
      <vt:lpstr>D40 Jiménez</vt:lpstr>
      <vt:lpstr>D41 Turrialba</vt:lpstr>
      <vt:lpstr>D42 Alvarado</vt:lpstr>
      <vt:lpstr>D43 Oreamuno</vt:lpstr>
      <vt:lpstr>D44 El Guarco</vt:lpstr>
      <vt:lpstr>D45 Tarrazú</vt:lpstr>
      <vt:lpstr>D46 Dota</vt:lpstr>
      <vt:lpstr>D47 León Cortés</vt:lpstr>
      <vt:lpstr>D48 Guadalupe</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2025-07-06T02:39:59Z</dcterms:created>
  <dcterms:modified xsi:type="dcterms:W3CDTF">2026-06-20T00:15:39Z</dcterms:modified>
</cp:coreProperties>
</file>