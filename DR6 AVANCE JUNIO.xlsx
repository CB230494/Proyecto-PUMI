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108720436\Desktop\CONTEO NACIONAL PAO 2026\AVANCE IER SEMESTRE JUNIO\"/>
    </mc:Choice>
  </mc:AlternateContent>
  <xr:revisionPtr revIDLastSave="0" documentId="8_{700ADADF-C9D0-4C2B-9871-93240F1998C9}" xr6:coauthVersionLast="47" xr6:coauthVersionMax="47" xr10:uidLastSave="{00000000-0000-0000-0000-000000000000}"/>
  <bookViews>
    <workbookView xWindow="-120" yWindow="-120" windowWidth="29040" windowHeight="15720" tabRatio="726" activeTab="8" xr2:uid="{00000000-000D-0000-FFFF-FFFF00000000}"/>
  </bookViews>
  <sheets>
    <sheet name="D71 Puntarenas" sheetId="1" r:id="rId1"/>
    <sheet name="D72 Esparza" sheetId="2" r:id="rId2"/>
    <sheet name="D73 Montes de Oro" sheetId="3" r:id="rId3"/>
    <sheet name="D74 Quepos" sheetId="4" r:id="rId4"/>
    <sheet name="D75 Parrita" sheetId="5" r:id="rId5"/>
    <sheet name="D76 Garabito" sheetId="6" r:id="rId6"/>
    <sheet name="D77 Paquera" sheetId="7" r:id="rId7"/>
    <sheet name="D78 Judas de Chomes" sheetId="8" r:id="rId8"/>
    <sheet name="Total Región" sheetId="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ABANG" localSheetId="1">[1]DAT2!#REF!</definedName>
    <definedName name="ABANG" localSheetId="2">[2]DAT2!#REF!</definedName>
    <definedName name="ABANG" localSheetId="3">[3]DAT2!#REF!</definedName>
    <definedName name="ABANG" localSheetId="4">[4]DAT2!#REF!</definedName>
    <definedName name="ABANG" localSheetId="5">[5]DAT2!#REF!</definedName>
    <definedName name="ABANG" localSheetId="6">[6]DAT2!#REF!</definedName>
    <definedName name="ABANG" localSheetId="7">[7]DAT2!#REF!</definedName>
    <definedName name="ABANG" localSheetId="8">[8]DAT2!#REF!</definedName>
    <definedName name="ABANG">[9]DAT2!#REF!</definedName>
    <definedName name="ACOS" localSheetId="1">[1]DAT2!#REF!</definedName>
    <definedName name="ACOS" localSheetId="2">[2]DAT2!#REF!</definedName>
    <definedName name="ACOS" localSheetId="3">[3]DAT2!#REF!</definedName>
    <definedName name="ACOS" localSheetId="4">[4]DAT2!#REF!</definedName>
    <definedName name="ACOS" localSheetId="5">[5]DAT2!#REF!</definedName>
    <definedName name="ACOS" localSheetId="6">[6]DAT2!#REF!</definedName>
    <definedName name="ACOS" localSheetId="7">[7]DAT2!#REF!</definedName>
    <definedName name="ACOS" localSheetId="8">[8]DAT2!#REF!</definedName>
    <definedName name="ACOS">[9]DAT2!#REF!</definedName>
    <definedName name="ALAJU" localSheetId="1">[1]DAT2!#REF!</definedName>
    <definedName name="ALAJU" localSheetId="2">[2]DAT2!#REF!</definedName>
    <definedName name="ALAJU" localSheetId="3">[3]DAT2!#REF!</definedName>
    <definedName name="ALAJU" localSheetId="4">[4]DAT2!#REF!</definedName>
    <definedName name="ALAJU" localSheetId="5">[5]DAT2!#REF!</definedName>
    <definedName name="ALAJU" localSheetId="6">[6]DAT2!#REF!</definedName>
    <definedName name="ALAJU" localSheetId="7">[7]DAT2!#REF!</definedName>
    <definedName name="ALAJU" localSheetId="8">[8]DAT2!#REF!</definedName>
    <definedName name="ALAJU">[9]DAT2!#REF!</definedName>
    <definedName name="ALAJUE" localSheetId="1">[1]DAT2!#REF!</definedName>
    <definedName name="ALAJUE" localSheetId="2">[2]DAT2!#REF!</definedName>
    <definedName name="ALAJUE" localSheetId="3">[3]DAT2!#REF!</definedName>
    <definedName name="ALAJUE" localSheetId="4">[4]DAT2!#REF!</definedName>
    <definedName name="ALAJUE" localSheetId="5">[5]DAT2!#REF!</definedName>
    <definedName name="ALAJUE" localSheetId="6">[6]DAT2!#REF!</definedName>
    <definedName name="ALAJUE" localSheetId="7">[7]DAT2!#REF!</definedName>
    <definedName name="ALAJUE" localSheetId="8">[8]DAT2!#REF!</definedName>
    <definedName name="ALAJUE">[9]DAT2!#REF!</definedName>
    <definedName name="ALVA" localSheetId="1">[1]DAT2!#REF!</definedName>
    <definedName name="ALVA" localSheetId="2">[2]DAT2!#REF!</definedName>
    <definedName name="ALVA" localSheetId="3">[3]DAT2!#REF!</definedName>
    <definedName name="ALVA" localSheetId="4">[4]DAT2!#REF!</definedName>
    <definedName name="ALVA" localSheetId="5">[5]DAT2!#REF!</definedName>
    <definedName name="ALVA" localSheetId="6">[6]DAT2!#REF!</definedName>
    <definedName name="ALVA" localSheetId="7">[7]DAT2!#REF!</definedName>
    <definedName name="ALVA" localSheetId="8">[8]DAT2!#REF!</definedName>
    <definedName name="ALVA">[9]DAT2!#REF!</definedName>
    <definedName name="ASERR" localSheetId="1">[1]DAT2!#REF!</definedName>
    <definedName name="ASERR" localSheetId="2">[2]DAT2!#REF!</definedName>
    <definedName name="ASERR" localSheetId="3">[3]DAT2!#REF!</definedName>
    <definedName name="ASERR" localSheetId="4">[4]DAT2!#REF!</definedName>
    <definedName name="ASERR" localSheetId="5">[5]DAT2!#REF!</definedName>
    <definedName name="ASERR" localSheetId="6">[6]DAT2!#REF!</definedName>
    <definedName name="ASERR" localSheetId="7">[7]DAT2!#REF!</definedName>
    <definedName name="ASERR" localSheetId="8">[8]DAT2!#REF!</definedName>
    <definedName name="ASERR">[9]DAT2!#REF!</definedName>
    <definedName name="ATE" localSheetId="1">[1]DAT2!#REF!</definedName>
    <definedName name="ATE" localSheetId="2">[2]DAT2!#REF!</definedName>
    <definedName name="ATE" localSheetId="3">[3]DAT2!#REF!</definedName>
    <definedName name="ATE" localSheetId="4">[4]DAT2!#REF!</definedName>
    <definedName name="ATE" localSheetId="5">[5]DAT2!#REF!</definedName>
    <definedName name="ATE" localSheetId="6">[6]DAT2!#REF!</definedName>
    <definedName name="ATE" localSheetId="7">[7]DAT2!#REF!</definedName>
    <definedName name="ATE" localSheetId="8">[8]DAT2!#REF!</definedName>
    <definedName name="ATE">[9]DAT2!#REF!</definedName>
    <definedName name="BAGAC" localSheetId="1">[1]DAT2!#REF!</definedName>
    <definedName name="BAGAC" localSheetId="2">[2]DAT2!#REF!</definedName>
    <definedName name="BAGAC" localSheetId="3">[3]DAT2!#REF!</definedName>
    <definedName name="BAGAC" localSheetId="4">[4]DAT2!#REF!</definedName>
    <definedName name="BAGAC" localSheetId="5">[5]DAT2!#REF!</definedName>
    <definedName name="BAGAC" localSheetId="6">[6]DAT2!#REF!</definedName>
    <definedName name="BAGAC" localSheetId="7">[7]DAT2!#REF!</definedName>
    <definedName name="BAGAC" localSheetId="8">[8]DAT2!#REF!</definedName>
    <definedName name="BAGAC">[9]DAT2!#REF!</definedName>
    <definedName name="BARV" localSheetId="1">[1]DAT2!#REF!</definedName>
    <definedName name="BARV" localSheetId="2">[2]DAT2!#REF!</definedName>
    <definedName name="BARV" localSheetId="3">[3]DAT2!#REF!</definedName>
    <definedName name="BARV" localSheetId="4">[4]DAT2!#REF!</definedName>
    <definedName name="BARV" localSheetId="5">[5]DAT2!#REF!</definedName>
    <definedName name="BARV" localSheetId="6">[6]DAT2!#REF!</definedName>
    <definedName name="BARV" localSheetId="7">[7]DAT2!#REF!</definedName>
    <definedName name="BARV" localSheetId="8">[8]DAT2!#REF!</definedName>
    <definedName name="BARV">[9]DAT2!#REF!</definedName>
    <definedName name="BEL" localSheetId="1">[1]DAT2!#REF!</definedName>
    <definedName name="BEL" localSheetId="2">[2]DAT2!#REF!</definedName>
    <definedName name="BEL" localSheetId="3">[3]DAT2!#REF!</definedName>
    <definedName name="BEL" localSheetId="4">[4]DAT2!#REF!</definedName>
    <definedName name="BEL" localSheetId="5">[5]DAT2!#REF!</definedName>
    <definedName name="BEL" localSheetId="6">[6]DAT2!#REF!</definedName>
    <definedName name="BEL" localSheetId="7">[7]DAT2!#REF!</definedName>
    <definedName name="BEL" localSheetId="8">[8]DAT2!#REF!</definedName>
    <definedName name="BEL">[9]DAT2!#REF!</definedName>
    <definedName name="BUEN" localSheetId="1">[1]DAT2!#REF!</definedName>
    <definedName name="BUEN" localSheetId="2">[2]DAT2!#REF!</definedName>
    <definedName name="BUEN" localSheetId="3">[3]DAT2!#REF!</definedName>
    <definedName name="BUEN" localSheetId="4">[4]DAT2!#REF!</definedName>
    <definedName name="BUEN" localSheetId="5">[5]DAT2!#REF!</definedName>
    <definedName name="BUEN" localSheetId="6">[6]DAT2!#REF!</definedName>
    <definedName name="BUEN" localSheetId="7">[7]DAT2!#REF!</definedName>
    <definedName name="BUEN" localSheetId="8">[8]DAT2!#REF!</definedName>
    <definedName name="BUEN">[9]DAT2!#REF!</definedName>
    <definedName name="CANTÓNN">[9]!Tabla103[#All]</definedName>
    <definedName name="CAÑ" localSheetId="1">[1]DAT2!#REF!</definedName>
    <definedName name="CAÑ" localSheetId="2">[2]DAT2!#REF!</definedName>
    <definedName name="CAÑ" localSheetId="3">[3]DAT2!#REF!</definedName>
    <definedName name="CAÑ" localSheetId="4">[4]DAT2!#REF!</definedName>
    <definedName name="CAÑ" localSheetId="5">[5]DAT2!#REF!</definedName>
    <definedName name="CAÑ" localSheetId="6">[6]DAT2!#REF!</definedName>
    <definedName name="CAÑ" localSheetId="7">[7]DAT2!#REF!</definedName>
    <definedName name="CAÑ" localSheetId="8">[8]DAT2!#REF!</definedName>
    <definedName name="CAÑ">[9]DAT2!#REF!</definedName>
    <definedName name="CARR" localSheetId="1">[1]DAT2!#REF!</definedName>
    <definedName name="CARR" localSheetId="2">[2]DAT2!#REF!</definedName>
    <definedName name="CARR" localSheetId="3">[3]DAT2!#REF!</definedName>
    <definedName name="CARR" localSheetId="4">[4]DAT2!#REF!</definedName>
    <definedName name="CARR" localSheetId="5">[5]DAT2!#REF!</definedName>
    <definedName name="CARR" localSheetId="6">[6]DAT2!#REF!</definedName>
    <definedName name="CARR" localSheetId="7">[7]DAT2!#REF!</definedName>
    <definedName name="CARR" localSheetId="8">[8]DAT2!#REF!</definedName>
    <definedName name="CARR">[9]DAT2!#REF!</definedName>
    <definedName name="CARTAG" localSheetId="1">[1]DAT2!#REF!</definedName>
    <definedName name="CARTAG" localSheetId="2">[2]DAT2!#REF!</definedName>
    <definedName name="CARTAG" localSheetId="3">[3]DAT2!#REF!</definedName>
    <definedName name="CARTAG" localSheetId="4">[4]DAT2!#REF!</definedName>
    <definedName name="CARTAG" localSheetId="5">[5]DAT2!#REF!</definedName>
    <definedName name="CARTAG" localSheetId="6">[6]DAT2!#REF!</definedName>
    <definedName name="CARTAG" localSheetId="7">[7]DAT2!#REF!</definedName>
    <definedName name="CARTAG" localSheetId="8">[8]DAT2!#REF!</definedName>
    <definedName name="CARTAG">[9]DAT2!#REF!</definedName>
    <definedName name="CORR" localSheetId="1">[1]DAT2!#REF!</definedName>
    <definedName name="CORR" localSheetId="2">[2]DAT2!#REF!</definedName>
    <definedName name="CORR" localSheetId="3">[3]DAT2!#REF!</definedName>
    <definedName name="CORR" localSheetId="4">[4]DAT2!#REF!</definedName>
    <definedName name="CORR" localSheetId="5">[5]DAT2!#REF!</definedName>
    <definedName name="CORR" localSheetId="6">[6]DAT2!#REF!</definedName>
    <definedName name="CORR" localSheetId="7">[7]DAT2!#REF!</definedName>
    <definedName name="CORR" localSheetId="8">[8]DAT2!#REF!</definedName>
    <definedName name="CORR">[9]DAT2!#REF!</definedName>
    <definedName name="COTB" localSheetId="1">[1]DAT2!#REF!</definedName>
    <definedName name="COTB" localSheetId="2">[2]DAT2!#REF!</definedName>
    <definedName name="COTB" localSheetId="3">[3]DAT2!#REF!</definedName>
    <definedName name="COTB" localSheetId="4">[4]DAT2!#REF!</definedName>
    <definedName name="COTB" localSheetId="5">[5]DAT2!#REF!</definedName>
    <definedName name="COTB" localSheetId="6">[6]DAT2!#REF!</definedName>
    <definedName name="COTB" localSheetId="7">[7]DAT2!#REF!</definedName>
    <definedName name="COTB" localSheetId="8">[8]DAT2!#REF!</definedName>
    <definedName name="COTB">[9]DAT2!#REF!</definedName>
    <definedName name="CURRI" localSheetId="1">[1]DAT2!#REF!</definedName>
    <definedName name="CURRI" localSheetId="2">[2]DAT2!#REF!</definedName>
    <definedName name="CURRI" localSheetId="3">[3]DAT2!#REF!</definedName>
    <definedName name="CURRI" localSheetId="4">[4]DAT2!#REF!</definedName>
    <definedName name="CURRI" localSheetId="5">[5]DAT2!#REF!</definedName>
    <definedName name="CURRI" localSheetId="6">[6]DAT2!#REF!</definedName>
    <definedName name="CURRI" localSheetId="7">[7]DAT2!#REF!</definedName>
    <definedName name="CURRI" localSheetId="8">[8]DAT2!#REF!</definedName>
    <definedName name="CURRI">[9]DAT2!#REF!</definedName>
    <definedName name="DESAMP" localSheetId="1">[1]DAT2!#REF!</definedName>
    <definedName name="DESAMP" localSheetId="2">[2]DAT2!#REF!</definedName>
    <definedName name="DESAMP" localSheetId="3">[3]DAT2!#REF!</definedName>
    <definedName name="DESAMP" localSheetId="4">[4]DAT2!#REF!</definedName>
    <definedName name="DESAMP" localSheetId="5">[5]DAT2!#REF!</definedName>
    <definedName name="DESAMP" localSheetId="6">[6]DAT2!#REF!</definedName>
    <definedName name="DESAMP" localSheetId="7">[7]DAT2!#REF!</definedName>
    <definedName name="DESAMP" localSheetId="8">[8]DAT2!#REF!</definedName>
    <definedName name="DESAMP">[9]DAT2!#REF!</definedName>
    <definedName name="DISTRI" localSheetId="1">#REF!</definedName>
    <definedName name="DISTRI" localSheetId="2">#REF!</definedName>
    <definedName name="DISTRI" localSheetId="3">#REF!</definedName>
    <definedName name="DISTRI" localSheetId="4">#REF!</definedName>
    <definedName name="DISTRI" localSheetId="5">#REF!</definedName>
    <definedName name="DISTRI" localSheetId="6">#REF!</definedName>
    <definedName name="DISTRI" localSheetId="7">#REF!</definedName>
    <definedName name="DISTRI" localSheetId="8">#REF!</definedName>
    <definedName name="DISTRI">#REF!</definedName>
    <definedName name="DOTA" localSheetId="1">[1]DAT2!#REF!</definedName>
    <definedName name="DOTA" localSheetId="2">[2]DAT2!#REF!</definedName>
    <definedName name="DOTA" localSheetId="3">[3]DAT2!#REF!</definedName>
    <definedName name="DOTA" localSheetId="4">[4]DAT2!#REF!</definedName>
    <definedName name="DOTA" localSheetId="5">[5]DAT2!#REF!</definedName>
    <definedName name="DOTA" localSheetId="6">[6]DAT2!#REF!</definedName>
    <definedName name="DOTA" localSheetId="7">[7]DAT2!#REF!</definedName>
    <definedName name="DOTA" localSheetId="8">[8]DAT2!#REF!</definedName>
    <definedName name="DOTA">[9]DAT2!#REF!</definedName>
    <definedName name="ELGUA" localSheetId="1">[1]DAT2!#REF!</definedName>
    <definedName name="ELGUA" localSheetId="2">[2]DAT2!#REF!</definedName>
    <definedName name="ELGUA" localSheetId="3">[3]DAT2!#REF!</definedName>
    <definedName name="ELGUA" localSheetId="4">[4]DAT2!#REF!</definedName>
    <definedName name="ELGUA" localSheetId="5">[5]DAT2!#REF!</definedName>
    <definedName name="ELGUA" localSheetId="6">[6]DAT2!#REF!</definedName>
    <definedName name="ELGUA" localSheetId="7">[7]DAT2!#REF!</definedName>
    <definedName name="ELGUA" localSheetId="8">[8]DAT2!#REF!</definedName>
    <definedName name="ELGUA">[9]DAT2!#REF!</definedName>
    <definedName name="ESCAZ" localSheetId="1">[1]DAT2!#REF!</definedName>
    <definedName name="ESCAZ" localSheetId="2">[2]DAT2!#REF!</definedName>
    <definedName name="ESCAZ" localSheetId="3">[3]DAT2!#REF!</definedName>
    <definedName name="ESCAZ" localSheetId="4">[4]DAT2!#REF!</definedName>
    <definedName name="ESCAZ" localSheetId="5">[5]DAT2!#REF!</definedName>
    <definedName name="ESCAZ" localSheetId="6">[6]DAT2!#REF!</definedName>
    <definedName name="ESCAZ" localSheetId="7">[7]DAT2!#REF!</definedName>
    <definedName name="ESCAZ" localSheetId="8">[8]DAT2!#REF!</definedName>
    <definedName name="ESCAZ">[9]DAT2!#REF!</definedName>
    <definedName name="ESPA" localSheetId="1">[1]DAT2!#REF!</definedName>
    <definedName name="ESPA" localSheetId="2">[2]DAT2!#REF!</definedName>
    <definedName name="ESPA" localSheetId="3">[3]DAT2!#REF!</definedName>
    <definedName name="ESPA" localSheetId="4">[4]DAT2!#REF!</definedName>
    <definedName name="ESPA" localSheetId="5">[5]DAT2!#REF!</definedName>
    <definedName name="ESPA" localSheetId="6">[6]DAT2!#REF!</definedName>
    <definedName name="ESPA" localSheetId="7">[7]DAT2!#REF!</definedName>
    <definedName name="ESPA" localSheetId="8">[8]DAT2!#REF!</definedName>
    <definedName name="ESPA">[9]DAT2!#REF!</definedName>
    <definedName name="FLOR" localSheetId="1">[1]DAT2!#REF!</definedName>
    <definedName name="FLOR" localSheetId="2">[2]DAT2!#REF!</definedName>
    <definedName name="FLOR" localSheetId="3">[3]DAT2!#REF!</definedName>
    <definedName name="FLOR" localSheetId="4">[4]DAT2!#REF!</definedName>
    <definedName name="FLOR" localSheetId="5">[5]DAT2!#REF!</definedName>
    <definedName name="FLOR" localSheetId="6">[6]DAT2!#REF!</definedName>
    <definedName name="FLOR" localSheetId="7">[7]DAT2!#REF!</definedName>
    <definedName name="FLOR" localSheetId="8">[8]DAT2!#REF!</definedName>
    <definedName name="FLOR">[9]DAT2!#REF!</definedName>
    <definedName name="GARAB" localSheetId="1">[1]DAT2!#REF!</definedName>
    <definedName name="GARAB" localSheetId="2">[2]DAT2!#REF!</definedName>
    <definedName name="GARAB" localSheetId="3">[3]DAT2!#REF!</definedName>
    <definedName name="GARAB" localSheetId="4">[4]DAT2!#REF!</definedName>
    <definedName name="GARAB" localSheetId="5">[5]DAT2!#REF!</definedName>
    <definedName name="GARAB" localSheetId="6">[6]DAT2!#REF!</definedName>
    <definedName name="GARAB" localSheetId="7">[7]DAT2!#REF!</definedName>
    <definedName name="GARAB" localSheetId="8">[8]DAT2!#REF!</definedName>
    <definedName name="GARAB">[9]DAT2!#REF!</definedName>
    <definedName name="GOIC" localSheetId="1">[1]DAT2!#REF!</definedName>
    <definedName name="GOIC" localSheetId="2">[2]DAT2!#REF!</definedName>
    <definedName name="GOIC" localSheetId="3">[3]DAT2!#REF!</definedName>
    <definedName name="GOIC" localSheetId="4">[4]DAT2!#REF!</definedName>
    <definedName name="GOIC" localSheetId="5">[5]DAT2!#REF!</definedName>
    <definedName name="GOIC" localSheetId="6">[6]DAT2!#REF!</definedName>
    <definedName name="GOIC" localSheetId="7">[7]DAT2!#REF!</definedName>
    <definedName name="GOIC" localSheetId="8">[8]DAT2!#REF!</definedName>
    <definedName name="GOIC">[9]DAT2!#REF!</definedName>
    <definedName name="GOLF" localSheetId="1">[1]DAT2!#REF!</definedName>
    <definedName name="GOLF" localSheetId="2">[2]DAT2!#REF!</definedName>
    <definedName name="GOLF" localSheetId="3">[3]DAT2!#REF!</definedName>
    <definedName name="GOLF" localSheetId="4">[4]DAT2!#REF!</definedName>
    <definedName name="GOLF" localSheetId="5">[5]DAT2!#REF!</definedName>
    <definedName name="GOLF" localSheetId="6">[6]DAT2!#REF!</definedName>
    <definedName name="GOLF" localSheetId="7">[7]DAT2!#REF!</definedName>
    <definedName name="GOLF" localSheetId="8">[8]DAT2!#REF!</definedName>
    <definedName name="GOLF">[9]DAT2!#REF!</definedName>
    <definedName name="GREC" localSheetId="1">[1]DAT2!#REF!</definedName>
    <definedName name="GREC" localSheetId="2">[2]DAT2!#REF!</definedName>
    <definedName name="GREC" localSheetId="3">[3]DAT2!#REF!</definedName>
    <definedName name="GREC" localSheetId="4">[4]DAT2!#REF!</definedName>
    <definedName name="GREC" localSheetId="5">[5]DAT2!#REF!</definedName>
    <definedName name="GREC" localSheetId="6">[6]DAT2!#REF!</definedName>
    <definedName name="GREC" localSheetId="7">[7]DAT2!#REF!</definedName>
    <definedName name="GREC" localSheetId="8">[8]DAT2!#REF!</definedName>
    <definedName name="GREC">[9]DAT2!#REF!</definedName>
    <definedName name="GUAC" localSheetId="1">[1]DAT2!#REF!</definedName>
    <definedName name="GUAC" localSheetId="2">[2]DAT2!#REF!</definedName>
    <definedName name="GUAC" localSheetId="3">[3]DAT2!#REF!</definedName>
    <definedName name="GUAC" localSheetId="4">[4]DAT2!#REF!</definedName>
    <definedName name="GUAC" localSheetId="5">[5]DAT2!#REF!</definedName>
    <definedName name="GUAC" localSheetId="6">[6]DAT2!#REF!</definedName>
    <definedName name="GUAC" localSheetId="7">[7]DAT2!#REF!</definedName>
    <definedName name="GUAC" localSheetId="8">[8]DAT2!#REF!</definedName>
    <definedName name="GUAC">[9]DAT2!#REF!</definedName>
    <definedName name="GUATU" localSheetId="1">[1]DAT2!#REF!</definedName>
    <definedName name="GUATU" localSheetId="2">[2]DAT2!#REF!</definedName>
    <definedName name="GUATU" localSheetId="3">[3]DAT2!#REF!</definedName>
    <definedName name="GUATU" localSheetId="4">[4]DAT2!#REF!</definedName>
    <definedName name="GUATU" localSheetId="5">[5]DAT2!#REF!</definedName>
    <definedName name="GUATU" localSheetId="6">[6]DAT2!#REF!</definedName>
    <definedName name="GUATU" localSheetId="7">[7]DAT2!#REF!</definedName>
    <definedName name="GUATU" localSheetId="8">[8]DAT2!#REF!</definedName>
    <definedName name="GUATU">[9]DAT2!#REF!</definedName>
    <definedName name="HERED" localSheetId="1">[1]DAT2!#REF!</definedName>
    <definedName name="HERED" localSheetId="2">[2]DAT2!#REF!</definedName>
    <definedName name="HERED" localSheetId="3">[3]DAT2!#REF!</definedName>
    <definedName name="HERED" localSheetId="4">[4]DAT2!#REF!</definedName>
    <definedName name="HERED" localSheetId="5">[5]DAT2!#REF!</definedName>
    <definedName name="HERED" localSheetId="6">[6]DAT2!#REF!</definedName>
    <definedName name="HERED" localSheetId="7">[7]DAT2!#REF!</definedName>
    <definedName name="HERED" localSheetId="8">[8]DAT2!#REF!</definedName>
    <definedName name="HERED">[9]DAT2!#REF!</definedName>
    <definedName name="HOJA" localSheetId="1">[1]DAT2!#REF!</definedName>
    <definedName name="HOJA" localSheetId="2">[2]DAT2!#REF!</definedName>
    <definedName name="HOJA" localSheetId="3">[3]DAT2!#REF!</definedName>
    <definedName name="HOJA" localSheetId="4">[4]DAT2!#REF!</definedName>
    <definedName name="HOJA" localSheetId="5">[5]DAT2!#REF!</definedName>
    <definedName name="HOJA" localSheetId="6">[6]DAT2!#REF!</definedName>
    <definedName name="HOJA" localSheetId="7">[7]DAT2!#REF!</definedName>
    <definedName name="HOJA" localSheetId="8">[8]DAT2!#REF!</definedName>
    <definedName name="HOJA">[9]DAT2!#REF!</definedName>
    <definedName name="JE">[9]!Tabla103[#All]</definedName>
    <definedName name="jes">[9]!Tabla103[#All]</definedName>
    <definedName name="JIME" localSheetId="1">[1]DAT2!#REF!</definedName>
    <definedName name="JIME" localSheetId="2">[2]DAT2!#REF!</definedName>
    <definedName name="JIME" localSheetId="3">[3]DAT2!#REF!</definedName>
    <definedName name="JIME" localSheetId="4">[4]DAT2!#REF!</definedName>
    <definedName name="JIME" localSheetId="5">[5]DAT2!#REF!</definedName>
    <definedName name="JIME" localSheetId="6">[6]DAT2!#REF!</definedName>
    <definedName name="JIME" localSheetId="7">[7]DAT2!#REF!</definedName>
    <definedName name="JIME" localSheetId="8">[8]DAT2!#REF!</definedName>
    <definedName name="JIME">[9]DAT2!#REF!</definedName>
    <definedName name="LACRU" localSheetId="1">[1]DAT2!#REF!</definedName>
    <definedName name="LACRU" localSheetId="2">[2]DAT2!#REF!</definedName>
    <definedName name="LACRU" localSheetId="3">[3]DAT2!#REF!</definedName>
    <definedName name="LACRU" localSheetId="4">[4]DAT2!#REF!</definedName>
    <definedName name="LACRU" localSheetId="5">[5]DAT2!#REF!</definedName>
    <definedName name="LACRU" localSheetId="6">[6]DAT2!#REF!</definedName>
    <definedName name="LACRU" localSheetId="7">[7]DAT2!#REF!</definedName>
    <definedName name="LACRU" localSheetId="8">[8]DAT2!#REF!</definedName>
    <definedName name="LACRU">[9]DAT2!#REF!</definedName>
    <definedName name="LAUN" localSheetId="1">[1]DAT2!#REF!</definedName>
    <definedName name="LAUN" localSheetId="2">[2]DAT2!#REF!</definedName>
    <definedName name="LAUN" localSheetId="3">[3]DAT2!#REF!</definedName>
    <definedName name="LAUN" localSheetId="4">[4]DAT2!#REF!</definedName>
    <definedName name="LAUN" localSheetId="5">[5]DAT2!#REF!</definedName>
    <definedName name="LAUN" localSheetId="6">[6]DAT2!#REF!</definedName>
    <definedName name="LAUN" localSheetId="7">[7]DAT2!#REF!</definedName>
    <definedName name="LAUN" localSheetId="8">[8]DAT2!#REF!</definedName>
    <definedName name="LAUN">[9]DAT2!#REF!</definedName>
    <definedName name="LEO" localSheetId="1">[1]DAT1!#REF!</definedName>
    <definedName name="LEO" localSheetId="2">[2]DAT1!#REF!</definedName>
    <definedName name="LEO" localSheetId="3">[3]DAT1!#REF!</definedName>
    <definedName name="LEO" localSheetId="4">[4]DAT1!#REF!</definedName>
    <definedName name="LEO" localSheetId="5">[5]DAT1!#REF!</definedName>
    <definedName name="LEO" localSheetId="6">[6]DAT1!#REF!</definedName>
    <definedName name="LEO" localSheetId="7">[7]DAT1!#REF!</definedName>
    <definedName name="LEO" localSheetId="8">[8]DAT1!#REF!</definedName>
    <definedName name="LEO">[9]DAT1!#REF!</definedName>
    <definedName name="LIB" localSheetId="1">[1]DAT2!#REF!</definedName>
    <definedName name="LIB" localSheetId="2">[2]DAT2!#REF!</definedName>
    <definedName name="LIB" localSheetId="3">[3]DAT2!#REF!</definedName>
    <definedName name="LIB" localSheetId="4">[4]DAT2!#REF!</definedName>
    <definedName name="LIB" localSheetId="5">[5]DAT2!#REF!</definedName>
    <definedName name="LIB" localSheetId="6">[6]DAT2!#REF!</definedName>
    <definedName name="LIB" localSheetId="7">[7]DAT2!#REF!</definedName>
    <definedName name="LIB" localSheetId="8">[8]DAT2!#REF!</definedName>
    <definedName name="LIB">[9]DAT2!#REF!</definedName>
    <definedName name="LIM" localSheetId="1">[1]DAT2!#REF!</definedName>
    <definedName name="LIM" localSheetId="2">[2]DAT2!#REF!</definedName>
    <definedName name="LIM" localSheetId="3">[3]DAT2!#REF!</definedName>
    <definedName name="LIM" localSheetId="4">[4]DAT2!#REF!</definedName>
    <definedName name="LIM" localSheetId="5">[5]DAT2!#REF!</definedName>
    <definedName name="LIM" localSheetId="6">[6]DAT2!#REF!</definedName>
    <definedName name="LIM" localSheetId="7">[7]DAT2!#REF!</definedName>
    <definedName name="LIM" localSheetId="8">[8]DAT2!#REF!</definedName>
    <definedName name="LIM">[9]DAT2!#REF!</definedName>
    <definedName name="LOSCHI" localSheetId="1">[1]DAT2!#REF!</definedName>
    <definedName name="LOSCHI" localSheetId="2">[2]DAT2!#REF!</definedName>
    <definedName name="LOSCHI" localSheetId="3">[3]DAT2!#REF!</definedName>
    <definedName name="LOSCHI" localSheetId="4">[4]DAT2!#REF!</definedName>
    <definedName name="LOSCHI" localSheetId="5">[5]DAT2!#REF!</definedName>
    <definedName name="LOSCHI" localSheetId="6">[6]DAT2!#REF!</definedName>
    <definedName name="LOSCHI" localSheetId="7">[7]DAT2!#REF!</definedName>
    <definedName name="LOSCHI" localSheetId="8">[8]DAT2!#REF!</definedName>
    <definedName name="LOSCHI">[9]DAT2!#REF!</definedName>
    <definedName name="MAT" localSheetId="1">[1]DAT2!#REF!</definedName>
    <definedName name="MAT" localSheetId="2">[2]DAT2!#REF!</definedName>
    <definedName name="MAT" localSheetId="3">[3]DAT2!#REF!</definedName>
    <definedName name="MAT" localSheetId="4">[4]DAT2!#REF!</definedName>
    <definedName name="MAT" localSheetId="5">[5]DAT2!#REF!</definedName>
    <definedName name="MAT" localSheetId="6">[6]DAT2!#REF!</definedName>
    <definedName name="MAT" localSheetId="7">[7]DAT2!#REF!</definedName>
    <definedName name="MAT" localSheetId="8">[8]DAT2!#REF!</definedName>
    <definedName name="MAT">[9]DAT2!#REF!</definedName>
    <definedName name="MONTEV" localSheetId="1">[1]DAT2!#REF!</definedName>
    <definedName name="MONTEV" localSheetId="2">[2]DAT2!#REF!</definedName>
    <definedName name="MONTEV" localSheetId="3">[3]DAT2!#REF!</definedName>
    <definedName name="MONTEV" localSheetId="4">[4]DAT2!#REF!</definedName>
    <definedName name="MONTEV" localSheetId="5">[5]DAT2!#REF!</definedName>
    <definedName name="MONTEV" localSheetId="6">[6]DAT2!#REF!</definedName>
    <definedName name="MONTEV" localSheetId="7">[7]DAT2!#REF!</definedName>
    <definedName name="MONTEV" localSheetId="8">[8]DAT2!#REF!</definedName>
    <definedName name="MONTEV">[9]DAT2!#REF!</definedName>
    <definedName name="MONTOC" localSheetId="1">[1]DAT2!#REF!</definedName>
    <definedName name="MONTOC" localSheetId="2">[2]DAT2!#REF!</definedName>
    <definedName name="MONTOC" localSheetId="3">[3]DAT2!#REF!</definedName>
    <definedName name="MONTOC" localSheetId="4">[4]DAT2!#REF!</definedName>
    <definedName name="MONTOC" localSheetId="5">[5]DAT2!#REF!</definedName>
    <definedName name="MONTOC" localSheetId="6">[6]DAT2!#REF!</definedName>
    <definedName name="MONTOC" localSheetId="7">[7]DAT2!#REF!</definedName>
    <definedName name="MONTOC" localSheetId="8">[8]DAT2!#REF!</definedName>
    <definedName name="MONTOC">[9]DAT2!#REF!</definedName>
    <definedName name="MONTOR" localSheetId="1">[1]DAT2!#REF!</definedName>
    <definedName name="MONTOR" localSheetId="2">[2]DAT2!#REF!</definedName>
    <definedName name="MONTOR" localSheetId="3">[3]DAT2!#REF!</definedName>
    <definedName name="MONTOR" localSheetId="4">[4]DAT2!#REF!</definedName>
    <definedName name="MONTOR" localSheetId="5">[5]DAT2!#REF!</definedName>
    <definedName name="MONTOR" localSheetId="6">[6]DAT2!#REF!</definedName>
    <definedName name="MONTOR" localSheetId="7">[7]DAT2!#REF!</definedName>
    <definedName name="MONTOR" localSheetId="8">[8]DAT2!#REF!</definedName>
    <definedName name="MONTOR">[9]DAT2!#REF!</definedName>
    <definedName name="MOR" localSheetId="1">[1]DAT2!#REF!</definedName>
    <definedName name="MOR" localSheetId="2">[2]DAT2!#REF!</definedName>
    <definedName name="MOR" localSheetId="3">[3]DAT2!#REF!</definedName>
    <definedName name="MOR" localSheetId="4">[4]DAT2!#REF!</definedName>
    <definedName name="MOR" localSheetId="5">[5]DAT2!#REF!</definedName>
    <definedName name="MOR" localSheetId="6">[6]DAT2!#REF!</definedName>
    <definedName name="MOR" localSheetId="7">[7]DAT2!#REF!</definedName>
    <definedName name="MOR" localSheetId="8">[8]DAT2!#REF!</definedName>
    <definedName name="MOR">[9]DAT2!#REF!</definedName>
    <definedName name="MORAV" localSheetId="1">[1]DAT2!#REF!</definedName>
    <definedName name="MORAV" localSheetId="2">[2]DAT2!#REF!</definedName>
    <definedName name="MORAV" localSheetId="3">[3]DAT2!#REF!</definedName>
    <definedName name="MORAV" localSheetId="4">[4]DAT2!#REF!</definedName>
    <definedName name="MORAV" localSheetId="5">[5]DAT2!#REF!</definedName>
    <definedName name="MORAV" localSheetId="6">[6]DAT2!#REF!</definedName>
    <definedName name="MORAV" localSheetId="7">[7]DAT2!#REF!</definedName>
    <definedName name="MORAV" localSheetId="8">[8]DAT2!#REF!</definedName>
    <definedName name="MORAV">[9]DAT2!#REF!</definedName>
    <definedName name="NAND" localSheetId="1">[1]DAT2!#REF!</definedName>
    <definedName name="NAND" localSheetId="2">[2]DAT2!#REF!</definedName>
    <definedName name="NAND" localSheetId="3">[3]DAT2!#REF!</definedName>
    <definedName name="NAND" localSheetId="4">[4]DAT2!#REF!</definedName>
    <definedName name="NAND" localSheetId="5">[5]DAT2!#REF!</definedName>
    <definedName name="NAND" localSheetId="6">[6]DAT2!#REF!</definedName>
    <definedName name="NAND" localSheetId="7">[7]DAT2!#REF!</definedName>
    <definedName name="NAND" localSheetId="8">[8]DAT2!#REF!</definedName>
    <definedName name="NAND">[9]DAT2!#REF!</definedName>
    <definedName name="NARA" localSheetId="1">[1]DAT2!#REF!</definedName>
    <definedName name="NARA" localSheetId="2">[2]DAT2!#REF!</definedName>
    <definedName name="NARA" localSheetId="3">[3]DAT2!#REF!</definedName>
    <definedName name="NARA" localSheetId="4">[4]DAT2!#REF!</definedName>
    <definedName name="NARA" localSheetId="5">[5]DAT2!#REF!</definedName>
    <definedName name="NARA" localSheetId="6">[6]DAT2!#REF!</definedName>
    <definedName name="NARA" localSheetId="7">[7]DAT2!#REF!</definedName>
    <definedName name="NARA" localSheetId="8">[8]DAT2!#REF!</definedName>
    <definedName name="NARA">[9]DAT2!#REF!</definedName>
    <definedName name="NICO" localSheetId="1">[1]DAT2!#REF!</definedName>
    <definedName name="NICO" localSheetId="2">[2]DAT2!#REF!</definedName>
    <definedName name="NICO" localSheetId="3">[3]DAT2!#REF!</definedName>
    <definedName name="NICO" localSheetId="4">[4]DAT2!#REF!</definedName>
    <definedName name="NICO" localSheetId="5">[5]DAT2!#REF!</definedName>
    <definedName name="NICO" localSheetId="6">[6]DAT2!#REF!</definedName>
    <definedName name="NICO" localSheetId="7">[7]DAT2!#REF!</definedName>
    <definedName name="NICO" localSheetId="8">[8]DAT2!#REF!</definedName>
    <definedName name="NICO">[9]DAT2!#REF!</definedName>
    <definedName name="OREAMU" localSheetId="1">[1]DAT2!#REF!</definedName>
    <definedName name="OREAMU" localSheetId="2">[2]DAT2!#REF!</definedName>
    <definedName name="OREAMU" localSheetId="3">[3]DAT2!#REF!</definedName>
    <definedName name="OREAMU" localSheetId="4">[4]DAT2!#REF!</definedName>
    <definedName name="OREAMU" localSheetId="5">[5]DAT2!#REF!</definedName>
    <definedName name="OREAMU" localSheetId="6">[6]DAT2!#REF!</definedName>
    <definedName name="OREAMU" localSheetId="7">[7]DAT2!#REF!</definedName>
    <definedName name="OREAMU" localSheetId="8">[8]DAT2!#REF!</definedName>
    <definedName name="OREAMU">[9]DAT2!#REF!</definedName>
    <definedName name="OROT" localSheetId="1">[1]DAT2!#REF!</definedName>
    <definedName name="OROT" localSheetId="2">[2]DAT2!#REF!</definedName>
    <definedName name="OROT" localSheetId="3">[3]DAT2!#REF!</definedName>
    <definedName name="OROT" localSheetId="4">[4]DAT2!#REF!</definedName>
    <definedName name="OROT" localSheetId="5">[5]DAT2!#REF!</definedName>
    <definedName name="OROT" localSheetId="6">[6]DAT2!#REF!</definedName>
    <definedName name="OROT" localSheetId="7">[7]DAT2!#REF!</definedName>
    <definedName name="OROT" localSheetId="8">[8]DAT2!#REF!</definedName>
    <definedName name="OROT">[9]DAT2!#REF!</definedName>
    <definedName name="OSA" localSheetId="1">[1]DAT2!#REF!</definedName>
    <definedName name="OSA" localSheetId="2">[2]DAT2!#REF!</definedName>
    <definedName name="OSA" localSheetId="3">[3]DAT2!#REF!</definedName>
    <definedName name="OSA" localSheetId="4">[4]DAT2!#REF!</definedName>
    <definedName name="OSA" localSheetId="5">[5]DAT2!#REF!</definedName>
    <definedName name="OSA" localSheetId="6">[6]DAT2!#REF!</definedName>
    <definedName name="OSA" localSheetId="7">[7]DAT2!#REF!</definedName>
    <definedName name="OSA" localSheetId="8">[8]DAT2!#REF!</definedName>
    <definedName name="OSA">[9]DAT2!#REF!</definedName>
    <definedName name="PALMA" localSheetId="1">[1]DAT2!#REF!</definedName>
    <definedName name="PALMA" localSheetId="2">[2]DAT2!#REF!</definedName>
    <definedName name="PALMA" localSheetId="3">[3]DAT2!#REF!</definedName>
    <definedName name="PALMA" localSheetId="4">[4]DAT2!#REF!</definedName>
    <definedName name="PALMA" localSheetId="5">[5]DAT2!#REF!</definedName>
    <definedName name="PALMA" localSheetId="6">[6]DAT2!#REF!</definedName>
    <definedName name="PALMA" localSheetId="7">[7]DAT2!#REF!</definedName>
    <definedName name="PALMA" localSheetId="8">[8]DAT2!#REF!</definedName>
    <definedName name="PALMA">[9]DAT2!#REF!</definedName>
    <definedName name="PARA" localSheetId="1">[1]DAT2!#REF!</definedName>
    <definedName name="PARA" localSheetId="2">[2]DAT2!#REF!</definedName>
    <definedName name="PARA" localSheetId="3">[3]DAT2!#REF!</definedName>
    <definedName name="PARA" localSheetId="4">[4]DAT2!#REF!</definedName>
    <definedName name="PARA" localSheetId="5">[5]DAT2!#REF!</definedName>
    <definedName name="PARA" localSheetId="6">[6]DAT2!#REF!</definedName>
    <definedName name="PARA" localSheetId="7">[7]DAT2!#REF!</definedName>
    <definedName name="PARA" localSheetId="8">[8]DAT2!#REF!</definedName>
    <definedName name="PARA">[9]DAT2!#REF!</definedName>
    <definedName name="PARR" localSheetId="1">[1]DAT2!#REF!</definedName>
    <definedName name="PARR" localSheetId="2">[2]DAT2!#REF!</definedName>
    <definedName name="PARR" localSheetId="3">[3]DAT2!#REF!</definedName>
    <definedName name="PARR" localSheetId="4">[4]DAT2!#REF!</definedName>
    <definedName name="PARR" localSheetId="5">[5]DAT2!#REF!</definedName>
    <definedName name="PARR" localSheetId="6">[6]DAT2!#REF!</definedName>
    <definedName name="PARR" localSheetId="7">[7]DAT2!#REF!</definedName>
    <definedName name="PARR" localSheetId="8">[8]DAT2!#REF!</definedName>
    <definedName name="PARR">[9]DAT2!#REF!</definedName>
    <definedName name="POA" localSheetId="1">[1]DAT2!#REF!</definedName>
    <definedName name="POA" localSheetId="2">[2]DAT2!#REF!</definedName>
    <definedName name="POA" localSheetId="3">[3]DAT2!#REF!</definedName>
    <definedName name="POA" localSheetId="4">[4]DAT2!#REF!</definedName>
    <definedName name="POA" localSheetId="5">[5]DAT2!#REF!</definedName>
    <definedName name="POA" localSheetId="6">[6]DAT2!#REF!</definedName>
    <definedName name="POA" localSheetId="7">[7]DAT2!#REF!</definedName>
    <definedName name="POA" localSheetId="8">[8]DAT2!#REF!</definedName>
    <definedName name="POA">[9]DAT2!#REF!</definedName>
    <definedName name="POCOC" localSheetId="1">[1]DAT2!#REF!</definedName>
    <definedName name="POCOC" localSheetId="2">[2]DAT2!#REF!</definedName>
    <definedName name="POCOC" localSheetId="3">[3]DAT2!#REF!</definedName>
    <definedName name="POCOC" localSheetId="4">[4]DAT2!#REF!</definedName>
    <definedName name="POCOC" localSheetId="5">[5]DAT2!#REF!</definedName>
    <definedName name="POCOC" localSheetId="6">[6]DAT2!#REF!</definedName>
    <definedName name="POCOC" localSheetId="7">[7]DAT2!#REF!</definedName>
    <definedName name="POCOC" localSheetId="8">[8]DAT2!#REF!</definedName>
    <definedName name="POCOC">[9]DAT2!#REF!</definedName>
    <definedName name="PUERTOJ" localSheetId="1">[1]DAT2!#REF!</definedName>
    <definedName name="PUERTOJ" localSheetId="2">[2]DAT2!#REF!</definedName>
    <definedName name="PUERTOJ" localSheetId="3">[3]DAT2!#REF!</definedName>
    <definedName name="PUERTOJ" localSheetId="4">[4]DAT2!#REF!</definedName>
    <definedName name="PUERTOJ" localSheetId="5">[5]DAT2!#REF!</definedName>
    <definedName name="PUERTOJ" localSheetId="6">[6]DAT2!#REF!</definedName>
    <definedName name="PUERTOJ" localSheetId="7">[7]DAT2!#REF!</definedName>
    <definedName name="PUERTOJ" localSheetId="8">[8]DAT2!#REF!</definedName>
    <definedName name="PUERTOJ">[9]DAT2!#REF!</definedName>
    <definedName name="PUNTAR" localSheetId="1">[1]DAT2!#REF!</definedName>
    <definedName name="PUNTAR" localSheetId="2">[2]DAT2!#REF!</definedName>
    <definedName name="PUNTAR" localSheetId="3">[3]DAT2!#REF!</definedName>
    <definedName name="PUNTAR" localSheetId="4">[4]DAT2!#REF!</definedName>
    <definedName name="PUNTAR" localSheetId="5">[5]DAT2!#REF!</definedName>
    <definedName name="PUNTAR" localSheetId="6">[6]DAT2!#REF!</definedName>
    <definedName name="PUNTAR" localSheetId="7">[7]DAT2!#REF!</definedName>
    <definedName name="PUNTAR" localSheetId="8">[8]DAT2!#REF!</definedName>
    <definedName name="PUNTAR">[9]DAT2!#REF!</definedName>
    <definedName name="PURIS" localSheetId="1">[1]DAT2!#REF!</definedName>
    <definedName name="PURIS" localSheetId="2">[2]DAT2!#REF!</definedName>
    <definedName name="PURIS" localSheetId="3">[3]DAT2!#REF!</definedName>
    <definedName name="PURIS" localSheetId="4">[4]DAT2!#REF!</definedName>
    <definedName name="PURIS" localSheetId="5">[5]DAT2!#REF!</definedName>
    <definedName name="PURIS" localSheetId="6">[6]DAT2!#REF!</definedName>
    <definedName name="PURIS" localSheetId="7">[7]DAT2!#REF!</definedName>
    <definedName name="PURIS" localSheetId="8">[8]DAT2!#REF!</definedName>
    <definedName name="PURIS">[9]DAT2!#REF!</definedName>
    <definedName name="PZ" localSheetId="1">[1]DAT2!#REF!</definedName>
    <definedName name="PZ" localSheetId="2">[2]DAT2!#REF!</definedName>
    <definedName name="PZ" localSheetId="3">[3]DAT2!#REF!</definedName>
    <definedName name="PZ" localSheetId="4">[4]DAT2!#REF!</definedName>
    <definedName name="PZ" localSheetId="5">[5]DAT2!#REF!</definedName>
    <definedName name="PZ" localSheetId="6">[6]DAT2!#REF!</definedName>
    <definedName name="PZ" localSheetId="7">[7]DAT2!#REF!</definedName>
    <definedName name="PZ" localSheetId="8">[8]DAT2!#REF!</definedName>
    <definedName name="PZ">[9]DAT2!#REF!</definedName>
    <definedName name="QUEP" localSheetId="1">[1]DAT2!#REF!</definedName>
    <definedName name="QUEP" localSheetId="2">[2]DAT2!#REF!</definedName>
    <definedName name="QUEP" localSheetId="3">[3]DAT2!#REF!</definedName>
    <definedName name="QUEP" localSheetId="4">[4]DAT2!#REF!</definedName>
    <definedName name="QUEP" localSheetId="5">[5]DAT2!#REF!</definedName>
    <definedName name="QUEP" localSheetId="6">[6]DAT2!#REF!</definedName>
    <definedName name="QUEP" localSheetId="7">[7]DAT2!#REF!</definedName>
    <definedName name="QUEP" localSheetId="8">[8]DAT2!#REF!</definedName>
    <definedName name="QUEP">[9]DAT2!#REF!</definedName>
    <definedName name="RIOCU" localSheetId="1">[1]DAT2!#REF!</definedName>
    <definedName name="RIOCU" localSheetId="2">[2]DAT2!#REF!</definedName>
    <definedName name="RIOCU" localSheetId="3">[3]DAT2!#REF!</definedName>
    <definedName name="RIOCU" localSheetId="4">[4]DAT2!#REF!</definedName>
    <definedName name="RIOCU" localSheetId="5">[5]DAT2!#REF!</definedName>
    <definedName name="RIOCU" localSheetId="6">[6]DAT2!#REF!</definedName>
    <definedName name="RIOCU" localSheetId="7">[7]DAT2!#REF!</definedName>
    <definedName name="RIOCU" localSheetId="8">[8]DAT2!#REF!</definedName>
    <definedName name="RIOCU">[9]DAT2!#REF!</definedName>
    <definedName name="SANCAR" localSheetId="1">[1]DAT2!#REF!</definedName>
    <definedName name="SANCAR" localSheetId="2">[2]DAT2!#REF!</definedName>
    <definedName name="SANCAR" localSheetId="3">[3]DAT2!#REF!</definedName>
    <definedName name="SANCAR" localSheetId="4">[4]DAT2!#REF!</definedName>
    <definedName name="SANCAR" localSheetId="5">[5]DAT2!#REF!</definedName>
    <definedName name="SANCAR" localSheetId="6">[6]DAT2!#REF!</definedName>
    <definedName name="SANCAR" localSheetId="7">[7]DAT2!#REF!</definedName>
    <definedName name="SANCAR" localSheetId="8">[8]DAT2!#REF!</definedName>
    <definedName name="SANCAR">[9]DAT2!#REF!</definedName>
    <definedName name="SANISI" localSheetId="1">[1]DAT2!#REF!</definedName>
    <definedName name="SANISI" localSheetId="2">[2]DAT2!#REF!</definedName>
    <definedName name="SANISI" localSheetId="3">[3]DAT2!#REF!</definedName>
    <definedName name="SANISI" localSheetId="4">[4]DAT2!#REF!</definedName>
    <definedName name="SANISI" localSheetId="5">[5]DAT2!#REF!</definedName>
    <definedName name="SANISI" localSheetId="6">[6]DAT2!#REF!</definedName>
    <definedName name="SANISI" localSheetId="7">[7]DAT2!#REF!</definedName>
    <definedName name="SANISI" localSheetId="8">[8]DAT2!#REF!</definedName>
    <definedName name="SANISI">[9]DAT2!#REF!</definedName>
    <definedName name="SANMAT" localSheetId="1">[1]DAT2!#REF!</definedName>
    <definedName name="SANMAT" localSheetId="2">[2]DAT2!#REF!</definedName>
    <definedName name="SANMAT" localSheetId="3">[3]DAT2!#REF!</definedName>
    <definedName name="SANMAT" localSheetId="4">[4]DAT2!#REF!</definedName>
    <definedName name="SANMAT" localSheetId="5">[5]DAT2!#REF!</definedName>
    <definedName name="SANMAT" localSheetId="6">[6]DAT2!#REF!</definedName>
    <definedName name="SANMAT" localSheetId="7">[7]DAT2!#REF!</definedName>
    <definedName name="SANMAT" localSheetId="8">[8]DAT2!#REF!</definedName>
    <definedName name="SANMAT">[9]DAT2!#REF!</definedName>
    <definedName name="SANPA" localSheetId="1">[1]DAT2!#REF!</definedName>
    <definedName name="SANPA" localSheetId="2">[2]DAT2!#REF!</definedName>
    <definedName name="SANPA" localSheetId="3">[3]DAT2!#REF!</definedName>
    <definedName name="SANPA" localSheetId="4">[4]DAT2!#REF!</definedName>
    <definedName name="SANPA" localSheetId="5">[5]DAT2!#REF!</definedName>
    <definedName name="SANPA" localSheetId="6">[6]DAT2!#REF!</definedName>
    <definedName name="SANPA" localSheetId="7">[7]DAT2!#REF!</definedName>
    <definedName name="SANPA" localSheetId="8">[8]DAT2!#REF!</definedName>
    <definedName name="SANPA">[9]DAT2!#REF!</definedName>
    <definedName name="SANRA" localSheetId="1">[1]DAT2!#REF!</definedName>
    <definedName name="SANRA" localSheetId="2">[2]DAT2!#REF!</definedName>
    <definedName name="SANRA" localSheetId="3">[3]DAT2!#REF!</definedName>
    <definedName name="SANRA" localSheetId="4">[4]DAT2!#REF!</definedName>
    <definedName name="SANRA" localSheetId="5">[5]DAT2!#REF!</definedName>
    <definedName name="SANRA" localSheetId="6">[6]DAT2!#REF!</definedName>
    <definedName name="SANRA" localSheetId="7">[7]DAT2!#REF!</definedName>
    <definedName name="SANRA" localSheetId="8">[8]DAT2!#REF!</definedName>
    <definedName name="SANRA">[9]DAT2!#REF!</definedName>
    <definedName name="SANRAF" localSheetId="1">[1]DAT2!#REF!</definedName>
    <definedName name="SANRAF" localSheetId="2">[2]DAT2!#REF!</definedName>
    <definedName name="SANRAF" localSheetId="3">[3]DAT2!#REF!</definedName>
    <definedName name="SANRAF" localSheetId="4">[4]DAT2!#REF!</definedName>
    <definedName name="SANRAF" localSheetId="5">[5]DAT2!#REF!</definedName>
    <definedName name="SANRAF" localSheetId="6">[6]DAT2!#REF!</definedName>
    <definedName name="SANRAF" localSheetId="7">[7]DAT2!#REF!</definedName>
    <definedName name="SANRAF" localSheetId="8">[8]DAT2!#REF!</definedName>
    <definedName name="SANRAF">[9]DAT2!#REF!</definedName>
    <definedName name="SANTA" localSheetId="1">[1]DAT2!#REF!</definedName>
    <definedName name="SANTA" localSheetId="2">[2]DAT2!#REF!</definedName>
    <definedName name="SANTA" localSheetId="3">[3]DAT2!#REF!</definedName>
    <definedName name="SANTA" localSheetId="4">[4]DAT2!#REF!</definedName>
    <definedName name="SANTA" localSheetId="5">[5]DAT2!#REF!</definedName>
    <definedName name="SANTA" localSheetId="6">[6]DAT2!#REF!</definedName>
    <definedName name="SANTA" localSheetId="7">[7]DAT2!#REF!</definedName>
    <definedName name="SANTA" localSheetId="8">[8]DAT2!#REF!</definedName>
    <definedName name="SANTA">[9]DAT2!#REF!</definedName>
    <definedName name="SANTABA" localSheetId="1">[1]DAT2!#REF!</definedName>
    <definedName name="SANTABA" localSheetId="2">[2]DAT2!#REF!</definedName>
    <definedName name="SANTABA" localSheetId="3">[3]DAT2!#REF!</definedName>
    <definedName name="SANTABA" localSheetId="4">[4]DAT2!#REF!</definedName>
    <definedName name="SANTABA" localSheetId="5">[5]DAT2!#REF!</definedName>
    <definedName name="SANTABA" localSheetId="6">[6]DAT2!#REF!</definedName>
    <definedName name="SANTABA" localSheetId="7">[7]DAT2!#REF!</definedName>
    <definedName name="SANTABA" localSheetId="8">[8]DAT2!#REF!</definedName>
    <definedName name="SANTABA">[9]DAT2!#REF!</definedName>
    <definedName name="SANTACRU" localSheetId="1">[1]DAT2!#REF!</definedName>
    <definedName name="SANTACRU" localSheetId="2">[2]DAT2!#REF!</definedName>
    <definedName name="SANTACRU" localSheetId="3">[3]DAT2!#REF!</definedName>
    <definedName name="SANTACRU" localSheetId="4">[4]DAT2!#REF!</definedName>
    <definedName name="SANTACRU" localSheetId="5">[5]DAT2!#REF!</definedName>
    <definedName name="SANTACRU" localSheetId="6">[6]DAT2!#REF!</definedName>
    <definedName name="SANTACRU" localSheetId="7">[7]DAT2!#REF!</definedName>
    <definedName name="SANTACRU" localSheetId="8">[8]DAT2!#REF!</definedName>
    <definedName name="SANTACRU">[9]DAT2!#REF!</definedName>
    <definedName name="SANTODO" localSheetId="1">[1]DAT2!#REF!</definedName>
    <definedName name="SANTODO" localSheetId="2">[2]DAT2!#REF!</definedName>
    <definedName name="SANTODO" localSheetId="3">[3]DAT2!#REF!</definedName>
    <definedName name="SANTODO" localSheetId="4">[4]DAT2!#REF!</definedName>
    <definedName name="SANTODO" localSheetId="5">[5]DAT2!#REF!</definedName>
    <definedName name="SANTODO" localSheetId="6">[6]DAT2!#REF!</definedName>
    <definedName name="SANTODO" localSheetId="7">[7]DAT2!#REF!</definedName>
    <definedName name="SANTODO" localSheetId="8">[8]DAT2!#REF!</definedName>
    <definedName name="SANTODO">[9]DAT2!#REF!</definedName>
    <definedName name="SAR" localSheetId="1">[1]DAT2!#REF!</definedName>
    <definedName name="SAR" localSheetId="2">[2]DAT2!#REF!</definedName>
    <definedName name="SAR" localSheetId="3">[3]DAT2!#REF!</definedName>
    <definedName name="SAR" localSheetId="4">[4]DAT2!#REF!</definedName>
    <definedName name="SAR" localSheetId="5">[5]DAT2!#REF!</definedName>
    <definedName name="SAR" localSheetId="6">[6]DAT2!#REF!</definedName>
    <definedName name="SAR" localSheetId="7">[7]DAT2!#REF!</definedName>
    <definedName name="SAR" localSheetId="8">[8]DAT2!#REF!</definedName>
    <definedName name="SAR">[9]DAT2!#REF!</definedName>
    <definedName name="SARAP" localSheetId="1">[1]DAT2!#REF!</definedName>
    <definedName name="SARAP" localSheetId="2">[2]DAT2!#REF!</definedName>
    <definedName name="SARAP" localSheetId="3">[3]DAT2!#REF!</definedName>
    <definedName name="SARAP" localSheetId="4">[4]DAT2!#REF!</definedName>
    <definedName name="SARAP" localSheetId="5">[5]DAT2!#REF!</definedName>
    <definedName name="SARAP" localSheetId="6">[6]DAT2!#REF!</definedName>
    <definedName name="SARAP" localSheetId="7">[7]DAT2!#REF!</definedName>
    <definedName name="SARAP" localSheetId="8">[8]DAT2!#REF!</definedName>
    <definedName name="SARAP">[9]DAT2!#REF!</definedName>
    <definedName name="SIQUIRR" localSheetId="1">[1]DAT2!#REF!</definedName>
    <definedName name="SIQUIRR" localSheetId="2">[2]DAT2!#REF!</definedName>
    <definedName name="SIQUIRR" localSheetId="3">[3]DAT2!#REF!</definedName>
    <definedName name="SIQUIRR" localSheetId="4">[4]DAT2!#REF!</definedName>
    <definedName name="SIQUIRR" localSheetId="5">[5]DAT2!#REF!</definedName>
    <definedName name="SIQUIRR" localSheetId="6">[6]DAT2!#REF!</definedName>
    <definedName name="SIQUIRR" localSheetId="7">[7]DAT2!#REF!</definedName>
    <definedName name="SIQUIRR" localSheetId="8">[8]DAT2!#REF!</definedName>
    <definedName name="SIQUIRR">[9]DAT2!#REF!</definedName>
    <definedName name="TALAMA" localSheetId="1">[1]DAT2!#REF!</definedName>
    <definedName name="TALAMA" localSheetId="2">[2]DAT2!#REF!</definedName>
    <definedName name="TALAMA" localSheetId="3">[3]DAT2!#REF!</definedName>
    <definedName name="TALAMA" localSheetId="4">[4]DAT2!#REF!</definedName>
    <definedName name="TALAMA" localSheetId="5">[5]DAT2!#REF!</definedName>
    <definedName name="TALAMA" localSheetId="6">[6]DAT2!#REF!</definedName>
    <definedName name="TALAMA" localSheetId="7">[7]DAT2!#REF!</definedName>
    <definedName name="TALAMA" localSheetId="8">[8]DAT2!#REF!</definedName>
    <definedName name="TALAMA">[9]DAT2!#REF!</definedName>
    <definedName name="TARRAZ" localSheetId="1">[1]DAT2!#REF!</definedName>
    <definedName name="TARRAZ" localSheetId="2">[2]DAT2!#REF!</definedName>
    <definedName name="TARRAZ" localSheetId="3">[3]DAT2!#REF!</definedName>
    <definedName name="TARRAZ" localSheetId="4">[4]DAT2!#REF!</definedName>
    <definedName name="TARRAZ" localSheetId="5">[5]DAT2!#REF!</definedName>
    <definedName name="TARRAZ" localSheetId="6">[6]DAT2!#REF!</definedName>
    <definedName name="TARRAZ" localSheetId="7">[7]DAT2!#REF!</definedName>
    <definedName name="TARRAZ" localSheetId="8">[8]DAT2!#REF!</definedName>
    <definedName name="TARRAZ">[9]DAT2!#REF!</definedName>
    <definedName name="TIB" localSheetId="1">[1]DAT2!#REF!</definedName>
    <definedName name="TIB" localSheetId="2">[2]DAT2!#REF!</definedName>
    <definedName name="TIB" localSheetId="3">[3]DAT2!#REF!</definedName>
    <definedName name="TIB" localSheetId="4">[4]DAT2!#REF!</definedName>
    <definedName name="TIB" localSheetId="5">[5]DAT2!#REF!</definedName>
    <definedName name="TIB" localSheetId="6">[6]DAT2!#REF!</definedName>
    <definedName name="TIB" localSheetId="7">[7]DAT2!#REF!</definedName>
    <definedName name="TIB" localSheetId="8">[8]DAT2!#REF!</definedName>
    <definedName name="TIB">[9]DAT2!#REF!</definedName>
    <definedName name="TILAR" localSheetId="1">[1]DAT2!#REF!</definedName>
    <definedName name="TILAR" localSheetId="2">[2]DAT2!#REF!</definedName>
    <definedName name="TILAR" localSheetId="3">[3]DAT2!#REF!</definedName>
    <definedName name="TILAR" localSheetId="4">[4]DAT2!#REF!</definedName>
    <definedName name="TILAR" localSheetId="5">[5]DAT2!#REF!</definedName>
    <definedName name="TILAR" localSheetId="6">[6]DAT2!#REF!</definedName>
    <definedName name="TILAR" localSheetId="7">[7]DAT2!#REF!</definedName>
    <definedName name="TILAR" localSheetId="8">[8]DAT2!#REF!</definedName>
    <definedName name="TILAR">[9]DAT2!#REF!</definedName>
    <definedName name="TURR" localSheetId="1">[1]DAT2!#REF!</definedName>
    <definedName name="TURR" localSheetId="2">[2]DAT2!#REF!</definedName>
    <definedName name="TURR" localSheetId="3">[3]DAT2!#REF!</definedName>
    <definedName name="TURR" localSheetId="4">[4]DAT2!#REF!</definedName>
    <definedName name="TURR" localSheetId="5">[5]DAT2!#REF!</definedName>
    <definedName name="TURR" localSheetId="6">[6]DAT2!#REF!</definedName>
    <definedName name="TURR" localSheetId="7">[7]DAT2!#REF!</definedName>
    <definedName name="TURR" localSheetId="8">[8]DAT2!#REF!</definedName>
    <definedName name="TURR">[9]DAT2!#REF!</definedName>
    <definedName name="TURRI" localSheetId="1">[1]DAT2!#REF!</definedName>
    <definedName name="TURRI" localSheetId="2">[2]DAT2!#REF!</definedName>
    <definedName name="TURRI" localSheetId="3">[3]DAT2!#REF!</definedName>
    <definedName name="TURRI" localSheetId="4">[4]DAT2!#REF!</definedName>
    <definedName name="TURRI" localSheetId="5">[5]DAT2!#REF!</definedName>
    <definedName name="TURRI" localSheetId="6">[6]DAT2!#REF!</definedName>
    <definedName name="TURRI" localSheetId="7">[7]DAT2!#REF!</definedName>
    <definedName name="TURRI" localSheetId="8">[8]DAT2!#REF!</definedName>
    <definedName name="TURRI">[9]DAT2!#REF!</definedName>
    <definedName name="U">[9]!Tabla103[#All]</definedName>
    <definedName name="UPA" localSheetId="1">[1]DAT2!#REF!</definedName>
    <definedName name="UPA" localSheetId="2">[2]DAT2!#REF!</definedName>
    <definedName name="UPA" localSheetId="3">[3]DAT2!#REF!</definedName>
    <definedName name="UPA" localSheetId="4">[4]DAT2!#REF!</definedName>
    <definedName name="UPA" localSheetId="5">[5]DAT2!#REF!</definedName>
    <definedName name="UPA" localSheetId="6">[6]DAT2!#REF!</definedName>
    <definedName name="UPA" localSheetId="7">[7]DAT2!#REF!</definedName>
    <definedName name="UPA" localSheetId="8">[8]DAT2!#REF!</definedName>
    <definedName name="UPA">[9]DAT2!#REF!</definedName>
    <definedName name="uu">[9]!Tabla103[#All]</definedName>
    <definedName name="uum">[9]!Tabla103[#All]</definedName>
    <definedName name="uuu">[9]!Tabla103[#All]</definedName>
    <definedName name="VASQUE" localSheetId="1">[1]DAT2!#REF!</definedName>
    <definedName name="VASQUE" localSheetId="2">[2]DAT2!#REF!</definedName>
    <definedName name="VASQUE" localSheetId="3">[3]DAT2!#REF!</definedName>
    <definedName name="VASQUE" localSheetId="4">[4]DAT2!#REF!</definedName>
    <definedName name="VASQUE" localSheetId="5">[5]DAT2!#REF!</definedName>
    <definedName name="VASQUE" localSheetId="6">[6]DAT2!#REF!</definedName>
    <definedName name="VASQUE" localSheetId="7">[7]DAT2!#REF!</definedName>
    <definedName name="VASQUE" localSheetId="8">[8]DAT2!#REF!</definedName>
    <definedName name="VASQUE">[9]DAT2!#REF!</definedName>
    <definedName name="ZAR" localSheetId="1">[1]DAT2!#REF!</definedName>
    <definedName name="ZAR" localSheetId="2">[2]DAT2!#REF!</definedName>
    <definedName name="ZAR" localSheetId="3">[3]DAT2!#REF!</definedName>
    <definedName name="ZAR" localSheetId="4">[4]DAT2!#REF!</definedName>
    <definedName name="ZAR" localSheetId="5">[5]DAT2!#REF!</definedName>
    <definedName name="ZAR" localSheetId="6">[6]DAT2!#REF!</definedName>
    <definedName name="ZAR" localSheetId="7">[7]DAT2!#REF!</definedName>
    <definedName name="ZAR" localSheetId="8">[8]DAT2!#REF!</definedName>
    <definedName name="ZAR">[9]DAT2!#REF!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7" i="5" l="1"/>
  <c r="D28" i="7" l="1"/>
  <c r="D29" i="7"/>
  <c r="D30" i="7"/>
  <c r="D31" i="7"/>
  <c r="C45" i="8" l="1"/>
  <c r="D15" i="8"/>
  <c r="D16" i="8"/>
  <c r="D14" i="8"/>
  <c r="D12" i="2"/>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2" i="8"/>
  <c r="D11" i="8"/>
  <c r="D10" i="8"/>
  <c r="D9" i="8"/>
  <c r="D8" i="8"/>
  <c r="D7" i="8"/>
  <c r="D6" i="8"/>
  <c r="D5" i="8"/>
  <c r="C39" i="7"/>
  <c r="C8" i="9" s="1"/>
  <c r="D38" i="7"/>
  <c r="D37" i="7"/>
  <c r="D36" i="7"/>
  <c r="D35" i="7"/>
  <c r="D34" i="7"/>
  <c r="D33" i="7"/>
  <c r="D32" i="7"/>
  <c r="D27" i="7"/>
  <c r="D26" i="7"/>
  <c r="D25" i="7"/>
  <c r="D24" i="7"/>
  <c r="D23" i="7"/>
  <c r="D22" i="7"/>
  <c r="D21" i="7"/>
  <c r="D20" i="7"/>
  <c r="D19" i="7"/>
  <c r="D18" i="7"/>
  <c r="D17" i="7"/>
  <c r="D16" i="7"/>
  <c r="D15" i="7"/>
  <c r="D14" i="7"/>
  <c r="D13" i="7"/>
  <c r="D12" i="7"/>
  <c r="D11" i="7"/>
  <c r="D10" i="7"/>
  <c r="D9" i="7"/>
  <c r="D8" i="7"/>
  <c r="D7" i="7"/>
  <c r="D6" i="7"/>
  <c r="D5" i="7"/>
  <c r="D4" i="7"/>
  <c r="D3" i="7"/>
  <c r="C39" i="6"/>
  <c r="C7" i="9" s="1"/>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C6" i="9"/>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C40" i="4"/>
  <c r="C5" i="9" s="1"/>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C35" i="3"/>
  <c r="C4" i="9" s="1"/>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C41" i="2"/>
  <c r="C3" i="9" s="1"/>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1" i="2"/>
  <c r="D10" i="2"/>
  <c r="D9" i="2"/>
  <c r="D8" i="2"/>
  <c r="D7" i="2"/>
  <c r="D6" i="2"/>
  <c r="D5" i="2"/>
  <c r="D4" i="2"/>
  <c r="D3" i="2"/>
  <c r="C34" i="1"/>
  <c r="C2" i="9" s="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45" i="8" l="1"/>
  <c r="D9" i="9" s="1"/>
  <c r="D37" i="5"/>
  <c r="D6" i="9" s="1"/>
  <c r="E6" i="9" s="1"/>
  <c r="D35" i="3"/>
  <c r="D4" i="9" s="1"/>
  <c r="E4" i="9" s="1"/>
  <c r="C9" i="9"/>
  <c r="C10" i="9"/>
  <c r="D39" i="7"/>
  <c r="D39" i="6"/>
  <c r="D40" i="4"/>
  <c r="D41" i="2"/>
  <c r="D34" i="1"/>
  <c r="E9" i="9" l="1"/>
  <c r="D36" i="3"/>
  <c r="D46" i="8"/>
  <c r="D40" i="6"/>
  <c r="D7" i="9"/>
  <c r="E7" i="9" s="1"/>
  <c r="D38" i="5"/>
  <c r="D41" i="4"/>
  <c r="D5" i="9"/>
  <c r="E5" i="9" s="1"/>
  <c r="D42" i="2"/>
  <c r="D3" i="9"/>
  <c r="E3" i="9" s="1"/>
  <c r="D35" i="1"/>
  <c r="D2" i="9"/>
  <c r="E2" i="9" s="1"/>
  <c r="D40" i="7"/>
  <c r="D8" i="9"/>
  <c r="D10" i="9" l="1"/>
  <c r="E10" i="9" s="1"/>
  <c r="E8" i="9"/>
</calcChain>
</file>

<file path=xl/sharedStrings.xml><?xml version="1.0" encoding="utf-8"?>
<sst xmlns="http://schemas.openxmlformats.org/spreadsheetml/2006/main" count="509" uniqueCount="105">
  <si>
    <t>D71 PUNTARENAS</t>
  </si>
  <si>
    <t>PROGRAMA</t>
  </si>
  <si>
    <t>META</t>
  </si>
  <si>
    <t xml:space="preserve">AVANCE </t>
  </si>
  <si>
    <t>ENERO</t>
  </si>
  <si>
    <t>FEBRERO</t>
  </si>
  <si>
    <t>MARZO</t>
  </si>
  <si>
    <t>ABRIL</t>
  </si>
  <si>
    <t>MAYO</t>
  </si>
  <si>
    <t>JUNIO</t>
  </si>
  <si>
    <t>JULIO</t>
  </si>
  <si>
    <t>AGOSTO</t>
  </si>
  <si>
    <t>SEPTIEMBRE</t>
  </si>
  <si>
    <t>OCTUBRE</t>
  </si>
  <si>
    <t>NOVIEMBRE</t>
  </si>
  <si>
    <t>DICIEMBRE</t>
  </si>
  <si>
    <t>Porcentual</t>
  </si>
  <si>
    <t>Cuatro actividades de recuperación de espacios públicos, con las comunidades integradas al Programa de Seguridad Comunitaria, que se localicen, en los distritos que contemplan las área georreferenciadas del informe territorial de la Estrategia Sembremos Seguridad 2024, dos por año, una por semestre.</t>
  </si>
  <si>
    <t>PSCC</t>
  </si>
  <si>
    <t>Realizar 4 procesos formativos (Cursos de la oferta de los programas DARE - GREAT - MPAS) en Centros Educativos, 2 por año, dentro de los distritos que contemplan las áreas georreferenciadas del informe territorial de la Estrategia Sembremos Seguridad 2024. Un curso diferente por semestre, un nivel completo. En caso de no contar con instructor acreditado DARE, se puede cumplir la meta con las charlas de Habilidades para la vida DARE, con el aval del Coordinador Nacional.</t>
  </si>
  <si>
    <t>GREAT/MPAS/DARE</t>
  </si>
  <si>
    <t>Cubrir 4 procesos formativos en Centros Educativos (dos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</si>
  <si>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DARE</t>
  </si>
  <si>
    <t>D72 ESPARZA</t>
  </si>
  <si>
    <t>Dos estrategias de divulgación (Por medio de brochures, post o imágenes en redes sociales) en el tema del procedimiento para realizar una "Denuncia de ventas de drogas"  diseñadas por la Estrategia de divulgación de la Dirección de Programas Policiales Preventivos dirigidas a las comunidades integradas al Programa de Seguridad Comunitaria que se localicen, en los distritos que contemplan las área georreferenciadas del informe territorial de la Estrategia Sembremos Seguridad 2024, una por año.</t>
  </si>
  <si>
    <t>Cuatro Charlas de Cultura Preventiva (Dos por año) con énfasis en temas de estafa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</si>
  <si>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ante Estafas"  dirigidas a las comunidades integradas al Programa de Seguridad Comunitaria, que se localicen, en los distritos que contemplan las área georreferenciadas del informe territorial de la Estrategia Sembremos Seguridad 2024, una por año.</t>
  </si>
  <si>
    <t>Dos capacitaciones, en el tema "Cultura Preventiva y sitios peligrosos", dirigidas a las comunidades integradas al Programa de Seguridad Comunitaria que se localicen, en los distritos que contemplan las área georreferenciadas del informe territorial de la Estrategia Sembremos Seguridad 2024, una por año</t>
  </si>
  <si>
    <t>Dos estrategias de divulgación (Por medio de brochures, post o imágenes en redes sociales) en el tema del procedimiento para realizar una "Denuncia de búnkers"  dirigidas a las comunidades integradas al Programa de Seguridad Comunitaria que se localicen, en los distritos que contemplan las área georreferenciadas del informe territorial de la Estrategia Sembremos Seguridad 2024, una por año.</t>
  </si>
  <si>
    <t>Cubrir 2 procesos formativos en Centros Educativos (uno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</si>
  <si>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Cuatro comercios capacitados e integrados al Programa  de Seguridad Comercial que se localicen, en los distritos que contemplan las área georreferenciadas del informe territorial de la Estrategia Sembremos Seguridad 2024, dos por año, una por semestre.</t>
  </si>
  <si>
    <t>Cuatro estrategias de divulgación (Por medio de brochures, post o imágenes en redes sociales) diseñadas por la Estrategia de divulgación de la Dirección de Programas Policiales Preventivos, en el tema de "Prevención del Consumo de alcohol en vía pública" dirigidas a las comunidades integradas al Programa de Seguridad Comunitaria y a los comercios integrados al Programa de Seguridad Comercial que se localicen, en los distritos que contemplan las área georreferenciadas del informe territorial de la Estrategia Sembremos Seguridad 2024, dos por año.</t>
  </si>
  <si>
    <t>D3 MONTES DE ORO</t>
  </si>
  <si>
    <t>Dos estrategias de divulgación (Por medio de brochures, post o imágenes en redes sociales) en el tema del procedimiento para realizar una "Denuncia de  receptación" dirigidas a las comunidades integradas al Programa de Seguridad Comunitaria que se localicen, en los distritos que contemplan las área georreferenciadas del informe territorial de la Estrategia Sembremos Seguridad 2024, una por año.</t>
  </si>
  <si>
    <t>D74 QUEPOS</t>
  </si>
  <si>
    <t>Dos actividades de recuperación de espacios públicos, con las comunidades integradas al Programa de Seguridad Comunitaria, que se localicen, en los distritos que contemplan las área georreferenciadas del informe territorial de la Estrategia Sembremos Seguridad 2024, una por año.</t>
  </si>
  <si>
    <t>Dos estrategias de divulgación (Por medio de brochures, post o imágenes en redes sociales) en el tema del procedimiento para realizar una "Denuncia de ventas de drogas"  dirigidas a las comunidades integradas al Programa de Seguridad Comunitaria que se localicen, en los distritos que contemplan las área georreferenciadas del informe territorial de la Estrategia Sembremos Seguridad 2024, una por año.</t>
  </si>
  <si>
    <t>Cubrir 2 procesos formativos en Centros Educativos (uno por año) ubicados dentro de los distritos que contemplan las áreas georreferenciadas del informe territorial de la Estrategia Sembremos Seguridad 2024, con los cursos del Programa DARE:  Curso primaria. Curso Secundaria; un nivel completo por centro educativo, por semestre. En caso de no contar con instructor acreditado, se puede cumplir la meta con las charlas de Habilidades para la vida DARE, con el aval del Coordinador Nacional.</t>
  </si>
  <si>
    <t>Cuatro capacitaciones, en el tema de Justicia Restaurativa y Resolución Alternativa de Conflictos,  dirigidas a las comunidades integradas al Programa de Seguridad Comunitaria que se localicen, en los distritos que contemplan las área georreferenciadas del informe territorial de la Estrategia Sembremos Seguridad 2024, dos por año, una por semestre</t>
  </si>
  <si>
    <t xml:space="preserve">Realizar 2 procesos formativos (Cursos de la oferta de los programas GREAT - MPAS) en Centros Educativos, Uno por año, dentro de los distritos que contemplan las áreas georreferenciadas del informe territorial de la Estrategia Sembremos Seguridad 2024. Un curso diferente por semestre, un nivel completo. </t>
  </si>
  <si>
    <t>Cuatro cursos del componente, Familias GREAT, dirigido a las comunidades integradas al Programa de Seguridad Comunitaria dentro de los distritos que contemplan  las áreas georreferenciadas del informe territorial de la Estrategia Sembremos Seguridad 2024, según los lineamientos del programa.</t>
  </si>
  <si>
    <t>D75 PARRITA</t>
  </si>
  <si>
    <t>Cubrir 2 procesos formativos en Centros Educativos (uno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</si>
  <si>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D76 GARABITO</t>
  </si>
  <si>
    <t>D77 PAQUERA</t>
  </si>
  <si>
    <t>Cubrir 4 procesos formativos  en Centros Educativos (dos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</si>
  <si>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Dos capacitaciones, en el tema “Cultura Preventiva y como realizar una Denuncia de robo de vehículo", dirigidas a las comunidades integradas al Programa de Seguridad Comunitaria que se localicen, en los distritos que contemplan las área georreferenciadas del informe territorial de la Estrategia Sembremos Seguridad 2024, una por año.</t>
  </si>
  <si>
    <r>
      <t>Cuatro estrategias de divulgación (Por medio de brochures, post o imágenes en redes sociales) en el tema del procedimiento para "</t>
    </r>
    <r>
      <rPr>
        <sz val="12"/>
        <color theme="1"/>
        <rFont val="Arial"/>
        <family val="2"/>
      </rPr>
      <t xml:space="preserve"> </t>
    </r>
    <r>
      <rPr>
        <b/>
        <sz val="9"/>
        <color rgb="FF000000"/>
        <rFont val="Calibri"/>
        <family val="2"/>
      </rPr>
      <t>Cultura Preventiva y como realizar una Denuncia de robo de vehículo "  dirigidas a las comunidades integradas al Programa de Seguridad Comunitaria que se localicen, en los distritos que contemplan las área georreferenciadas del informe territorial de la Estrategia Sembremos Seguridad 2024, dos por año, una por semestre.</t>
    </r>
  </si>
  <si>
    <t>Cuatro actividades de recuperación de espacios públicos, con las comunidades integradas al Programa de Seguridad Comunitaria, que se localicen, dentro del área georreferenciada del informe territorial de la Estrategia Sembremos Seguridad 2024, dos por año, una por semestre.</t>
  </si>
  <si>
    <t>D78 JUDAS DE CHOMES</t>
  </si>
  <si>
    <t>(MONTEVERDE)</t>
  </si>
  <si>
    <t>Realizar 2 procesos formativos (Cursos de la oferta de los programas DARE - GREAT - MPAS) en Centros Educativos, Uno por año, dentro de los distritos que contemplan las áreas georreferenciadas del informe territorial de la Estrategia Sembremos Seguridad 2024. En caso de no contar con instructor acreditado DARE, se puede cumplir la meta con las charlas de Habilidades para la vida DARE, con el aval del Coordinador Nacional.</t>
  </si>
  <si>
    <t>Dos estrategias de divulgación (Por medio de brochures, post o imágenes en redes sociales) en el tema del procedimiento para realizar una "Denuncia de Ventas de drogas"  dirigidas a las comunidades integradas al Programa de Seguridad Comunitaria que se localicen, en los distritos que contemplan las área georreferenciadas del informe territorial de la Estrategia Sembremos Seguridad 2024, una por año.</t>
  </si>
  <si>
    <t>Dos capacitaciones, en el tema "Cultura Preventiva y auto cuidado para evitar Hurtos", dirigidas a las comunidades integradas al Programa de Seguridad Comunitaria que se localicen, en los distritos que contemplan las área georreferenciadas del informe territorial de la Estrategia Sembremos Seguridad 2024, una por año.</t>
  </si>
  <si>
    <t>Dos estrategias de divulgación (Por medio de brochures, post o imágenes en redes sociales) en el tema del procedimiento para realizar una "Denuncia en caso de Hurtos"  dirigidas a las comunidades integradas al Programa de Seguridad Comunitaria que se localicen, en los distritos que contemplan las área georreferenciadas del informe territorial de la Estrategia Sembremos Seguridad 2024, una por año.</t>
  </si>
  <si>
    <t>MONTEVERDE</t>
  </si>
  <si>
    <t>Delegación</t>
  </si>
  <si>
    <t>D71</t>
  </si>
  <si>
    <t>D72</t>
  </si>
  <si>
    <t>D73</t>
  </si>
  <si>
    <t>D74</t>
  </si>
  <si>
    <t>D75</t>
  </si>
  <si>
    <t>D76</t>
  </si>
  <si>
    <t>D77</t>
  </si>
  <si>
    <t>D78</t>
  </si>
  <si>
    <t>PUNTARENAS</t>
  </si>
  <si>
    <t>ESPARZA</t>
  </si>
  <si>
    <t>MONTES DE ORO</t>
  </si>
  <si>
    <t>QUEPOS</t>
  </si>
  <si>
    <t>PARRITA</t>
  </si>
  <si>
    <t>GARABITO</t>
  </si>
  <si>
    <t>PAQUERA</t>
  </si>
  <si>
    <t>JUDAS DE CHOMES</t>
  </si>
  <si>
    <t>AVANCE</t>
  </si>
  <si>
    <t>TOTALES</t>
  </si>
  <si>
    <t>PLAN DE POLITICA LOCAL E IMPLEMENTACIÓN DE LA POLITICA LOCAL DE SEGURIDAD</t>
  </si>
  <si>
    <t>Conformación Comité</t>
  </si>
  <si>
    <t>Conformación de Comercio</t>
  </si>
  <si>
    <t>Reuniones-Jefaturas</t>
  </si>
  <si>
    <t>Campañas de divulgación</t>
  </si>
  <si>
    <t>Capacitaciones</t>
  </si>
  <si>
    <t>Charlas</t>
  </si>
  <si>
    <t>Talleres</t>
  </si>
  <si>
    <t>Sensibilización</t>
  </si>
  <si>
    <t>Actividades deportivas</t>
  </si>
  <si>
    <t>Cine en mi Barrio</t>
  </si>
  <si>
    <t>Cívico-policial</t>
  </si>
  <si>
    <t>Actividades culturales</t>
  </si>
  <si>
    <t>Ferias</t>
  </si>
  <si>
    <t>Stand informativo</t>
  </si>
  <si>
    <t>Visitas</t>
  </si>
  <si>
    <t>Recuperación del espacio público</t>
  </si>
  <si>
    <t>Convocatoria de Mesas Locales</t>
  </si>
  <si>
    <t>Exposición Informe Territorial ESS</t>
  </si>
  <si>
    <t>Primera Sesión de Trabajo</t>
  </si>
  <si>
    <t>Segunda Sesión - Conformación Secretaria Técnica</t>
  </si>
  <si>
    <t>Tercera Sesión</t>
  </si>
  <si>
    <t>Elaboracióin del Texto de la Política Local</t>
  </si>
  <si>
    <t>Revisión Técnica DPPP</t>
  </si>
  <si>
    <t>Revisión Area Legal Gobierno Local</t>
  </si>
  <si>
    <t>Incorporación de Observaciones</t>
  </si>
  <si>
    <t>Aval del Director Regional</t>
  </si>
  <si>
    <t>Presentación al Consejo Municipal</t>
  </si>
  <si>
    <t>Presentación ante la Comunidad por parte del Director Regional y Alcalde</t>
  </si>
  <si>
    <t>%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</si>
</sst>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9"/>
      <color rgb="FF000000"/>
      <name val="Calibri"/>
      <family val="2"/>
    </font>
    <font>
      <b/>
      <sz val="9"/>
      <name val="Aptos Narrow"/>
      <family val="2"/>
      <scheme val="minor"/>
    </font>
    <font>
      <b/>
      <sz val="9"/>
      <color theme="1"/>
      <name val="Calibri"/>
      <family val="2"/>
    </font>
    <font>
      <sz val="12"/>
      <color theme="1"/>
      <name val="Arial"/>
      <family val="2"/>
    </font>
    <font>
      <sz val="11"/>
      <color theme="7"/>
      <name val="Aptos Narrow"/>
      <family val="2"/>
      <scheme val="minor"/>
    </font>
    <font>
      <sz val="11"/>
      <color rgb="FFFFC000"/>
      <name val="Aptos Narrow"/>
      <family val="2"/>
      <scheme val="minor"/>
    </font>
    <font>
      <sz val="11"/>
      <name val="Aptos Narrow"/>
      <family val="2"/>
      <scheme val="minor"/>
    </font>
    <font>
      <b/>
      <sz val="11"/>
      <color rgb="FFFFC000"/>
      <name val="Aptos Narrow"/>
      <family val="2"/>
      <scheme val="minor"/>
    </font>
    <font>
      <sz val="8"/>
      <name val="Aptos Narrow"/>
      <family val="2"/>
      <scheme val="minor"/>
    </font>
    <font>
      <sz val="10"/>
      <color rgb="FF000000"/>
      <name val="Times New Roman"/>
      <family val="1"/>
    </font>
    <font>
      <b/>
      <sz val="9"/>
      <name val="Arial"/>
      <family val="2"/>
    </font>
  </fonts>
  <fills count="20">
    <fill>
      <patternFill patternType="none"/>
    </fill>
    <fill>
      <patternFill patternType="gray125"/>
    </fill>
    <fill>
      <patternFill patternType="solid">
        <fgColor theme="3"/>
        <bgColor indexed="64"/>
      </patternFill>
    </fill>
    <fill>
      <patternFill patternType="solid">
        <fgColor rgb="FFDDEBF7"/>
        <bgColor indexed="64"/>
      </patternFill>
    </fill>
    <fill>
      <patternFill patternType="solid">
        <fgColor theme="4" tint="0.79998168889431442"/>
        <bgColor indexed="64"/>
      </patternFill>
    </fill>
    <fill>
      <patternFill patternType="solid">
        <fgColor rgb="FFE2EFDA"/>
        <bgColor indexed="64"/>
      </patternFill>
    </fill>
    <fill>
      <patternFill patternType="solid">
        <fgColor theme="9" tint="0.79998168889431442"/>
        <bgColor indexed="64"/>
      </patternFill>
    </fill>
    <fill>
      <patternFill patternType="solid">
        <fgColor rgb="FFFBE4D5"/>
        <bgColor indexed="64"/>
      </patternFill>
    </fill>
    <fill>
      <patternFill patternType="solid">
        <fgColor theme="5" tint="0.79998168889431442"/>
        <bgColor indexed="64"/>
      </patternFill>
    </fill>
    <fill>
      <patternFill patternType="solid">
        <fgColor rgb="FFDEEAF6"/>
        <bgColor indexed="64"/>
      </patternFill>
    </fill>
    <fill>
      <patternFill patternType="solid">
        <fgColor theme="4" tint="0.79995117038483843"/>
        <bgColor indexed="64"/>
      </patternFill>
    </fill>
    <fill>
      <patternFill patternType="solid">
        <fgColor rgb="FFE2EFD9"/>
        <bgColor indexed="64"/>
      </patternFill>
    </fill>
    <fill>
      <patternFill patternType="solid">
        <fgColor theme="9" tint="0.79995117038483843"/>
        <bgColor indexed="64"/>
      </patternFill>
    </fill>
    <fill>
      <patternFill patternType="solid">
        <fgColor theme="5" tint="0.79995117038483843"/>
        <bgColor indexed="64"/>
      </patternFill>
    </fill>
    <fill>
      <patternFill patternType="solid">
        <fgColor theme="3" tint="-0.499984740745262"/>
        <bgColor indexed="64"/>
      </patternFill>
    </fill>
    <fill>
      <patternFill patternType="solid">
        <fgColor theme="1"/>
        <bgColor indexed="64"/>
      </patternFill>
    </fill>
    <fill>
      <patternFill patternType="solid">
        <fgColor rgb="FFFFC000"/>
        <bgColor indexed="64"/>
      </patternFill>
    </fill>
    <fill>
      <patternFill patternType="solid">
        <fgColor theme="3" tint="-0.249977111117893"/>
        <bgColor indexed="64"/>
      </patternFill>
    </fill>
    <fill>
      <patternFill patternType="solid">
        <fgColor theme="4" tint="-0.499984740745262"/>
        <bgColor indexed="64"/>
      </patternFill>
    </fill>
    <fill>
      <patternFill patternType="solid">
        <fgColor theme="0" tint="-0.14999847407452621"/>
        <bgColor indexed="64"/>
      </patternFill>
    </fill>
  </fills>
  <borders count="17">
    <border>
      <left/>
      <right/>
      <top/>
      <bottom/>
      <diagonal/>
    </border>
    <border>
      <left style="medium">
        <color theme="0"/>
      </left>
      <right/>
      <top style="medium">
        <color theme="0"/>
      </top>
      <bottom/>
      <diagonal/>
    </border>
    <border>
      <left style="medium">
        <color theme="0"/>
      </left>
      <right style="medium">
        <color theme="0"/>
      </right>
      <top style="medium">
        <color theme="0"/>
      </top>
      <bottom style="thin">
        <color theme="0"/>
      </bottom>
      <diagonal/>
    </border>
    <border>
      <left style="medium">
        <color theme="0"/>
      </left>
      <right style="medium">
        <color theme="0"/>
      </right>
      <top style="thin">
        <color theme="0"/>
      </top>
      <bottom style="medium">
        <color theme="0"/>
      </bottom>
      <diagonal/>
    </border>
    <border>
      <left/>
      <right style="medium">
        <color indexed="64"/>
      </right>
      <top/>
      <bottom style="medium">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theme="0"/>
      </left>
      <right/>
      <top/>
      <bottom style="medium">
        <color indexed="64"/>
      </bottom>
      <diagonal/>
    </border>
    <border>
      <left style="medium">
        <color indexed="64"/>
      </left>
      <right/>
      <top style="thin">
        <color indexed="64"/>
      </top>
      <bottom/>
      <diagonal/>
    </border>
    <border>
      <left style="thin">
        <color theme="0"/>
      </left>
      <right style="medium">
        <color indexed="64"/>
      </right>
      <top style="thin">
        <color theme="0"/>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3" fillId="0" borderId="0"/>
  </cellStyleXfs>
  <cellXfs count="54">
    <xf numFmtId="0" fontId="0" fillId="0" borderId="0" xfId="0"/>
    <xf numFmtId="0" fontId="1" fillId="2" borderId="2" xfId="0" applyFont="1" applyFill="1" applyBorder="1" applyAlignment="1">
      <alignment horizontal="center"/>
    </xf>
    <xf numFmtId="0" fontId="0" fillId="0" borderId="0" xfId="0" applyProtection="1">
      <protection locked="0"/>
    </xf>
    <xf numFmtId="0" fontId="1" fillId="2" borderId="3" xfId="0" applyFont="1" applyFill="1" applyBorder="1" applyAlignment="1">
      <alignment horizontal="center" vertical="center"/>
    </xf>
    <xf numFmtId="0" fontId="3" fillId="0" borderId="0" xfId="0" applyFont="1" applyProtection="1">
      <protection locked="0"/>
    </xf>
    <xf numFmtId="0" fontId="4" fillId="3" borderId="4" xfId="0" applyFont="1" applyFill="1" applyBorder="1" applyAlignment="1">
      <alignment horizontal="left" vertical="center" wrapText="1"/>
    </xf>
    <xf numFmtId="0" fontId="5" fillId="4" borderId="5" xfId="0" applyFont="1" applyFill="1" applyBorder="1" applyAlignment="1">
      <alignment horizontal="center" vertical="center" wrapText="1"/>
    </xf>
    <xf numFmtId="0" fontId="4" fillId="5" borderId="4" xfId="0" applyFont="1" applyFill="1" applyBorder="1" applyAlignment="1">
      <alignment horizontal="left" vertical="center" wrapText="1"/>
    </xf>
    <xf numFmtId="0" fontId="4" fillId="7" borderId="4" xfId="0" applyFont="1" applyFill="1" applyBorder="1" applyAlignment="1">
      <alignment horizontal="left" vertical="center" wrapText="1"/>
    </xf>
    <xf numFmtId="0" fontId="6" fillId="9" borderId="8" xfId="0" applyFont="1" applyFill="1" applyBorder="1" applyAlignment="1">
      <alignment horizontal="left" vertical="center" wrapText="1"/>
    </xf>
    <xf numFmtId="0" fontId="6" fillId="11" borderId="8" xfId="0" applyFont="1" applyFill="1" applyBorder="1" applyAlignment="1">
      <alignment horizontal="left" vertical="center" wrapText="1"/>
    </xf>
    <xf numFmtId="0" fontId="4" fillId="9" borderId="8" xfId="0" applyFont="1" applyFill="1" applyBorder="1" applyAlignment="1">
      <alignment horizontal="left" vertical="center" wrapText="1"/>
    </xf>
    <xf numFmtId="0" fontId="4" fillId="3" borderId="8" xfId="0" applyFont="1" applyFill="1" applyBorder="1" applyAlignment="1">
      <alignment horizontal="left" vertical="center" wrapText="1"/>
    </xf>
    <xf numFmtId="0" fontId="6" fillId="7" borderId="8" xfId="0" applyFont="1" applyFill="1" applyBorder="1" applyAlignment="1">
      <alignment horizontal="left" vertical="center" wrapText="1"/>
    </xf>
    <xf numFmtId="0" fontId="4" fillId="7" borderId="8" xfId="0" applyFont="1" applyFill="1" applyBorder="1" applyAlignment="1">
      <alignment horizontal="left" vertical="center" wrapText="1"/>
    </xf>
    <xf numFmtId="0" fontId="4" fillId="5" borderId="8" xfId="0" applyFont="1" applyFill="1" applyBorder="1" applyAlignment="1">
      <alignment horizontal="left" vertical="center" wrapText="1"/>
    </xf>
    <xf numFmtId="0" fontId="4" fillId="11" borderId="8" xfId="0" applyFont="1" applyFill="1" applyBorder="1" applyAlignment="1">
      <alignment horizontal="left" vertical="center" wrapText="1"/>
    </xf>
    <xf numFmtId="0" fontId="2" fillId="0" borderId="0" xfId="0" applyFont="1" applyProtection="1">
      <protection locked="0"/>
    </xf>
    <xf numFmtId="0" fontId="11" fillId="2" borderId="9" xfId="0" applyFont="1" applyFill="1" applyBorder="1"/>
    <xf numFmtId="0" fontId="9" fillId="15" borderId="0" xfId="0" applyFont="1" applyFill="1" applyAlignment="1">
      <alignment horizontal="center"/>
    </xf>
    <xf numFmtId="1" fontId="0" fillId="0" borderId="8" xfId="0" applyNumberFormat="1" applyBorder="1" applyAlignment="1">
      <alignment horizontal="center"/>
    </xf>
    <xf numFmtId="0" fontId="2" fillId="16" borderId="0" xfId="0" applyFont="1" applyFill="1" applyAlignment="1">
      <alignment horizontal="center"/>
    </xf>
    <xf numFmtId="0" fontId="2" fillId="0" borderId="8" xfId="0" applyFont="1" applyBorder="1" applyAlignment="1">
      <alignment horizontal="center"/>
    </xf>
    <xf numFmtId="0" fontId="10" fillId="0" borderId="8" xfId="0" applyFont="1" applyBorder="1"/>
    <xf numFmtId="1" fontId="5" fillId="0" borderId="5" xfId="0" applyNumberFormat="1" applyFont="1" applyBorder="1" applyAlignment="1">
      <alignment horizontal="center" vertical="center" wrapText="1"/>
    </xf>
    <xf numFmtId="0" fontId="0" fillId="0" borderId="8" xfId="0" applyBorder="1" applyAlignment="1">
      <alignment horizontal="center"/>
    </xf>
    <xf numFmtId="0" fontId="1" fillId="2" borderId="0" xfId="0" applyFont="1" applyFill="1" applyAlignment="1">
      <alignment horizontal="center"/>
    </xf>
    <xf numFmtId="0" fontId="3" fillId="17" borderId="0" xfId="0" applyFont="1" applyFill="1" applyProtection="1">
      <protection locked="0"/>
    </xf>
    <xf numFmtId="0" fontId="5" fillId="10" borderId="8" xfId="0" applyFont="1" applyFill="1" applyBorder="1" applyAlignment="1">
      <alignment horizontal="center" vertical="center" textRotation="90" wrapText="1"/>
    </xf>
    <xf numFmtId="0" fontId="2" fillId="0" borderId="8" xfId="0" applyFont="1" applyBorder="1" applyAlignment="1" applyProtection="1">
      <alignment horizontal="center" vertical="center"/>
      <protection locked="0"/>
    </xf>
    <xf numFmtId="0" fontId="5" fillId="12" borderId="8" xfId="0" applyFont="1" applyFill="1" applyBorder="1" applyAlignment="1">
      <alignment horizontal="center" vertical="center" textRotation="90" wrapText="1"/>
    </xf>
    <xf numFmtId="0" fontId="5" fillId="6" borderId="7" xfId="0" applyFont="1" applyFill="1" applyBorder="1" applyAlignment="1">
      <alignment horizontal="center" vertical="center" wrapText="1"/>
    </xf>
    <xf numFmtId="0" fontId="5" fillId="13" borderId="8" xfId="0" applyFont="1" applyFill="1" applyBorder="1" applyAlignment="1">
      <alignment horizontal="center" vertical="center" textRotation="90" wrapText="1"/>
    </xf>
    <xf numFmtId="0" fontId="5" fillId="8" borderId="7"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1" fillId="18" borderId="12" xfId="0" applyFont="1" applyFill="1" applyBorder="1" applyAlignment="1">
      <alignment horizontal="left" vertical="center" wrapText="1"/>
    </xf>
    <xf numFmtId="0" fontId="0" fillId="0" borderId="8" xfId="0" applyBorder="1" applyProtection="1">
      <protection locked="0"/>
    </xf>
    <xf numFmtId="0" fontId="14" fillId="19" borderId="14" xfId="0" applyFont="1" applyFill="1" applyBorder="1" applyAlignment="1">
      <alignment horizontal="left" vertical="center" wrapText="1"/>
    </xf>
    <xf numFmtId="0" fontId="14" fillId="19" borderId="16" xfId="0" applyFont="1" applyFill="1" applyBorder="1" applyAlignment="1">
      <alignment horizontal="left" vertical="center" wrapText="1"/>
    </xf>
    <xf numFmtId="0" fontId="2" fillId="0" borderId="8" xfId="0" applyFont="1" applyBorder="1" applyAlignment="1" applyProtection="1">
      <alignment horizontal="center"/>
      <protection locked="0"/>
    </xf>
    <xf numFmtId="1" fontId="2" fillId="0" borderId="8" xfId="0" applyNumberFormat="1" applyFont="1" applyBorder="1" applyAlignment="1" applyProtection="1">
      <alignment horizontal="center" vertical="center"/>
      <protection locked="0"/>
    </xf>
    <xf numFmtId="10" fontId="1" fillId="18" borderId="0" xfId="0" applyNumberFormat="1" applyFont="1" applyFill="1" applyAlignment="1" applyProtection="1">
      <alignment horizontal="center"/>
      <protection locked="0"/>
    </xf>
    <xf numFmtId="0" fontId="5" fillId="4" borderId="8" xfId="0" applyFont="1" applyFill="1" applyBorder="1" applyAlignment="1">
      <alignment horizontal="center" vertical="center" textRotation="90" wrapText="1"/>
    </xf>
    <xf numFmtId="0" fontId="5" fillId="6" borderId="8" xfId="0" applyFont="1" applyFill="1" applyBorder="1" applyAlignment="1">
      <alignment horizontal="center" vertical="center" textRotation="90" wrapText="1"/>
    </xf>
    <xf numFmtId="0" fontId="5" fillId="8" borderId="8" xfId="0" applyFont="1" applyFill="1" applyBorder="1" applyAlignment="1">
      <alignment horizontal="center" vertical="center" textRotation="90" wrapText="1"/>
    </xf>
    <xf numFmtId="10" fontId="0" fillId="0" borderId="8" xfId="0" applyNumberFormat="1" applyBorder="1" applyAlignment="1">
      <alignment horizontal="center"/>
    </xf>
    <xf numFmtId="0" fontId="1" fillId="2" borderId="1" xfId="0" applyFont="1" applyFill="1" applyBorder="1" applyAlignment="1">
      <alignment horizontal="center" vertical="center" textRotation="90"/>
    </xf>
    <xf numFmtId="0" fontId="1" fillId="2" borderId="10" xfId="0" applyFont="1" applyFill="1" applyBorder="1" applyAlignment="1">
      <alignment horizontal="center" vertical="center" textRotation="90"/>
    </xf>
    <xf numFmtId="0" fontId="5" fillId="4" borderId="11" xfId="0" applyFont="1" applyFill="1" applyBorder="1" applyAlignment="1">
      <alignment horizontal="center" vertical="center" textRotation="90" wrapText="1"/>
    </xf>
    <xf numFmtId="0" fontId="5" fillId="4" borderId="13" xfId="0" applyFont="1" applyFill="1" applyBorder="1" applyAlignment="1">
      <alignment horizontal="center" vertical="center" textRotation="90" wrapText="1"/>
    </xf>
    <xf numFmtId="0" fontId="5" fillId="4" borderId="15" xfId="0" applyFont="1" applyFill="1" applyBorder="1" applyAlignment="1">
      <alignment horizontal="center" vertical="center" textRotation="90" wrapText="1"/>
    </xf>
    <xf numFmtId="0" fontId="8" fillId="14" borderId="0" xfId="0" applyFont="1" applyFill="1" applyAlignment="1">
      <alignment horizontal="center" vertical="center"/>
    </xf>
    <xf numFmtId="0" fontId="8" fillId="14" borderId="6" xfId="0" applyFont="1" applyFill="1" applyBorder="1" applyAlignment="1">
      <alignment horizontal="center" vertical="center"/>
    </xf>
    <xf numFmtId="0" fontId="9" fillId="15" borderId="8" xfId="0" applyFont="1" applyFill="1" applyBorder="1" applyAlignment="1">
      <alignment horizontal="center"/>
    </xf>
  </cellXfs>
  <cellStyles count="2">
    <cellStyle name="Normal" xfId="0" builtinId="0"/>
    <cellStyle name="Normal 2" xfId="1" xr:uid="{00000000-0005-0000-0000-000001000000}"/>
  </cellStyles>
  <dxfs count="25">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6/D72%20Esparza%20PUMI%20II%20Trimestre%20-%20Junio.xlsx?7563465B" TargetMode="External"/><Relationship Id="rId1" Type="http://schemas.openxmlformats.org/officeDocument/2006/relationships/externalLinkPath" Target="file:///\\7563465B\D72%20Esparza%20PUMI%20II%20Trimestre%20-%20Junio.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6/D73%20Montes%20de%20Oro%20PUMI%20II%20Trimestre%20-%20Junio.xlsx?7563465B" TargetMode="External"/><Relationship Id="rId1" Type="http://schemas.openxmlformats.org/officeDocument/2006/relationships/externalLinkPath" Target="file:///\\7563465B\D73%20Montes%20de%20Oro%20PUMI%20II%20Trimestre%20-%20Junio.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6/D74%20Quepos%20PUMI%20II%20Trimestre%20-%20Junio.xlsx?7563465B" TargetMode="External"/><Relationship Id="rId1" Type="http://schemas.openxmlformats.org/officeDocument/2006/relationships/externalLinkPath" Target="file:///\\7563465B\D74%20Quepos%20PUMI%20II%20Trimestre%20-%20Junio.xlsx"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6/D75%20Parrita%20PUMI%20II%20Trimestre%20-%20Junio.xlsx?7563465B" TargetMode="External"/><Relationship Id="rId1" Type="http://schemas.openxmlformats.org/officeDocument/2006/relationships/externalLinkPath" Target="file:///\\7563465B\D75%20Parrita%20PUMI%20II%20Trimestre%20-%20Junio.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6/D76%20Garabito%20PUMI%20II%20Trimestre%20-%20Junio.xlsx?7563465B" TargetMode="External"/><Relationship Id="rId1" Type="http://schemas.openxmlformats.org/officeDocument/2006/relationships/externalLinkPath" Target="file:///\\7563465B\D76%20Garabito%20PUMI%20II%20Trimestre%20-%20Junio.xlsx"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6/D77%20Paquera%20PUMI%20II%20Trimestre%20-%20Junio.xlsx?7563465B" TargetMode="External"/><Relationship Id="rId1" Type="http://schemas.openxmlformats.org/officeDocument/2006/relationships/externalLinkPath" Target="file:///\\7563465B\D77%20Paquera%20PUMI%20II%20Trimestre%20-%20Junio.xlsx"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6/D78%20Chomes%20PUMI%20II%20Trimestre%20-%20Junio.xlsx?7563465B" TargetMode="External"/><Relationship Id="rId1" Type="http://schemas.openxmlformats.org/officeDocument/2006/relationships/externalLinkPath" Target="file:///\\7563465B\D78%20Chomes%20PUMI%20II%20Trimestre%20-%20Junio.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1%20Carmen%20PUMI%202025%20Junio.xlsx" TargetMode="External"/></Relationships>
</file>

<file path=xl/externalLinks/_rels/externalLink9.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6/D71%20Puntarenas%20PUMI%20II%20Trimestre%20-%20Junio.xlsx?7563465B" TargetMode="External"/><Relationship Id="rId1" Type="http://schemas.openxmlformats.org/officeDocument/2006/relationships/externalLinkPath" Target="file:///\\7563465B\D71%20Puntarenas%20PUMI%20II%20Trimestre%20-%20Jun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72 ESPARZA PSCC "/>
      <sheetName val="D72 ESPARZA VIF"/>
      <sheetName val="D72 ESPARZA DARE"/>
      <sheetName val="D72 ESPARZA GREAT"/>
      <sheetName val="D72 ESPARZ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3 MONTES DE ORO PSCC "/>
      <sheetName val="D3 MONTES DE ORO VIF"/>
      <sheetName val="D3 MONTES DE ORO DARE"/>
      <sheetName val="D3 MONTES DE ORO GREAT"/>
      <sheetName val="D3 MONTES DE OR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74 QUEPOS PSCC "/>
      <sheetName val="D74 QUEPOS VIF"/>
      <sheetName val="D74 QUEPOS DARE"/>
      <sheetName val="D74 QUEPOS GREAT"/>
      <sheetName val="D74 QUEPOS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75 PARRITA PSCC "/>
      <sheetName val="D75 PARRITA VIF"/>
      <sheetName val="D75 PARRITA DARE"/>
      <sheetName val="D75 PARRITA GREAT"/>
      <sheetName val="D75 PARRIT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76 GARABITO PSCC "/>
      <sheetName val="D76 GARABITO VIF"/>
      <sheetName val="D76 GARABITO DARE"/>
      <sheetName val="D76 GARABITO GREAT"/>
      <sheetName val="D76 GARABIT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77 PAQUERA PSCC "/>
      <sheetName val="D77 PAQUERA VIF"/>
      <sheetName val="D77 PAQUERA DARE"/>
      <sheetName val="D77 PAQUERA GREAT"/>
      <sheetName val="D77 PAQUER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78 JUDAS DE CHOMES PSCC "/>
      <sheetName val="D78 JUDAS DE CHOMES VIF"/>
      <sheetName val="D78 JUDAS DE CHOMES DARE"/>
      <sheetName val="D78 JUDAS DE CHOMES GREAT"/>
      <sheetName val="D78 JUDAS DE CHOMES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1 Carmen PSCC "/>
      <sheetName val="D01 VIF"/>
      <sheetName val="D01 Carmen DARE"/>
      <sheetName val="D01 Carmen GREAT"/>
      <sheetName val="D01 Carmen MPAS"/>
      <sheetName val="Totales PDIF"/>
      <sheetName val="Totales Política Pública"/>
      <sheetName val="DAT1"/>
      <sheetName val="DAT2"/>
      <sheetName val="D1 Carmen PUMI 2025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71 PUNTARENAS PSCC "/>
      <sheetName val="D71 PUNTARENAS VIF"/>
      <sheetName val="D71 PUNTARENAS DARE"/>
      <sheetName val="D71 PUNTARENAS GREAT"/>
      <sheetName val="D71 PUNTARENAS MPAS"/>
      <sheetName val="Totales PDIF"/>
      <sheetName val="Totales Política Pública"/>
      <sheetName val="DAT1"/>
      <sheetName val="DAT2"/>
      <sheetName val="D71 Puntarenas PUMI II Trimestr"/>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35"/>
  <sheetViews>
    <sheetView zoomScale="80" zoomScaleNormal="80" workbookViewId="0">
      <selection activeCell="O10" sqref="O10"/>
    </sheetView>
  </sheetViews>
  <sheetFormatPr baseColWidth="10" defaultColWidth="11.42578125" defaultRowHeight="15" x14ac:dyDescent="0.25"/>
  <cols>
    <col min="1" max="1" width="7.7109375" style="2" customWidth="1"/>
    <col min="2" max="2" width="88.5703125" style="2" customWidth="1"/>
    <col min="3" max="3" width="11.42578125" style="2"/>
    <col min="4" max="4" width="22.42578125" style="2" customWidth="1"/>
    <col min="5" max="9" width="17.28515625" style="2" customWidth="1"/>
    <col min="10" max="16384" width="11.42578125" style="2"/>
  </cols>
  <sheetData>
    <row r="1" spans="1:16" ht="61.5" customHeight="1" x14ac:dyDescent="0.25">
      <c r="A1" s="46" t="s">
        <v>1</v>
      </c>
      <c r="B1" s="26" t="s">
        <v>0</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7"/>
      <c r="B2" s="26"/>
      <c r="C2" s="3">
        <v>2026</v>
      </c>
      <c r="D2" s="3" t="s">
        <v>16</v>
      </c>
      <c r="E2" s="27"/>
      <c r="F2" s="27"/>
      <c r="G2" s="27"/>
      <c r="H2" s="27"/>
      <c r="I2" s="27"/>
      <c r="J2" s="27"/>
      <c r="K2" s="27"/>
      <c r="L2" s="27"/>
      <c r="M2" s="27"/>
      <c r="N2" s="27"/>
      <c r="O2" s="27"/>
      <c r="P2" s="27"/>
    </row>
    <row r="3" spans="1:16" ht="81" customHeight="1" thickBot="1" x14ac:dyDescent="0.3">
      <c r="A3" s="28" t="s">
        <v>18</v>
      </c>
      <c r="B3" s="5" t="s">
        <v>17</v>
      </c>
      <c r="C3" s="6">
        <v>2</v>
      </c>
      <c r="D3" s="24">
        <f t="shared" ref="D3:D5" si="0">SUM(E3:P3)</f>
        <v>0</v>
      </c>
      <c r="E3" s="29"/>
      <c r="F3" s="29"/>
      <c r="G3" s="29"/>
      <c r="H3" s="29"/>
      <c r="I3" s="29"/>
      <c r="J3" s="29"/>
      <c r="K3" s="29"/>
      <c r="L3" s="29"/>
      <c r="M3" s="29"/>
      <c r="N3" s="29"/>
      <c r="O3" s="29"/>
      <c r="P3" s="29"/>
    </row>
    <row r="4" spans="1:16" ht="81" customHeight="1" thickBot="1" x14ac:dyDescent="0.3">
      <c r="A4" s="30" t="s">
        <v>20</v>
      </c>
      <c r="B4" s="7" t="s">
        <v>19</v>
      </c>
      <c r="C4" s="31">
        <v>2</v>
      </c>
      <c r="D4" s="24">
        <f t="shared" si="0"/>
        <v>1</v>
      </c>
      <c r="E4" s="29">
        <v>0</v>
      </c>
      <c r="F4" s="29">
        <v>0</v>
      </c>
      <c r="G4" s="29">
        <v>0</v>
      </c>
      <c r="H4" s="29">
        <v>0</v>
      </c>
      <c r="I4" s="29">
        <v>1</v>
      </c>
      <c r="J4" s="29"/>
      <c r="K4" s="29"/>
      <c r="L4" s="29"/>
      <c r="M4" s="29"/>
      <c r="N4" s="29"/>
      <c r="O4" s="29"/>
      <c r="P4" s="29"/>
    </row>
    <row r="5" spans="1:16" ht="81" customHeight="1" thickBot="1" x14ac:dyDescent="0.3">
      <c r="A5" s="32" t="s">
        <v>22</v>
      </c>
      <c r="B5" s="8" t="s">
        <v>21</v>
      </c>
      <c r="C5" s="33">
        <v>2</v>
      </c>
      <c r="D5" s="24">
        <f t="shared" si="0"/>
        <v>0</v>
      </c>
      <c r="E5" s="29">
        <v>0</v>
      </c>
      <c r="F5" s="29">
        <v>0</v>
      </c>
      <c r="G5" s="29">
        <v>0</v>
      </c>
      <c r="H5" s="29">
        <v>0</v>
      </c>
      <c r="I5" s="29"/>
      <c r="J5" s="29"/>
      <c r="K5" s="29"/>
      <c r="L5" s="29"/>
      <c r="M5" s="29"/>
      <c r="N5" s="29"/>
      <c r="O5" s="29"/>
      <c r="P5" s="29"/>
    </row>
    <row r="6" spans="1:16" ht="28.5" customHeight="1" x14ac:dyDescent="0.25">
      <c r="A6" s="48" t="s">
        <v>75</v>
      </c>
      <c r="B6" s="35" t="s">
        <v>76</v>
      </c>
      <c r="C6" s="34">
        <v>3</v>
      </c>
      <c r="D6" s="24">
        <f t="shared" ref="D6:D33" si="1">SUM(E6:O6)</f>
        <v>2</v>
      </c>
      <c r="E6" s="29">
        <v>1</v>
      </c>
      <c r="F6" s="29"/>
      <c r="G6" s="29"/>
      <c r="H6" s="29">
        <v>1</v>
      </c>
      <c r="I6" s="29"/>
      <c r="J6" s="29"/>
      <c r="K6" s="29"/>
      <c r="L6" s="29"/>
      <c r="M6" s="29"/>
      <c r="N6" s="29"/>
      <c r="O6" s="29"/>
      <c r="P6" s="36"/>
    </row>
    <row r="7" spans="1:16" ht="28.5" customHeight="1" x14ac:dyDescent="0.25">
      <c r="A7" s="49"/>
      <c r="B7" s="35" t="s">
        <v>77</v>
      </c>
      <c r="C7" s="34">
        <v>3</v>
      </c>
      <c r="D7" s="24">
        <f t="shared" si="1"/>
        <v>3</v>
      </c>
      <c r="E7" s="29"/>
      <c r="F7" s="29"/>
      <c r="G7" s="29"/>
      <c r="H7" s="29">
        <v>3</v>
      </c>
      <c r="I7" s="29"/>
      <c r="J7" s="29"/>
      <c r="K7" s="29"/>
      <c r="L7" s="29"/>
      <c r="M7" s="29"/>
      <c r="N7" s="29"/>
      <c r="O7" s="29"/>
      <c r="P7" s="36"/>
    </row>
    <row r="8" spans="1:16" ht="28.5" customHeight="1" x14ac:dyDescent="0.25">
      <c r="A8" s="49"/>
      <c r="B8" s="35" t="s">
        <v>78</v>
      </c>
      <c r="C8" s="34">
        <v>160</v>
      </c>
      <c r="D8" s="24">
        <f t="shared" si="1"/>
        <v>70</v>
      </c>
      <c r="E8" s="29">
        <v>7</v>
      </c>
      <c r="F8" s="29">
        <v>11</v>
      </c>
      <c r="G8" s="29">
        <v>19</v>
      </c>
      <c r="H8" s="29">
        <v>15</v>
      </c>
      <c r="I8" s="29">
        <v>16</v>
      </c>
      <c r="J8" s="29">
        <v>2</v>
      </c>
      <c r="K8" s="29"/>
      <c r="L8" s="29"/>
      <c r="M8" s="29"/>
      <c r="N8" s="29"/>
      <c r="O8" s="29"/>
      <c r="P8" s="36"/>
    </row>
    <row r="9" spans="1:16" ht="28.5" customHeight="1" x14ac:dyDescent="0.25">
      <c r="A9" s="49"/>
      <c r="B9" s="35" t="s">
        <v>79</v>
      </c>
      <c r="C9" s="34">
        <v>123</v>
      </c>
      <c r="D9" s="24">
        <f t="shared" si="1"/>
        <v>39</v>
      </c>
      <c r="E9" s="29"/>
      <c r="F9" s="29"/>
      <c r="G9" s="29">
        <v>39</v>
      </c>
      <c r="H9" s="29"/>
      <c r="I9" s="29"/>
      <c r="J9" s="29"/>
      <c r="K9" s="29"/>
      <c r="L9" s="29"/>
      <c r="M9" s="29"/>
      <c r="N9" s="29"/>
      <c r="O9" s="29"/>
      <c r="P9" s="36"/>
    </row>
    <row r="10" spans="1:16" ht="28.5" customHeight="1" x14ac:dyDescent="0.25">
      <c r="A10" s="49"/>
      <c r="B10" s="35" t="s">
        <v>80</v>
      </c>
      <c r="C10" s="34">
        <v>0</v>
      </c>
      <c r="D10" s="24">
        <f t="shared" si="1"/>
        <v>0</v>
      </c>
      <c r="E10" s="29"/>
      <c r="F10" s="29"/>
      <c r="G10" s="29"/>
      <c r="H10" s="29"/>
      <c r="I10" s="29"/>
      <c r="J10" s="29"/>
      <c r="K10" s="29"/>
      <c r="L10" s="29"/>
      <c r="M10" s="29"/>
      <c r="N10" s="29"/>
      <c r="O10" s="29"/>
      <c r="P10" s="36"/>
    </row>
    <row r="11" spans="1:16" ht="28.5" customHeight="1" x14ac:dyDescent="0.25">
      <c r="A11" s="49"/>
      <c r="B11" s="35" t="s">
        <v>81</v>
      </c>
      <c r="C11" s="34">
        <v>0</v>
      </c>
      <c r="D11" s="24">
        <f t="shared" si="1"/>
        <v>0</v>
      </c>
      <c r="E11" s="29"/>
      <c r="F11" s="29"/>
      <c r="G11" s="29"/>
      <c r="H11" s="29"/>
      <c r="I11" s="29"/>
      <c r="J11" s="29"/>
      <c r="K11" s="29"/>
      <c r="L11" s="29"/>
      <c r="M11" s="29"/>
      <c r="N11" s="29"/>
      <c r="O11" s="29"/>
      <c r="P11" s="36"/>
    </row>
    <row r="12" spans="1:16" ht="28.5" customHeight="1" x14ac:dyDescent="0.25">
      <c r="A12" s="49"/>
      <c r="B12" s="35" t="s">
        <v>82</v>
      </c>
      <c r="C12" s="34">
        <v>0</v>
      </c>
      <c r="D12" s="24">
        <f t="shared" si="1"/>
        <v>0</v>
      </c>
      <c r="E12" s="29"/>
      <c r="F12" s="29"/>
      <c r="G12" s="29"/>
      <c r="H12" s="29"/>
      <c r="I12" s="29"/>
      <c r="J12" s="29"/>
      <c r="K12" s="29"/>
      <c r="L12" s="29"/>
      <c r="M12" s="29"/>
      <c r="N12" s="29"/>
      <c r="O12" s="29"/>
      <c r="P12" s="36"/>
    </row>
    <row r="13" spans="1:16" ht="28.5" customHeight="1" x14ac:dyDescent="0.25">
      <c r="A13" s="49"/>
      <c r="B13" s="35" t="s">
        <v>83</v>
      </c>
      <c r="C13" s="34">
        <v>0</v>
      </c>
      <c r="D13" s="24">
        <f t="shared" si="1"/>
        <v>0</v>
      </c>
      <c r="E13" s="29"/>
      <c r="F13" s="29"/>
      <c r="G13" s="29"/>
      <c r="H13" s="29"/>
      <c r="I13" s="29"/>
      <c r="J13" s="29"/>
      <c r="K13" s="29"/>
      <c r="L13" s="29"/>
      <c r="M13" s="29"/>
      <c r="N13" s="29"/>
      <c r="O13" s="29"/>
      <c r="P13" s="36"/>
    </row>
    <row r="14" spans="1:16" ht="28.5" customHeight="1" x14ac:dyDescent="0.25">
      <c r="A14" s="49"/>
      <c r="B14" s="35" t="s">
        <v>84</v>
      </c>
      <c r="C14" s="34">
        <v>0</v>
      </c>
      <c r="D14" s="24">
        <f t="shared" si="1"/>
        <v>0</v>
      </c>
      <c r="E14" s="29"/>
      <c r="F14" s="29"/>
      <c r="G14" s="29"/>
      <c r="H14" s="29"/>
      <c r="I14" s="29"/>
      <c r="J14" s="29"/>
      <c r="K14" s="29"/>
      <c r="L14" s="29"/>
      <c r="M14" s="29"/>
      <c r="N14" s="29"/>
      <c r="O14" s="29"/>
      <c r="P14" s="36"/>
    </row>
    <row r="15" spans="1:16" ht="28.5" customHeight="1" x14ac:dyDescent="0.25">
      <c r="A15" s="49"/>
      <c r="B15" s="35" t="s">
        <v>85</v>
      </c>
      <c r="C15" s="34">
        <v>0</v>
      </c>
      <c r="D15" s="24">
        <f t="shared" si="1"/>
        <v>0</v>
      </c>
      <c r="E15" s="29"/>
      <c r="F15" s="29"/>
      <c r="G15" s="29"/>
      <c r="H15" s="29"/>
      <c r="I15" s="29"/>
      <c r="J15" s="29"/>
      <c r="K15" s="29"/>
      <c r="L15" s="29"/>
      <c r="M15" s="29"/>
      <c r="N15" s="29"/>
      <c r="O15" s="29"/>
      <c r="P15" s="36"/>
    </row>
    <row r="16" spans="1:16" ht="28.5" customHeight="1" x14ac:dyDescent="0.25">
      <c r="A16" s="49"/>
      <c r="B16" s="35" t="s">
        <v>86</v>
      </c>
      <c r="C16" s="34">
        <v>36</v>
      </c>
      <c r="D16" s="24">
        <f t="shared" si="1"/>
        <v>0</v>
      </c>
      <c r="E16" s="29"/>
      <c r="F16" s="29"/>
      <c r="G16" s="29"/>
      <c r="H16" s="29"/>
      <c r="I16" s="29"/>
      <c r="J16" s="29"/>
      <c r="K16" s="29"/>
      <c r="L16" s="29"/>
      <c r="M16" s="29"/>
      <c r="N16" s="29"/>
      <c r="O16" s="29"/>
      <c r="P16" s="36"/>
    </row>
    <row r="17" spans="1:16" ht="28.5" customHeight="1" x14ac:dyDescent="0.25">
      <c r="A17" s="49"/>
      <c r="B17" s="35" t="s">
        <v>87</v>
      </c>
      <c r="C17" s="34">
        <v>0</v>
      </c>
      <c r="D17" s="24">
        <f t="shared" si="1"/>
        <v>0</v>
      </c>
      <c r="E17" s="29"/>
      <c r="F17" s="29"/>
      <c r="G17" s="29"/>
      <c r="H17" s="29"/>
      <c r="I17" s="29"/>
      <c r="J17" s="29"/>
      <c r="K17" s="29"/>
      <c r="L17" s="29"/>
      <c r="M17" s="29"/>
      <c r="N17" s="29"/>
      <c r="O17" s="29"/>
      <c r="P17" s="36"/>
    </row>
    <row r="18" spans="1:16" ht="28.5" customHeight="1" x14ac:dyDescent="0.25">
      <c r="A18" s="49"/>
      <c r="B18" s="35" t="s">
        <v>88</v>
      </c>
      <c r="C18" s="34">
        <v>0</v>
      </c>
      <c r="D18" s="24">
        <f t="shared" si="1"/>
        <v>0</v>
      </c>
      <c r="E18" s="29"/>
      <c r="F18" s="29"/>
      <c r="G18" s="29"/>
      <c r="H18" s="29"/>
      <c r="I18" s="29"/>
      <c r="J18" s="29"/>
      <c r="K18" s="29"/>
      <c r="L18" s="29"/>
      <c r="M18" s="29"/>
      <c r="N18" s="29"/>
      <c r="O18" s="29"/>
      <c r="P18" s="36"/>
    </row>
    <row r="19" spans="1:16" ht="28.5" customHeight="1" x14ac:dyDescent="0.25">
      <c r="A19" s="49"/>
      <c r="B19" s="35" t="s">
        <v>89</v>
      </c>
      <c r="C19" s="34">
        <v>0</v>
      </c>
      <c r="D19" s="24">
        <f t="shared" si="1"/>
        <v>0</v>
      </c>
      <c r="E19" s="29"/>
      <c r="F19" s="29"/>
      <c r="G19" s="29"/>
      <c r="H19" s="29"/>
      <c r="I19" s="29"/>
      <c r="J19" s="29"/>
      <c r="K19" s="29"/>
      <c r="L19" s="29"/>
      <c r="M19" s="29"/>
      <c r="N19" s="29"/>
      <c r="O19" s="29"/>
      <c r="P19" s="36"/>
    </row>
    <row r="20" spans="1:16" ht="28.5" customHeight="1" x14ac:dyDescent="0.25">
      <c r="A20" s="49"/>
      <c r="B20" s="35" t="s">
        <v>90</v>
      </c>
      <c r="C20" s="34">
        <v>169</v>
      </c>
      <c r="D20" s="24">
        <f t="shared" si="1"/>
        <v>84</v>
      </c>
      <c r="E20" s="29"/>
      <c r="F20" s="29">
        <v>42</v>
      </c>
      <c r="G20" s="29"/>
      <c r="H20" s="29"/>
      <c r="I20" s="29">
        <v>42</v>
      </c>
      <c r="J20" s="29"/>
      <c r="K20" s="29"/>
      <c r="L20" s="29"/>
      <c r="M20" s="29"/>
      <c r="N20" s="29"/>
      <c r="O20" s="29"/>
      <c r="P20" s="36"/>
    </row>
    <row r="21" spans="1:16" ht="28.5" customHeight="1" x14ac:dyDescent="0.25">
      <c r="A21" s="49"/>
      <c r="B21" s="35" t="s">
        <v>91</v>
      </c>
      <c r="C21" s="34">
        <v>0</v>
      </c>
      <c r="D21" s="24">
        <f t="shared" si="1"/>
        <v>0</v>
      </c>
      <c r="E21" s="29"/>
      <c r="F21" s="29"/>
      <c r="G21" s="29"/>
      <c r="H21" s="29"/>
      <c r="I21" s="29"/>
      <c r="J21" s="29"/>
      <c r="K21" s="29"/>
      <c r="L21" s="29"/>
      <c r="M21" s="29"/>
      <c r="N21" s="29"/>
      <c r="O21" s="29"/>
      <c r="P21" s="36"/>
    </row>
    <row r="22" spans="1:16" ht="24" customHeight="1" x14ac:dyDescent="0.25">
      <c r="A22" s="49"/>
      <c r="B22" s="37" t="s">
        <v>92</v>
      </c>
      <c r="C22" s="34">
        <v>1</v>
      </c>
      <c r="D22" s="24">
        <f t="shared" si="1"/>
        <v>1</v>
      </c>
      <c r="E22" s="29"/>
      <c r="F22" s="29"/>
      <c r="G22" s="29">
        <v>1</v>
      </c>
      <c r="H22" s="29"/>
      <c r="I22" s="29"/>
      <c r="J22" s="29"/>
      <c r="K22" s="29"/>
      <c r="L22" s="29"/>
      <c r="M22" s="29"/>
      <c r="N22" s="29"/>
      <c r="O22" s="29"/>
      <c r="P22" s="36"/>
    </row>
    <row r="23" spans="1:16" ht="24" customHeight="1" x14ac:dyDescent="0.25">
      <c r="A23" s="49"/>
      <c r="B23" s="37" t="s">
        <v>93</v>
      </c>
      <c r="C23" s="34">
        <v>1</v>
      </c>
      <c r="D23" s="24">
        <f t="shared" si="1"/>
        <v>1</v>
      </c>
      <c r="E23" s="29"/>
      <c r="F23" s="29"/>
      <c r="G23" s="29"/>
      <c r="H23" s="29"/>
      <c r="I23" s="29">
        <v>1</v>
      </c>
      <c r="J23" s="29"/>
      <c r="K23" s="29"/>
      <c r="L23" s="29"/>
      <c r="M23" s="29"/>
      <c r="N23" s="29"/>
      <c r="O23" s="29"/>
      <c r="P23" s="36"/>
    </row>
    <row r="24" spans="1:16" ht="24" customHeight="1" x14ac:dyDescent="0.25">
      <c r="A24" s="49"/>
      <c r="B24" s="37" t="s">
        <v>94</v>
      </c>
      <c r="C24" s="34">
        <v>1</v>
      </c>
      <c r="D24" s="24">
        <f t="shared" si="1"/>
        <v>1</v>
      </c>
      <c r="E24" s="29"/>
      <c r="F24" s="29"/>
      <c r="G24" s="29"/>
      <c r="H24" s="29"/>
      <c r="I24" s="29">
        <v>1</v>
      </c>
      <c r="J24" s="29"/>
      <c r="K24" s="29"/>
      <c r="L24" s="29"/>
      <c r="M24" s="29"/>
      <c r="N24" s="29"/>
      <c r="O24" s="29"/>
      <c r="P24" s="36"/>
    </row>
    <row r="25" spans="1:16" ht="24" customHeight="1" x14ac:dyDescent="0.25">
      <c r="A25" s="49"/>
      <c r="B25" s="37" t="s">
        <v>95</v>
      </c>
      <c r="C25" s="34">
        <v>1</v>
      </c>
      <c r="D25" s="24">
        <f t="shared" si="1"/>
        <v>0</v>
      </c>
      <c r="E25" s="29"/>
      <c r="F25" s="29"/>
      <c r="G25" s="29"/>
      <c r="H25" s="29"/>
      <c r="I25" s="29"/>
      <c r="J25" s="29"/>
      <c r="K25" s="29"/>
      <c r="L25" s="29"/>
      <c r="M25" s="29"/>
      <c r="N25" s="29"/>
      <c r="O25" s="29"/>
      <c r="P25" s="36"/>
    </row>
    <row r="26" spans="1:16" ht="24" customHeight="1" x14ac:dyDescent="0.25">
      <c r="A26" s="49"/>
      <c r="B26" s="37" t="s">
        <v>96</v>
      </c>
      <c r="C26" s="34">
        <v>1</v>
      </c>
      <c r="D26" s="24">
        <f t="shared" si="1"/>
        <v>0</v>
      </c>
      <c r="E26" s="29"/>
      <c r="F26" s="29"/>
      <c r="G26" s="29"/>
      <c r="H26" s="29"/>
      <c r="I26" s="29"/>
      <c r="J26" s="29"/>
      <c r="K26" s="29"/>
      <c r="L26" s="29"/>
      <c r="M26" s="29"/>
      <c r="N26" s="29"/>
      <c r="O26" s="29"/>
      <c r="P26" s="36"/>
    </row>
    <row r="27" spans="1:16" ht="24" customHeight="1" x14ac:dyDescent="0.25">
      <c r="A27" s="49"/>
      <c r="B27" s="37" t="s">
        <v>97</v>
      </c>
      <c r="C27" s="34">
        <v>1</v>
      </c>
      <c r="D27" s="24">
        <f t="shared" si="1"/>
        <v>0</v>
      </c>
      <c r="E27" s="29"/>
      <c r="F27" s="29"/>
      <c r="G27" s="29"/>
      <c r="H27" s="29"/>
      <c r="I27" s="29"/>
      <c r="J27" s="29"/>
      <c r="K27" s="29"/>
      <c r="L27" s="29"/>
      <c r="M27" s="29"/>
      <c r="N27" s="29"/>
      <c r="O27" s="29"/>
      <c r="P27" s="36"/>
    </row>
    <row r="28" spans="1:16" ht="24" customHeight="1" x14ac:dyDescent="0.25">
      <c r="A28" s="49"/>
      <c r="B28" s="37" t="s">
        <v>98</v>
      </c>
      <c r="C28" s="34">
        <v>1</v>
      </c>
      <c r="D28" s="24">
        <f t="shared" si="1"/>
        <v>0</v>
      </c>
      <c r="E28" s="29"/>
      <c r="F28" s="29"/>
      <c r="G28" s="29"/>
      <c r="H28" s="29"/>
      <c r="I28" s="29"/>
      <c r="J28" s="29"/>
      <c r="K28" s="29"/>
      <c r="L28" s="29"/>
      <c r="M28" s="29"/>
      <c r="N28" s="29"/>
      <c r="O28" s="29"/>
      <c r="P28" s="36"/>
    </row>
    <row r="29" spans="1:16" ht="24" customHeight="1" x14ac:dyDescent="0.25">
      <c r="A29" s="49"/>
      <c r="B29" s="37" t="s">
        <v>99</v>
      </c>
      <c r="C29" s="34">
        <v>1</v>
      </c>
      <c r="D29" s="24">
        <f t="shared" si="1"/>
        <v>0</v>
      </c>
      <c r="E29" s="29"/>
      <c r="F29" s="29"/>
      <c r="G29" s="29"/>
      <c r="H29" s="29"/>
      <c r="I29" s="29"/>
      <c r="J29" s="29"/>
      <c r="K29" s="29"/>
      <c r="L29" s="29"/>
      <c r="M29" s="29"/>
      <c r="N29" s="29"/>
      <c r="O29" s="29"/>
      <c r="P29" s="36"/>
    </row>
    <row r="30" spans="1:16" ht="24" customHeight="1" x14ac:dyDescent="0.25">
      <c r="A30" s="49"/>
      <c r="B30" s="37" t="s">
        <v>100</v>
      </c>
      <c r="C30" s="34">
        <v>1</v>
      </c>
      <c r="D30" s="24">
        <f t="shared" si="1"/>
        <v>0</v>
      </c>
      <c r="E30" s="29"/>
      <c r="F30" s="29"/>
      <c r="G30" s="29"/>
      <c r="H30" s="29"/>
      <c r="I30" s="29"/>
      <c r="J30" s="29"/>
      <c r="K30" s="29"/>
      <c r="L30" s="29"/>
      <c r="M30" s="29"/>
      <c r="N30" s="29"/>
      <c r="O30" s="29"/>
      <c r="P30" s="36"/>
    </row>
    <row r="31" spans="1:16" ht="24" customHeight="1" x14ac:dyDescent="0.25">
      <c r="A31" s="49"/>
      <c r="B31" s="37" t="s">
        <v>101</v>
      </c>
      <c r="C31" s="34">
        <v>1</v>
      </c>
      <c r="D31" s="24">
        <f t="shared" si="1"/>
        <v>0</v>
      </c>
      <c r="E31" s="29"/>
      <c r="F31" s="29"/>
      <c r="G31" s="29"/>
      <c r="H31" s="29"/>
      <c r="I31" s="29"/>
      <c r="J31" s="29"/>
      <c r="K31" s="29"/>
      <c r="L31" s="29"/>
      <c r="M31" s="29"/>
      <c r="N31" s="29"/>
      <c r="O31" s="29"/>
      <c r="P31" s="36"/>
    </row>
    <row r="32" spans="1:16" ht="24" customHeight="1" x14ac:dyDescent="0.25">
      <c r="A32" s="49"/>
      <c r="B32" s="37" t="s">
        <v>102</v>
      </c>
      <c r="C32" s="34">
        <v>1</v>
      </c>
      <c r="D32" s="24">
        <f t="shared" si="1"/>
        <v>0</v>
      </c>
      <c r="E32" s="29"/>
      <c r="F32" s="29"/>
      <c r="G32" s="29"/>
      <c r="H32" s="29"/>
      <c r="I32" s="29"/>
      <c r="J32" s="29"/>
      <c r="K32" s="29"/>
      <c r="L32" s="29"/>
      <c r="M32" s="29"/>
      <c r="N32" s="29"/>
      <c r="O32" s="29"/>
      <c r="P32" s="36"/>
    </row>
    <row r="33" spans="1:16" ht="24" customHeight="1" thickBot="1" x14ac:dyDescent="0.3">
      <c r="A33" s="50"/>
      <c r="B33" s="38" t="s">
        <v>103</v>
      </c>
      <c r="C33" s="34">
        <v>1</v>
      </c>
      <c r="D33" s="24">
        <f t="shared" si="1"/>
        <v>0</v>
      </c>
      <c r="E33" s="29"/>
      <c r="F33" s="29"/>
      <c r="G33" s="29"/>
      <c r="H33" s="29"/>
      <c r="I33" s="29"/>
      <c r="J33" s="29"/>
      <c r="K33" s="29"/>
      <c r="L33" s="29"/>
      <c r="M33" s="29"/>
      <c r="N33" s="29"/>
      <c r="O33" s="29"/>
      <c r="P33" s="36"/>
    </row>
    <row r="34" spans="1:16" x14ac:dyDescent="0.25">
      <c r="C34" s="39">
        <f>SUM(C3:C33)</f>
        <v>512</v>
      </c>
      <c r="D34" s="40">
        <f>SUM(D3:D33)</f>
        <v>202</v>
      </c>
    </row>
    <row r="35" spans="1:16" x14ac:dyDescent="0.25">
      <c r="C35" s="17"/>
      <c r="D35" s="41">
        <f>D34/C34</f>
        <v>0.39453125</v>
      </c>
    </row>
  </sheetData>
  <sheetProtection algorithmName="SHA-512" hashValue="lUNJMdDQawlhqIdF9gKRZ6QWqXBRZAY1pTd+Cl8O6i9mqRAZeQWIHXH3tmSA/AuKmFrTF3J0MKYKQR0DXUoBNw==" saltValue="xBwQVYE1eWv5fSoAOkyI+Q==" spinCount="100000" sheet="1" objects="1" scenarios="1" autoFilter="0"/>
  <mergeCells count="2">
    <mergeCell ref="A1:A2"/>
    <mergeCell ref="A6:A33"/>
  </mergeCells>
  <conditionalFormatting sqref="C3:D3 D4:D5">
    <cfRule type="dataBar" priority="53">
      <dataBar>
        <cfvo type="min"/>
        <cfvo type="max"/>
        <color rgb="FF008AEF"/>
      </dataBar>
      <extLst>
        <ext xmlns:x14="http://schemas.microsoft.com/office/spreadsheetml/2009/9/main" uri="{B025F937-C7B1-47D3-B67F-A62EFF666E3E}">
          <x14:id>{5EB60C50-AD53-403B-B9AF-207A7D17BEDA}</x14:id>
        </ext>
      </extLst>
    </cfRule>
  </conditionalFormatting>
  <conditionalFormatting sqref="C4:D4">
    <cfRule type="dataBar" priority="6">
      <dataBar>
        <cfvo type="min"/>
        <cfvo type="max"/>
        <color rgb="FF008AEF"/>
      </dataBar>
      <extLst>
        <ext xmlns:x14="http://schemas.microsoft.com/office/spreadsheetml/2009/9/main" uri="{B025F937-C7B1-47D3-B67F-A62EFF666E3E}">
          <x14:id>{8C3D19C1-C160-48CD-B960-AF2C500A7C4A}</x14:id>
        </ext>
      </extLst>
    </cfRule>
  </conditionalFormatting>
  <conditionalFormatting sqref="C5:D5">
    <cfRule type="dataBar" priority="7">
      <dataBar>
        <cfvo type="min"/>
        <cfvo type="max"/>
        <color rgb="FF008AEF"/>
      </dataBar>
      <extLst>
        <ext xmlns:x14="http://schemas.microsoft.com/office/spreadsheetml/2009/9/main" uri="{B025F937-C7B1-47D3-B67F-A62EFF666E3E}">
          <x14:id>{B35A9801-EA04-4B7F-81BD-3C430D9EFC79}</x14:id>
        </ext>
      </extLst>
    </cfRule>
  </conditionalFormatting>
  <conditionalFormatting sqref="C6:D6">
    <cfRule type="dataBar" priority="13">
      <dataBar>
        <cfvo type="min"/>
        <cfvo type="max"/>
        <color rgb="FF008AEF"/>
      </dataBar>
      <extLst>
        <ext xmlns:x14="http://schemas.microsoft.com/office/spreadsheetml/2009/9/main" uri="{B025F937-C7B1-47D3-B67F-A62EFF666E3E}">
          <x14:id>{C506A821-F0DE-4EEE-BA04-4FE239A6309C}</x14:id>
        </ext>
      </extLst>
    </cfRule>
  </conditionalFormatting>
  <conditionalFormatting sqref="C7:D7">
    <cfRule type="dataBar" priority="40">
      <dataBar>
        <cfvo type="min"/>
        <cfvo type="max"/>
        <color rgb="FF008AEF"/>
      </dataBar>
      <extLst>
        <ext xmlns:x14="http://schemas.microsoft.com/office/spreadsheetml/2009/9/main" uri="{B025F937-C7B1-47D3-B67F-A62EFF666E3E}">
          <x14:id>{8210E1C9-9778-4735-B54D-D3E18940B4A0}</x14:id>
        </ext>
      </extLst>
    </cfRule>
  </conditionalFormatting>
  <conditionalFormatting sqref="C8:D8">
    <cfRule type="dataBar" priority="39">
      <dataBar>
        <cfvo type="min"/>
        <cfvo type="max"/>
        <color rgb="FF008AEF"/>
      </dataBar>
      <extLst>
        <ext xmlns:x14="http://schemas.microsoft.com/office/spreadsheetml/2009/9/main" uri="{B025F937-C7B1-47D3-B67F-A62EFF666E3E}">
          <x14:id>{B1F9D955-E507-4A0B-8D6E-04618ECD9E5B}</x14:id>
        </ext>
      </extLst>
    </cfRule>
  </conditionalFormatting>
  <conditionalFormatting sqref="C9:D9">
    <cfRule type="dataBar" priority="38">
      <dataBar>
        <cfvo type="min"/>
        <cfvo type="max"/>
        <color rgb="FF008AEF"/>
      </dataBar>
      <extLst>
        <ext xmlns:x14="http://schemas.microsoft.com/office/spreadsheetml/2009/9/main" uri="{B025F937-C7B1-47D3-B67F-A62EFF666E3E}">
          <x14:id>{EB6BD9BB-8462-48AD-8DAC-0E3228607DE0}</x14:id>
        </ext>
      </extLst>
    </cfRule>
  </conditionalFormatting>
  <conditionalFormatting sqref="C10:D10">
    <cfRule type="dataBar" priority="37">
      <dataBar>
        <cfvo type="min"/>
        <cfvo type="max"/>
        <color rgb="FF008AEF"/>
      </dataBar>
      <extLst>
        <ext xmlns:x14="http://schemas.microsoft.com/office/spreadsheetml/2009/9/main" uri="{B025F937-C7B1-47D3-B67F-A62EFF666E3E}">
          <x14:id>{4F06DDCD-EE72-4C4F-8A95-69FC3CFB2132}</x14:id>
        </ext>
      </extLst>
    </cfRule>
  </conditionalFormatting>
  <conditionalFormatting sqref="C11:D11">
    <cfRule type="dataBar" priority="36">
      <dataBar>
        <cfvo type="min"/>
        <cfvo type="max"/>
        <color rgb="FF008AEF"/>
      </dataBar>
      <extLst>
        <ext xmlns:x14="http://schemas.microsoft.com/office/spreadsheetml/2009/9/main" uri="{B025F937-C7B1-47D3-B67F-A62EFF666E3E}">
          <x14:id>{9BA1AA06-5538-48DB-A7A9-C152F434A265}</x14:id>
        </ext>
      </extLst>
    </cfRule>
  </conditionalFormatting>
  <conditionalFormatting sqref="C12:D12">
    <cfRule type="dataBar" priority="35">
      <dataBar>
        <cfvo type="min"/>
        <cfvo type="max"/>
        <color rgb="FF008AEF"/>
      </dataBar>
      <extLst>
        <ext xmlns:x14="http://schemas.microsoft.com/office/spreadsheetml/2009/9/main" uri="{B025F937-C7B1-47D3-B67F-A62EFF666E3E}">
          <x14:id>{91FE771F-7FCE-45DE-B29D-5B026F549DD4}</x14:id>
        </ext>
      </extLst>
    </cfRule>
  </conditionalFormatting>
  <conditionalFormatting sqref="C13:D13">
    <cfRule type="dataBar" priority="34">
      <dataBar>
        <cfvo type="min"/>
        <cfvo type="max"/>
        <color rgb="FF008AEF"/>
      </dataBar>
      <extLst>
        <ext xmlns:x14="http://schemas.microsoft.com/office/spreadsheetml/2009/9/main" uri="{B025F937-C7B1-47D3-B67F-A62EFF666E3E}">
          <x14:id>{8E05F704-C95E-49FF-9B1E-EEB0CEC6183D}</x14:id>
        </ext>
      </extLst>
    </cfRule>
  </conditionalFormatting>
  <conditionalFormatting sqref="C14:D14">
    <cfRule type="dataBar" priority="33">
      <dataBar>
        <cfvo type="min"/>
        <cfvo type="max"/>
        <color rgb="FF008AEF"/>
      </dataBar>
      <extLst>
        <ext xmlns:x14="http://schemas.microsoft.com/office/spreadsheetml/2009/9/main" uri="{B025F937-C7B1-47D3-B67F-A62EFF666E3E}">
          <x14:id>{60386BE9-C755-411C-94EE-9030F456C2B8}</x14:id>
        </ext>
      </extLst>
    </cfRule>
  </conditionalFormatting>
  <conditionalFormatting sqref="C15:D15">
    <cfRule type="dataBar" priority="32">
      <dataBar>
        <cfvo type="min"/>
        <cfvo type="max"/>
        <color rgb="FF008AEF"/>
      </dataBar>
      <extLst>
        <ext xmlns:x14="http://schemas.microsoft.com/office/spreadsheetml/2009/9/main" uri="{B025F937-C7B1-47D3-B67F-A62EFF666E3E}">
          <x14:id>{9739806B-9C9E-4099-9783-21423E4EA3BE}</x14:id>
        </ext>
      </extLst>
    </cfRule>
  </conditionalFormatting>
  <conditionalFormatting sqref="C16:D16">
    <cfRule type="dataBar" priority="31">
      <dataBar>
        <cfvo type="min"/>
        <cfvo type="max"/>
        <color rgb="FF008AEF"/>
      </dataBar>
      <extLst>
        <ext xmlns:x14="http://schemas.microsoft.com/office/spreadsheetml/2009/9/main" uri="{B025F937-C7B1-47D3-B67F-A62EFF666E3E}">
          <x14:id>{D3F3A96D-C691-4C8A-962F-17731EECE814}</x14:id>
        </ext>
      </extLst>
    </cfRule>
  </conditionalFormatting>
  <conditionalFormatting sqref="C17:D17">
    <cfRule type="dataBar" priority="30">
      <dataBar>
        <cfvo type="min"/>
        <cfvo type="max"/>
        <color rgb="FF008AEF"/>
      </dataBar>
      <extLst>
        <ext xmlns:x14="http://schemas.microsoft.com/office/spreadsheetml/2009/9/main" uri="{B025F937-C7B1-47D3-B67F-A62EFF666E3E}">
          <x14:id>{D0FCFF94-5A14-474B-8BEE-3967922D7E94}</x14:id>
        </ext>
      </extLst>
    </cfRule>
  </conditionalFormatting>
  <conditionalFormatting sqref="C18:D18">
    <cfRule type="dataBar" priority="29">
      <dataBar>
        <cfvo type="min"/>
        <cfvo type="max"/>
        <color rgb="FF008AEF"/>
      </dataBar>
      <extLst>
        <ext xmlns:x14="http://schemas.microsoft.com/office/spreadsheetml/2009/9/main" uri="{B025F937-C7B1-47D3-B67F-A62EFF666E3E}">
          <x14:id>{14516B53-6E13-42C6-9306-8875CFB027EB}</x14:id>
        </ext>
      </extLst>
    </cfRule>
  </conditionalFormatting>
  <conditionalFormatting sqref="C19:D19">
    <cfRule type="dataBar" priority="28">
      <dataBar>
        <cfvo type="min"/>
        <cfvo type="max"/>
        <color rgb="FF008AEF"/>
      </dataBar>
      <extLst>
        <ext xmlns:x14="http://schemas.microsoft.com/office/spreadsheetml/2009/9/main" uri="{B025F937-C7B1-47D3-B67F-A62EFF666E3E}">
          <x14:id>{8E653099-7733-4412-B855-1464F80BC3C1}</x14:id>
        </ext>
      </extLst>
    </cfRule>
  </conditionalFormatting>
  <conditionalFormatting sqref="C20:D20">
    <cfRule type="dataBar" priority="27">
      <dataBar>
        <cfvo type="min"/>
        <cfvo type="max"/>
        <color rgb="FF008AEF"/>
      </dataBar>
      <extLst>
        <ext xmlns:x14="http://schemas.microsoft.com/office/spreadsheetml/2009/9/main" uri="{B025F937-C7B1-47D3-B67F-A62EFF666E3E}">
          <x14:id>{E29FC5CF-7A2A-4C07-9B49-DF6CA82AF6DD}</x14:id>
        </ext>
      </extLst>
    </cfRule>
  </conditionalFormatting>
  <conditionalFormatting sqref="C21:D21">
    <cfRule type="dataBar" priority="26">
      <dataBar>
        <cfvo type="min"/>
        <cfvo type="max"/>
        <color rgb="FF008AEF"/>
      </dataBar>
      <extLst>
        <ext xmlns:x14="http://schemas.microsoft.com/office/spreadsheetml/2009/9/main" uri="{B025F937-C7B1-47D3-B67F-A62EFF666E3E}">
          <x14:id>{0A33FEE7-A1DB-4EAA-B10F-D67CC987753A}</x14:id>
        </ext>
      </extLst>
    </cfRule>
  </conditionalFormatting>
  <conditionalFormatting sqref="C22:D22">
    <cfRule type="dataBar" priority="25">
      <dataBar>
        <cfvo type="min"/>
        <cfvo type="max"/>
        <color rgb="FF008AEF"/>
      </dataBar>
      <extLst>
        <ext xmlns:x14="http://schemas.microsoft.com/office/spreadsheetml/2009/9/main" uri="{B025F937-C7B1-47D3-B67F-A62EFF666E3E}">
          <x14:id>{7681EA20-553E-4EA3-A07D-BE0903C4C476}</x14:id>
        </ext>
      </extLst>
    </cfRule>
  </conditionalFormatting>
  <conditionalFormatting sqref="C23:D23">
    <cfRule type="dataBar" priority="24">
      <dataBar>
        <cfvo type="min"/>
        <cfvo type="max"/>
        <color rgb="FF008AEF"/>
      </dataBar>
      <extLst>
        <ext xmlns:x14="http://schemas.microsoft.com/office/spreadsheetml/2009/9/main" uri="{B025F937-C7B1-47D3-B67F-A62EFF666E3E}">
          <x14:id>{A6551D05-F63B-4737-A6CE-89673CA22E5B}</x14:id>
        </ext>
      </extLst>
    </cfRule>
  </conditionalFormatting>
  <conditionalFormatting sqref="C24:D24">
    <cfRule type="dataBar" priority="23">
      <dataBar>
        <cfvo type="min"/>
        <cfvo type="max"/>
        <color rgb="FF008AEF"/>
      </dataBar>
      <extLst>
        <ext xmlns:x14="http://schemas.microsoft.com/office/spreadsheetml/2009/9/main" uri="{B025F937-C7B1-47D3-B67F-A62EFF666E3E}">
          <x14:id>{C76C11C1-9C12-46D3-A74A-2BD1D200827F}</x14:id>
        </ext>
      </extLst>
    </cfRule>
  </conditionalFormatting>
  <conditionalFormatting sqref="C25:D25">
    <cfRule type="dataBar" priority="22">
      <dataBar>
        <cfvo type="min"/>
        <cfvo type="max"/>
        <color rgb="FF008AEF"/>
      </dataBar>
      <extLst>
        <ext xmlns:x14="http://schemas.microsoft.com/office/spreadsheetml/2009/9/main" uri="{B025F937-C7B1-47D3-B67F-A62EFF666E3E}">
          <x14:id>{AD90E7C1-893B-47C8-A52D-7A4CA7463FBE}</x14:id>
        </ext>
      </extLst>
    </cfRule>
  </conditionalFormatting>
  <conditionalFormatting sqref="C26:D26">
    <cfRule type="dataBar" priority="21">
      <dataBar>
        <cfvo type="min"/>
        <cfvo type="max"/>
        <color rgb="FF008AEF"/>
      </dataBar>
      <extLst>
        <ext xmlns:x14="http://schemas.microsoft.com/office/spreadsheetml/2009/9/main" uri="{B025F937-C7B1-47D3-B67F-A62EFF666E3E}">
          <x14:id>{ECA54117-C797-4017-B0D5-539DFD79C7D0}</x14:id>
        </ext>
      </extLst>
    </cfRule>
  </conditionalFormatting>
  <conditionalFormatting sqref="C27:D27">
    <cfRule type="dataBar" priority="20">
      <dataBar>
        <cfvo type="min"/>
        <cfvo type="max"/>
        <color rgb="FF008AEF"/>
      </dataBar>
      <extLst>
        <ext xmlns:x14="http://schemas.microsoft.com/office/spreadsheetml/2009/9/main" uri="{B025F937-C7B1-47D3-B67F-A62EFF666E3E}">
          <x14:id>{4AC1A7D5-F5D1-4810-BF68-484DA034DBFA}</x14:id>
        </ext>
      </extLst>
    </cfRule>
  </conditionalFormatting>
  <conditionalFormatting sqref="C28:D28">
    <cfRule type="dataBar" priority="19">
      <dataBar>
        <cfvo type="min"/>
        <cfvo type="max"/>
        <color rgb="FF008AEF"/>
      </dataBar>
      <extLst>
        <ext xmlns:x14="http://schemas.microsoft.com/office/spreadsheetml/2009/9/main" uri="{B025F937-C7B1-47D3-B67F-A62EFF666E3E}">
          <x14:id>{C72B3C4F-F265-4B8F-ADB4-88E389761200}</x14:id>
        </ext>
      </extLst>
    </cfRule>
  </conditionalFormatting>
  <conditionalFormatting sqref="C29:D29">
    <cfRule type="dataBar" priority="18">
      <dataBar>
        <cfvo type="min"/>
        <cfvo type="max"/>
        <color rgb="FF008AEF"/>
      </dataBar>
      <extLst>
        <ext xmlns:x14="http://schemas.microsoft.com/office/spreadsheetml/2009/9/main" uri="{B025F937-C7B1-47D3-B67F-A62EFF666E3E}">
          <x14:id>{D374A371-F16D-4FE1-A1B5-0675B6585EA7}</x14:id>
        </ext>
      </extLst>
    </cfRule>
  </conditionalFormatting>
  <conditionalFormatting sqref="C30:D30">
    <cfRule type="dataBar" priority="17">
      <dataBar>
        <cfvo type="min"/>
        <cfvo type="max"/>
        <color rgb="FF008AEF"/>
      </dataBar>
      <extLst>
        <ext xmlns:x14="http://schemas.microsoft.com/office/spreadsheetml/2009/9/main" uri="{B025F937-C7B1-47D3-B67F-A62EFF666E3E}">
          <x14:id>{D4CCA439-1EFA-4374-AC81-FE39DC6E74EA}</x14:id>
        </ext>
      </extLst>
    </cfRule>
  </conditionalFormatting>
  <conditionalFormatting sqref="C31:D31">
    <cfRule type="dataBar" priority="16">
      <dataBar>
        <cfvo type="min"/>
        <cfvo type="max"/>
        <color rgb="FF008AEF"/>
      </dataBar>
      <extLst>
        <ext xmlns:x14="http://schemas.microsoft.com/office/spreadsheetml/2009/9/main" uri="{B025F937-C7B1-47D3-B67F-A62EFF666E3E}">
          <x14:id>{D7D6185F-35BB-411C-AF1D-203DAA8FA2ED}</x14:id>
        </ext>
      </extLst>
    </cfRule>
  </conditionalFormatting>
  <conditionalFormatting sqref="C32:D32">
    <cfRule type="dataBar" priority="15">
      <dataBar>
        <cfvo type="min"/>
        <cfvo type="max"/>
        <color rgb="FF008AEF"/>
      </dataBar>
      <extLst>
        <ext xmlns:x14="http://schemas.microsoft.com/office/spreadsheetml/2009/9/main" uri="{B025F937-C7B1-47D3-B67F-A62EFF666E3E}">
          <x14:id>{7FAC7AFC-785D-4706-AF02-FE0C9A1A56F6}</x14:id>
        </ext>
      </extLst>
    </cfRule>
  </conditionalFormatting>
  <conditionalFormatting sqref="C33:D33">
    <cfRule type="dataBar" priority="14">
      <dataBar>
        <cfvo type="min"/>
        <cfvo type="max"/>
        <color rgb="FF008AEF"/>
      </dataBar>
      <extLst>
        <ext xmlns:x14="http://schemas.microsoft.com/office/spreadsheetml/2009/9/main" uri="{B025F937-C7B1-47D3-B67F-A62EFF666E3E}">
          <x14:id>{C30C2182-B81D-43EF-8AA4-89DA43D39ACB}</x14:id>
        </ext>
      </extLst>
    </cfRule>
  </conditionalFormatting>
  <conditionalFormatting sqref="E3:F29 E30:O33">
    <cfRule type="cellIs" dxfId="24" priority="3" operator="greaterThan">
      <formula>0</formula>
    </cfRule>
  </conditionalFormatting>
  <conditionalFormatting sqref="G6:O29">
    <cfRule type="cellIs" dxfId="23" priority="12" operator="greaterThan">
      <formula>0</formula>
    </cfRule>
  </conditionalFormatting>
  <conditionalFormatting sqref="G3:P5">
    <cfRule type="cellIs" dxfId="22" priority="4"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EB60C50-AD53-403B-B9AF-207A7D17BEDA}">
            <x14:dataBar minLength="0" maxLength="100" gradient="0">
              <x14:cfvo type="autoMin"/>
              <x14:cfvo type="autoMax"/>
              <x14:negativeFillColor rgb="FFFF0000"/>
              <x14:axisColor rgb="FF000000"/>
            </x14:dataBar>
          </x14:cfRule>
          <xm:sqref>C3:D3 D4:D5</xm:sqref>
        </x14:conditionalFormatting>
        <x14:conditionalFormatting xmlns:xm="http://schemas.microsoft.com/office/excel/2006/main">
          <x14:cfRule type="dataBar" id="{8C3D19C1-C160-48CD-B960-AF2C500A7C4A}">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B35A9801-EA04-4B7F-81BD-3C430D9EFC79}">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C506A821-F0DE-4EEE-BA04-4FE239A6309C}">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8210E1C9-9778-4735-B54D-D3E18940B4A0}">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B1F9D955-E507-4A0B-8D6E-04618ECD9E5B}">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EB6BD9BB-8462-48AD-8DAC-0E3228607DE0}">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4F06DDCD-EE72-4C4F-8A95-69FC3CFB2132}">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9BA1AA06-5538-48DB-A7A9-C152F434A265}">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91FE771F-7FCE-45DE-B29D-5B026F549DD4}">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8E05F704-C95E-49FF-9B1E-EEB0CEC6183D}">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60386BE9-C755-411C-94EE-9030F456C2B8}">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9739806B-9C9E-4099-9783-21423E4EA3BE}">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D3F3A96D-C691-4C8A-962F-17731EECE814}">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D0FCFF94-5A14-474B-8BEE-3967922D7E94}">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14516B53-6E13-42C6-9306-8875CFB027EB}">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8E653099-7733-4412-B855-1464F80BC3C1}">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E29FC5CF-7A2A-4C07-9B49-DF6CA82AF6DD}">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0A33FEE7-A1DB-4EAA-B10F-D67CC987753A}">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7681EA20-553E-4EA3-A07D-BE0903C4C476}">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A6551D05-F63B-4737-A6CE-89673CA22E5B}">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C76C11C1-9C12-46D3-A74A-2BD1D200827F}">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AD90E7C1-893B-47C8-A52D-7A4CA7463FBE}">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ECA54117-C797-4017-B0D5-539DFD79C7D0}">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4AC1A7D5-F5D1-4810-BF68-484DA034DBFA}">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C72B3C4F-F265-4B8F-ADB4-88E389761200}">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D374A371-F16D-4FE1-A1B5-0675B6585EA7}">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D4CCA439-1EFA-4374-AC81-FE39DC6E74EA}">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D7D6185F-35BB-411C-AF1D-203DAA8FA2ED}">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7FAC7AFC-785D-4706-AF02-FE0C9A1A56F6}">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C30C2182-B81D-43EF-8AA4-89DA43D39ACB}">
            <x14:dataBar minLength="0" maxLength="100" gradient="0">
              <x14:cfvo type="autoMin"/>
              <x14:cfvo type="autoMax"/>
              <x14:negativeFillColor rgb="FFFF0000"/>
              <x14:axisColor rgb="FF000000"/>
            </x14:dataBar>
          </x14:cfRule>
          <xm:sqref>C33:D33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P42"/>
  <sheetViews>
    <sheetView topLeftCell="A13" zoomScale="80" zoomScaleNormal="80" workbookViewId="0">
      <selection activeCell="L25" sqref="L25"/>
    </sheetView>
  </sheetViews>
  <sheetFormatPr baseColWidth="10" defaultColWidth="11.42578125" defaultRowHeight="15" x14ac:dyDescent="0.25"/>
  <cols>
    <col min="1" max="1" width="7.140625" style="2" customWidth="1"/>
    <col min="2" max="2" width="89.5703125" style="2" customWidth="1"/>
    <col min="3" max="3" width="11.42578125" style="2"/>
    <col min="4" max="4" width="22.42578125" style="2" customWidth="1"/>
    <col min="5" max="9" width="17.28515625" style="2" customWidth="1"/>
    <col min="10" max="16384" width="11.42578125" style="2"/>
  </cols>
  <sheetData>
    <row r="1" spans="1:16" ht="61.5" customHeight="1" x14ac:dyDescent="0.25">
      <c r="A1" s="46" t="s">
        <v>1</v>
      </c>
      <c r="B1" s="26" t="s">
        <v>23</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x14ac:dyDescent="0.25">
      <c r="A2" s="47"/>
      <c r="B2" s="26"/>
      <c r="C2" s="3">
        <v>2026</v>
      </c>
      <c r="D2" s="3" t="s">
        <v>16</v>
      </c>
      <c r="E2" s="27"/>
      <c r="F2" s="27"/>
      <c r="G2" s="27"/>
      <c r="H2" s="27"/>
      <c r="I2" s="27"/>
      <c r="J2" s="27"/>
      <c r="K2" s="27"/>
      <c r="L2" s="27"/>
      <c r="M2" s="27"/>
      <c r="N2" s="27"/>
      <c r="O2" s="27"/>
      <c r="P2" s="27"/>
    </row>
    <row r="3" spans="1:16" ht="81" customHeight="1" x14ac:dyDescent="0.25">
      <c r="A3" s="28" t="s">
        <v>18</v>
      </c>
      <c r="B3" s="9" t="s">
        <v>17</v>
      </c>
      <c r="C3" s="6">
        <v>2</v>
      </c>
      <c r="D3" s="24">
        <f t="shared" ref="D3:D10" si="0">SUM(E3:P3)</f>
        <v>1</v>
      </c>
      <c r="E3" s="29"/>
      <c r="F3" s="29"/>
      <c r="G3" s="29"/>
      <c r="H3" s="29">
        <v>1</v>
      </c>
      <c r="I3" s="29"/>
      <c r="J3" s="29"/>
      <c r="K3" s="29"/>
      <c r="L3" s="29"/>
      <c r="M3" s="29"/>
      <c r="N3" s="29"/>
      <c r="O3" s="29"/>
      <c r="P3" s="29"/>
    </row>
    <row r="4" spans="1:16" ht="81" customHeight="1" x14ac:dyDescent="0.25">
      <c r="A4" s="30" t="s">
        <v>20</v>
      </c>
      <c r="B4" s="10" t="s">
        <v>19</v>
      </c>
      <c r="C4" s="31">
        <v>2</v>
      </c>
      <c r="D4" s="24">
        <f t="shared" si="0"/>
        <v>1</v>
      </c>
      <c r="E4" s="29">
        <v>0</v>
      </c>
      <c r="F4" s="29">
        <v>0</v>
      </c>
      <c r="G4" s="29">
        <v>0</v>
      </c>
      <c r="H4" s="29">
        <v>1</v>
      </c>
      <c r="I4" s="29"/>
      <c r="J4" s="29"/>
      <c r="K4" s="29"/>
      <c r="L4" s="29"/>
      <c r="M4" s="29"/>
      <c r="N4" s="29"/>
      <c r="O4" s="29"/>
      <c r="P4" s="29"/>
    </row>
    <row r="5" spans="1:16" ht="81" customHeight="1" x14ac:dyDescent="0.25">
      <c r="A5" s="28" t="s">
        <v>18</v>
      </c>
      <c r="B5" s="9" t="s">
        <v>24</v>
      </c>
      <c r="C5" s="33">
        <v>1</v>
      </c>
      <c r="D5" s="24">
        <f t="shared" si="0"/>
        <v>1</v>
      </c>
      <c r="E5" s="29">
        <v>1</v>
      </c>
      <c r="F5" s="29"/>
      <c r="G5" s="29"/>
      <c r="H5" s="29"/>
      <c r="I5" s="29"/>
      <c r="J5" s="29"/>
      <c r="K5" s="29"/>
      <c r="L5" s="29"/>
      <c r="M5" s="29"/>
      <c r="N5" s="29"/>
      <c r="O5" s="29"/>
      <c r="P5" s="29"/>
    </row>
    <row r="6" spans="1:16" ht="81" customHeight="1" x14ac:dyDescent="0.25">
      <c r="A6" s="28" t="s">
        <v>18</v>
      </c>
      <c r="B6" s="11" t="s">
        <v>25</v>
      </c>
      <c r="C6" s="34">
        <v>2</v>
      </c>
      <c r="D6" s="24">
        <f t="shared" si="0"/>
        <v>1</v>
      </c>
      <c r="E6" s="29"/>
      <c r="F6" s="29"/>
      <c r="G6" s="29"/>
      <c r="H6" s="29"/>
      <c r="I6" s="29">
        <v>1</v>
      </c>
      <c r="J6" s="29"/>
      <c r="K6" s="29"/>
      <c r="L6" s="29"/>
      <c r="M6" s="29"/>
      <c r="N6" s="29"/>
      <c r="O6" s="29"/>
      <c r="P6" s="29"/>
    </row>
    <row r="7" spans="1:16" ht="81" customHeight="1" x14ac:dyDescent="0.25">
      <c r="A7" s="28" t="s">
        <v>18</v>
      </c>
      <c r="B7" s="11" t="s">
        <v>26</v>
      </c>
      <c r="C7" s="34">
        <v>1</v>
      </c>
      <c r="D7" s="24">
        <f t="shared" si="0"/>
        <v>0</v>
      </c>
      <c r="E7" s="29"/>
      <c r="F7" s="29"/>
      <c r="G7" s="29"/>
      <c r="H7" s="29"/>
      <c r="I7" s="29"/>
      <c r="J7" s="29"/>
      <c r="K7" s="29"/>
      <c r="L7" s="29"/>
      <c r="M7" s="29"/>
      <c r="N7" s="29"/>
      <c r="O7" s="29"/>
      <c r="P7" s="29"/>
    </row>
    <row r="8" spans="1:16" ht="81" customHeight="1" x14ac:dyDescent="0.25">
      <c r="A8" s="28" t="s">
        <v>18</v>
      </c>
      <c r="B8" s="12" t="s">
        <v>27</v>
      </c>
      <c r="C8" s="34">
        <v>1</v>
      </c>
      <c r="D8" s="24">
        <f t="shared" si="0"/>
        <v>0</v>
      </c>
      <c r="E8" s="29"/>
      <c r="F8" s="29"/>
      <c r="G8" s="29"/>
      <c r="H8" s="29"/>
      <c r="I8" s="29"/>
      <c r="J8" s="29"/>
      <c r="K8" s="29"/>
      <c r="L8" s="29"/>
      <c r="M8" s="29"/>
      <c r="N8" s="29"/>
      <c r="O8" s="29"/>
      <c r="P8" s="29"/>
    </row>
    <row r="9" spans="1:16" ht="81" customHeight="1" x14ac:dyDescent="0.25">
      <c r="A9" s="28" t="s">
        <v>18</v>
      </c>
      <c r="B9" s="12" t="s">
        <v>28</v>
      </c>
      <c r="C9" s="34">
        <v>1</v>
      </c>
      <c r="D9" s="24">
        <f t="shared" si="0"/>
        <v>1</v>
      </c>
      <c r="E9" s="29"/>
      <c r="F9" s="29"/>
      <c r="G9" s="29">
        <v>1</v>
      </c>
      <c r="H9" s="29"/>
      <c r="I9" s="29"/>
      <c r="J9" s="29"/>
      <c r="K9" s="29"/>
      <c r="L9" s="29"/>
      <c r="M9" s="29"/>
      <c r="N9" s="29"/>
      <c r="O9" s="29"/>
      <c r="P9" s="29"/>
    </row>
    <row r="10" spans="1:16" ht="81" customHeight="1" x14ac:dyDescent="0.25">
      <c r="A10" s="32" t="s">
        <v>22</v>
      </c>
      <c r="B10" s="13" t="s">
        <v>29</v>
      </c>
      <c r="C10" s="34">
        <v>1</v>
      </c>
      <c r="D10" s="24">
        <f t="shared" si="0"/>
        <v>0</v>
      </c>
      <c r="E10" s="29"/>
      <c r="F10" s="29"/>
      <c r="G10" s="29"/>
      <c r="H10" s="29"/>
      <c r="I10" s="29"/>
      <c r="J10" s="29"/>
      <c r="K10" s="29"/>
      <c r="L10" s="29"/>
      <c r="M10" s="29"/>
      <c r="N10" s="29"/>
      <c r="O10" s="29"/>
      <c r="P10" s="29"/>
    </row>
    <row r="11" spans="1:16" ht="81" customHeight="1" x14ac:dyDescent="0.25">
      <c r="A11" s="28" t="s">
        <v>18</v>
      </c>
      <c r="B11" s="9" t="s">
        <v>30</v>
      </c>
      <c r="C11" s="34">
        <v>2</v>
      </c>
      <c r="D11" s="24">
        <f>SUM(E11:P11)</f>
        <v>0</v>
      </c>
      <c r="E11" s="29"/>
      <c r="F11" s="29"/>
      <c r="G11" s="29"/>
      <c r="H11" s="29"/>
      <c r="I11" s="29"/>
      <c r="J11" s="29"/>
      <c r="K11" s="29"/>
      <c r="L11" s="29"/>
      <c r="M11" s="29"/>
      <c r="N11" s="29"/>
      <c r="O11" s="29"/>
      <c r="P11" s="29"/>
    </row>
    <row r="12" spans="1:16" ht="81" customHeight="1" x14ac:dyDescent="0.25">
      <c r="A12" s="28" t="s">
        <v>18</v>
      </c>
      <c r="B12" s="9" t="s">
        <v>31</v>
      </c>
      <c r="C12" s="34">
        <v>2</v>
      </c>
      <c r="D12" s="24">
        <f>SUM(E12:P12)</f>
        <v>1</v>
      </c>
      <c r="E12" s="29">
        <v>1</v>
      </c>
      <c r="F12" s="29"/>
      <c r="G12" s="29"/>
      <c r="H12" s="29"/>
      <c r="I12" s="29"/>
      <c r="J12" s="29"/>
      <c r="K12" s="29"/>
      <c r="L12" s="29"/>
      <c r="M12" s="29"/>
      <c r="N12" s="29"/>
      <c r="O12" s="29"/>
      <c r="P12" s="29"/>
    </row>
    <row r="13" spans="1:16" ht="28.5" customHeight="1" x14ac:dyDescent="0.25">
      <c r="A13" s="48" t="s">
        <v>75</v>
      </c>
      <c r="B13" s="35" t="s">
        <v>76</v>
      </c>
      <c r="C13" s="34">
        <v>2</v>
      </c>
      <c r="D13" s="24">
        <f t="shared" ref="D13:D40" si="1">SUM(E13:O13)</f>
        <v>0</v>
      </c>
      <c r="E13" s="29"/>
      <c r="F13" s="29"/>
      <c r="G13" s="29"/>
      <c r="H13" s="29"/>
      <c r="I13" s="29"/>
      <c r="J13" s="29"/>
      <c r="K13" s="29"/>
      <c r="L13" s="29"/>
      <c r="M13" s="29"/>
      <c r="N13" s="29"/>
      <c r="O13" s="29"/>
      <c r="P13" s="36"/>
    </row>
    <row r="14" spans="1:16" ht="28.5" customHeight="1" x14ac:dyDescent="0.25">
      <c r="A14" s="49"/>
      <c r="B14" s="35" t="s">
        <v>77</v>
      </c>
      <c r="C14" s="34">
        <v>3</v>
      </c>
      <c r="D14" s="24">
        <f t="shared" si="1"/>
        <v>0</v>
      </c>
      <c r="E14" s="29"/>
      <c r="F14" s="29"/>
      <c r="G14" s="29"/>
      <c r="H14" s="29"/>
      <c r="I14" s="29"/>
      <c r="J14" s="29"/>
      <c r="K14" s="29"/>
      <c r="L14" s="29"/>
      <c r="M14" s="29"/>
      <c r="N14" s="29"/>
      <c r="O14" s="29"/>
      <c r="P14" s="36"/>
    </row>
    <row r="15" spans="1:16" ht="28.5" customHeight="1" x14ac:dyDescent="0.25">
      <c r="A15" s="49"/>
      <c r="B15" s="35" t="s">
        <v>78</v>
      </c>
      <c r="C15" s="34">
        <v>56</v>
      </c>
      <c r="D15" s="24">
        <f t="shared" si="1"/>
        <v>22</v>
      </c>
      <c r="E15" s="29">
        <v>3</v>
      </c>
      <c r="F15" s="29">
        <v>5</v>
      </c>
      <c r="G15" s="29">
        <v>5</v>
      </c>
      <c r="H15" s="29">
        <v>5</v>
      </c>
      <c r="I15" s="29">
        <v>4</v>
      </c>
      <c r="J15" s="29"/>
      <c r="K15" s="29"/>
      <c r="L15" s="29"/>
      <c r="M15" s="29"/>
      <c r="N15" s="29"/>
      <c r="O15" s="29"/>
      <c r="P15" s="36"/>
    </row>
    <row r="16" spans="1:16" ht="28.5" customHeight="1" x14ac:dyDescent="0.25">
      <c r="A16" s="49"/>
      <c r="B16" s="35" t="s">
        <v>79</v>
      </c>
      <c r="C16" s="34">
        <v>50</v>
      </c>
      <c r="D16" s="24">
        <f t="shared" si="1"/>
        <v>18</v>
      </c>
      <c r="E16" s="29">
        <v>5</v>
      </c>
      <c r="F16" s="29">
        <v>5</v>
      </c>
      <c r="G16" s="29">
        <v>4</v>
      </c>
      <c r="H16" s="29">
        <v>4</v>
      </c>
      <c r="I16" s="29"/>
      <c r="J16" s="29"/>
      <c r="K16" s="29"/>
      <c r="L16" s="29"/>
      <c r="M16" s="29"/>
      <c r="N16" s="29"/>
      <c r="O16" s="29"/>
      <c r="P16" s="36"/>
    </row>
    <row r="17" spans="1:16" ht="28.5" customHeight="1" x14ac:dyDescent="0.25">
      <c r="A17" s="49"/>
      <c r="B17" s="35" t="s">
        <v>80</v>
      </c>
      <c r="C17" s="34">
        <v>0</v>
      </c>
      <c r="D17" s="24">
        <f t="shared" si="1"/>
        <v>0</v>
      </c>
      <c r="E17" s="29"/>
      <c r="F17" s="29"/>
      <c r="G17" s="29"/>
      <c r="H17" s="29"/>
      <c r="I17" s="29"/>
      <c r="J17" s="29"/>
      <c r="K17" s="29"/>
      <c r="L17" s="29"/>
      <c r="M17" s="29"/>
      <c r="N17" s="29"/>
      <c r="O17" s="29"/>
      <c r="P17" s="36"/>
    </row>
    <row r="18" spans="1:16" ht="28.5" customHeight="1" x14ac:dyDescent="0.25">
      <c r="A18" s="49"/>
      <c r="B18" s="35" t="s">
        <v>81</v>
      </c>
      <c r="C18" s="34">
        <v>2</v>
      </c>
      <c r="D18" s="24">
        <f t="shared" si="1"/>
        <v>1</v>
      </c>
      <c r="E18" s="29"/>
      <c r="F18" s="29"/>
      <c r="G18" s="29"/>
      <c r="H18" s="29"/>
      <c r="I18" s="29">
        <v>1</v>
      </c>
      <c r="J18" s="29"/>
      <c r="K18" s="29"/>
      <c r="L18" s="29"/>
      <c r="M18" s="29"/>
      <c r="N18" s="29"/>
      <c r="O18" s="29"/>
      <c r="P18" s="36"/>
    </row>
    <row r="19" spans="1:16" ht="28.5" customHeight="1" x14ac:dyDescent="0.25">
      <c r="A19" s="49"/>
      <c r="B19" s="35" t="s">
        <v>82</v>
      </c>
      <c r="C19" s="34">
        <v>0</v>
      </c>
      <c r="D19" s="24">
        <f t="shared" si="1"/>
        <v>0</v>
      </c>
      <c r="E19" s="29"/>
      <c r="F19" s="29"/>
      <c r="G19" s="29"/>
      <c r="H19" s="29"/>
      <c r="I19" s="29"/>
      <c r="J19" s="29"/>
      <c r="K19" s="29"/>
      <c r="L19" s="29"/>
      <c r="M19" s="29"/>
      <c r="N19" s="29"/>
      <c r="O19" s="29"/>
      <c r="P19" s="36"/>
    </row>
    <row r="20" spans="1:16" ht="28.5" customHeight="1" x14ac:dyDescent="0.25">
      <c r="A20" s="49"/>
      <c r="B20" s="35" t="s">
        <v>83</v>
      </c>
      <c r="C20" s="34">
        <v>0</v>
      </c>
      <c r="D20" s="24">
        <f t="shared" si="1"/>
        <v>0</v>
      </c>
      <c r="E20" s="29"/>
      <c r="F20" s="29"/>
      <c r="G20" s="29"/>
      <c r="H20" s="29"/>
      <c r="I20" s="29"/>
      <c r="J20" s="29"/>
      <c r="K20" s="29"/>
      <c r="L20" s="29"/>
      <c r="M20" s="29"/>
      <c r="N20" s="29"/>
      <c r="O20" s="29"/>
      <c r="P20" s="36"/>
    </row>
    <row r="21" spans="1:16" ht="28.5" customHeight="1" x14ac:dyDescent="0.25">
      <c r="A21" s="49"/>
      <c r="B21" s="35" t="s">
        <v>84</v>
      </c>
      <c r="C21" s="34">
        <v>0</v>
      </c>
      <c r="D21" s="24">
        <f t="shared" si="1"/>
        <v>0</v>
      </c>
      <c r="E21" s="29"/>
      <c r="F21" s="29"/>
      <c r="G21" s="29"/>
      <c r="H21" s="29"/>
      <c r="I21" s="29"/>
      <c r="J21" s="29"/>
      <c r="K21" s="29"/>
      <c r="L21" s="29"/>
      <c r="M21" s="29"/>
      <c r="N21" s="29"/>
      <c r="O21" s="29"/>
      <c r="P21" s="36"/>
    </row>
    <row r="22" spans="1:16" ht="28.5" customHeight="1" x14ac:dyDescent="0.25">
      <c r="A22" s="49"/>
      <c r="B22" s="35" t="s">
        <v>85</v>
      </c>
      <c r="C22" s="34">
        <v>0</v>
      </c>
      <c r="D22" s="24">
        <f t="shared" si="1"/>
        <v>0</v>
      </c>
      <c r="E22" s="29"/>
      <c r="F22" s="29"/>
      <c r="G22" s="29"/>
      <c r="H22" s="29"/>
      <c r="I22" s="29"/>
      <c r="J22" s="29"/>
      <c r="K22" s="29"/>
      <c r="L22" s="29"/>
      <c r="M22" s="29"/>
      <c r="N22" s="29"/>
      <c r="O22" s="29"/>
      <c r="P22" s="36"/>
    </row>
    <row r="23" spans="1:16" ht="28.5" customHeight="1" x14ac:dyDescent="0.25">
      <c r="A23" s="49"/>
      <c r="B23" s="35" t="s">
        <v>86</v>
      </c>
      <c r="C23" s="34">
        <v>0</v>
      </c>
      <c r="D23" s="24">
        <f t="shared" si="1"/>
        <v>0</v>
      </c>
      <c r="E23" s="29"/>
      <c r="F23" s="29"/>
      <c r="G23" s="29"/>
      <c r="H23" s="29"/>
      <c r="I23" s="29"/>
      <c r="J23" s="29"/>
      <c r="K23" s="29"/>
      <c r="L23" s="29"/>
      <c r="M23" s="29"/>
      <c r="N23" s="29"/>
      <c r="O23" s="29"/>
      <c r="P23" s="36"/>
    </row>
    <row r="24" spans="1:16" ht="28.5" customHeight="1" x14ac:dyDescent="0.25">
      <c r="A24" s="49"/>
      <c r="B24" s="35" t="s">
        <v>87</v>
      </c>
      <c r="C24" s="34">
        <v>0</v>
      </c>
      <c r="D24" s="24">
        <f t="shared" si="1"/>
        <v>0</v>
      </c>
      <c r="E24" s="29"/>
      <c r="F24" s="29"/>
      <c r="G24" s="29"/>
      <c r="H24" s="29"/>
      <c r="I24" s="29"/>
      <c r="J24" s="29"/>
      <c r="K24" s="29"/>
      <c r="L24" s="29"/>
      <c r="M24" s="29"/>
      <c r="N24" s="29"/>
      <c r="O24" s="29"/>
      <c r="P24" s="36"/>
    </row>
    <row r="25" spans="1:16" ht="28.5" customHeight="1" x14ac:dyDescent="0.25">
      <c r="A25" s="49"/>
      <c r="B25" s="35" t="s">
        <v>88</v>
      </c>
      <c r="C25" s="34">
        <v>0</v>
      </c>
      <c r="D25" s="24">
        <f t="shared" si="1"/>
        <v>0</v>
      </c>
      <c r="E25" s="29"/>
      <c r="F25" s="29"/>
      <c r="G25" s="29"/>
      <c r="H25" s="29"/>
      <c r="I25" s="29"/>
      <c r="J25" s="29"/>
      <c r="K25" s="29"/>
      <c r="L25" s="29"/>
      <c r="M25" s="29"/>
      <c r="N25" s="29"/>
      <c r="O25" s="29"/>
      <c r="P25" s="36"/>
    </row>
    <row r="26" spans="1:16" ht="28.5" customHeight="1" x14ac:dyDescent="0.25">
      <c r="A26" s="49"/>
      <c r="B26" s="35" t="s">
        <v>89</v>
      </c>
      <c r="C26" s="34">
        <v>0</v>
      </c>
      <c r="D26" s="24">
        <f t="shared" si="1"/>
        <v>0</v>
      </c>
      <c r="E26" s="29"/>
      <c r="F26" s="29"/>
      <c r="G26" s="29"/>
      <c r="H26" s="29"/>
      <c r="I26" s="29"/>
      <c r="J26" s="29"/>
      <c r="K26" s="29"/>
      <c r="L26" s="29"/>
      <c r="M26" s="29"/>
      <c r="N26" s="29"/>
      <c r="O26" s="29"/>
      <c r="P26" s="36"/>
    </row>
    <row r="27" spans="1:16" ht="28.5" customHeight="1" x14ac:dyDescent="0.25">
      <c r="A27" s="49"/>
      <c r="B27" s="35" t="s">
        <v>90</v>
      </c>
      <c r="C27" s="34">
        <v>134</v>
      </c>
      <c r="D27" s="24">
        <f t="shared" si="1"/>
        <v>51</v>
      </c>
      <c r="E27" s="29">
        <v>20</v>
      </c>
      <c r="F27" s="29">
        <v>7</v>
      </c>
      <c r="G27" s="29">
        <v>4</v>
      </c>
      <c r="H27" s="29">
        <v>19</v>
      </c>
      <c r="I27" s="29"/>
      <c r="J27" s="29">
        <v>1</v>
      </c>
      <c r="K27" s="29"/>
      <c r="L27" s="29"/>
      <c r="M27" s="29"/>
      <c r="N27" s="29"/>
      <c r="O27" s="29"/>
      <c r="P27" s="36"/>
    </row>
    <row r="28" spans="1:16" ht="28.5" customHeight="1" x14ac:dyDescent="0.25">
      <c r="A28" s="49"/>
      <c r="B28" s="35" t="s">
        <v>91</v>
      </c>
      <c r="C28" s="34">
        <v>2</v>
      </c>
      <c r="D28" s="24">
        <f t="shared" si="1"/>
        <v>1</v>
      </c>
      <c r="E28" s="29"/>
      <c r="F28" s="29"/>
      <c r="G28" s="29"/>
      <c r="H28" s="29">
        <v>1</v>
      </c>
      <c r="I28" s="29"/>
      <c r="J28" s="29"/>
      <c r="K28" s="29"/>
      <c r="L28" s="29"/>
      <c r="M28" s="29"/>
      <c r="N28" s="29"/>
      <c r="O28" s="29"/>
      <c r="P28" s="36"/>
    </row>
    <row r="29" spans="1:16" ht="24" customHeight="1" x14ac:dyDescent="0.25">
      <c r="A29" s="49"/>
      <c r="B29" s="37" t="s">
        <v>92</v>
      </c>
      <c r="C29" s="34">
        <v>6</v>
      </c>
      <c r="D29" s="24">
        <f t="shared" si="1"/>
        <v>5</v>
      </c>
      <c r="E29" s="29"/>
      <c r="F29" s="29"/>
      <c r="G29" s="29">
        <v>5</v>
      </c>
      <c r="H29" s="29"/>
      <c r="I29" s="29"/>
      <c r="J29" s="29"/>
      <c r="K29" s="29"/>
      <c r="L29" s="29"/>
      <c r="M29" s="29"/>
      <c r="N29" s="29"/>
      <c r="O29" s="29"/>
      <c r="P29" s="36"/>
    </row>
    <row r="30" spans="1:16" ht="24" customHeight="1" x14ac:dyDescent="0.25">
      <c r="A30" s="49"/>
      <c r="B30" s="37" t="s">
        <v>93</v>
      </c>
      <c r="C30" s="34">
        <v>6</v>
      </c>
      <c r="D30" s="24">
        <f t="shared" si="1"/>
        <v>6</v>
      </c>
      <c r="E30" s="29"/>
      <c r="F30" s="29"/>
      <c r="G30" s="29"/>
      <c r="H30" s="29">
        <v>5</v>
      </c>
      <c r="I30" s="29">
        <v>1</v>
      </c>
      <c r="J30" s="29"/>
      <c r="K30" s="29"/>
      <c r="L30" s="29"/>
      <c r="M30" s="29"/>
      <c r="N30" s="29"/>
      <c r="O30" s="29"/>
      <c r="P30" s="36"/>
    </row>
    <row r="31" spans="1:16" ht="24" customHeight="1" x14ac:dyDescent="0.25">
      <c r="A31" s="49"/>
      <c r="B31" s="37" t="s">
        <v>94</v>
      </c>
      <c r="C31" s="34">
        <v>6</v>
      </c>
      <c r="D31" s="24">
        <f t="shared" si="1"/>
        <v>5</v>
      </c>
      <c r="E31" s="29"/>
      <c r="F31" s="29"/>
      <c r="G31" s="29"/>
      <c r="H31" s="29"/>
      <c r="I31" s="29">
        <v>5</v>
      </c>
      <c r="J31" s="29"/>
      <c r="K31" s="29"/>
      <c r="L31" s="29"/>
      <c r="M31" s="29"/>
      <c r="N31" s="29"/>
      <c r="O31" s="29"/>
      <c r="P31" s="36"/>
    </row>
    <row r="32" spans="1:16" ht="24" customHeight="1" x14ac:dyDescent="0.25">
      <c r="A32" s="49"/>
      <c r="B32" s="37" t="s">
        <v>95</v>
      </c>
      <c r="C32" s="34">
        <v>6</v>
      </c>
      <c r="D32" s="24">
        <f t="shared" si="1"/>
        <v>0</v>
      </c>
      <c r="E32" s="29"/>
      <c r="F32" s="29"/>
      <c r="G32" s="29"/>
      <c r="H32" s="29"/>
      <c r="I32" s="29"/>
      <c r="J32" s="29"/>
      <c r="K32" s="29"/>
      <c r="L32" s="29"/>
      <c r="M32" s="29"/>
      <c r="N32" s="29"/>
      <c r="O32" s="29"/>
      <c r="P32" s="36"/>
    </row>
    <row r="33" spans="1:16" ht="24" customHeight="1" x14ac:dyDescent="0.25">
      <c r="A33" s="49"/>
      <c r="B33" s="37" t="s">
        <v>96</v>
      </c>
      <c r="C33" s="34">
        <v>6</v>
      </c>
      <c r="D33" s="24">
        <f t="shared" si="1"/>
        <v>0</v>
      </c>
      <c r="E33" s="29"/>
      <c r="F33" s="29"/>
      <c r="G33" s="29"/>
      <c r="H33" s="29"/>
      <c r="I33" s="29"/>
      <c r="J33" s="29"/>
      <c r="K33" s="29"/>
      <c r="L33" s="29"/>
      <c r="M33" s="29"/>
      <c r="N33" s="29"/>
      <c r="O33" s="29"/>
      <c r="P33" s="36"/>
    </row>
    <row r="34" spans="1:16" ht="24" customHeight="1" x14ac:dyDescent="0.25">
      <c r="A34" s="49"/>
      <c r="B34" s="37" t="s">
        <v>97</v>
      </c>
      <c r="C34" s="34">
        <v>1</v>
      </c>
      <c r="D34" s="24">
        <f t="shared" si="1"/>
        <v>0</v>
      </c>
      <c r="E34" s="29"/>
      <c r="F34" s="29"/>
      <c r="G34" s="29"/>
      <c r="H34" s="29"/>
      <c r="I34" s="29"/>
      <c r="J34" s="29"/>
      <c r="K34" s="29"/>
      <c r="L34" s="29"/>
      <c r="M34" s="29"/>
      <c r="N34" s="29"/>
      <c r="O34" s="29"/>
      <c r="P34" s="36"/>
    </row>
    <row r="35" spans="1:16" ht="24" customHeight="1" x14ac:dyDescent="0.25">
      <c r="A35" s="49"/>
      <c r="B35" s="37" t="s">
        <v>98</v>
      </c>
      <c r="C35" s="34">
        <v>1</v>
      </c>
      <c r="D35" s="24">
        <f t="shared" si="1"/>
        <v>0</v>
      </c>
      <c r="E35" s="29"/>
      <c r="F35" s="29"/>
      <c r="G35" s="29"/>
      <c r="H35" s="29"/>
      <c r="I35" s="29"/>
      <c r="J35" s="29"/>
      <c r="K35" s="29"/>
      <c r="L35" s="29"/>
      <c r="M35" s="29"/>
      <c r="N35" s="29"/>
      <c r="O35" s="29"/>
      <c r="P35" s="36"/>
    </row>
    <row r="36" spans="1:16" ht="24" customHeight="1" x14ac:dyDescent="0.25">
      <c r="A36" s="49"/>
      <c r="B36" s="37" t="s">
        <v>99</v>
      </c>
      <c r="C36" s="34">
        <v>1</v>
      </c>
      <c r="D36" s="24">
        <f t="shared" si="1"/>
        <v>0</v>
      </c>
      <c r="E36" s="29"/>
      <c r="F36" s="29"/>
      <c r="G36" s="29"/>
      <c r="H36" s="29"/>
      <c r="I36" s="29"/>
      <c r="J36" s="29"/>
      <c r="K36" s="29"/>
      <c r="L36" s="29"/>
      <c r="M36" s="29"/>
      <c r="N36" s="29"/>
      <c r="O36" s="29"/>
      <c r="P36" s="36"/>
    </row>
    <row r="37" spans="1:16" ht="24" customHeight="1" x14ac:dyDescent="0.25">
      <c r="A37" s="49"/>
      <c r="B37" s="37" t="s">
        <v>100</v>
      </c>
      <c r="C37" s="34">
        <v>1</v>
      </c>
      <c r="D37" s="24">
        <f t="shared" si="1"/>
        <v>0</v>
      </c>
      <c r="E37" s="29"/>
      <c r="F37" s="29"/>
      <c r="G37" s="29"/>
      <c r="H37" s="29"/>
      <c r="I37" s="29"/>
      <c r="J37" s="29"/>
      <c r="K37" s="29"/>
      <c r="L37" s="29"/>
      <c r="M37" s="29"/>
      <c r="N37" s="29"/>
      <c r="O37" s="29"/>
      <c r="P37" s="36"/>
    </row>
    <row r="38" spans="1:16" ht="24" customHeight="1" x14ac:dyDescent="0.25">
      <c r="A38" s="49"/>
      <c r="B38" s="37" t="s">
        <v>101</v>
      </c>
      <c r="C38" s="34">
        <v>1</v>
      </c>
      <c r="D38" s="24">
        <f t="shared" si="1"/>
        <v>0</v>
      </c>
      <c r="E38" s="29"/>
      <c r="F38" s="29"/>
      <c r="G38" s="29"/>
      <c r="H38" s="29"/>
      <c r="I38" s="29"/>
      <c r="J38" s="29"/>
      <c r="K38" s="29"/>
      <c r="L38" s="29"/>
      <c r="M38" s="29"/>
      <c r="N38" s="29"/>
      <c r="O38" s="29"/>
      <c r="P38" s="36"/>
    </row>
    <row r="39" spans="1:16" ht="24" customHeight="1" x14ac:dyDescent="0.25">
      <c r="A39" s="49"/>
      <c r="B39" s="37" t="s">
        <v>102</v>
      </c>
      <c r="C39" s="34">
        <v>1</v>
      </c>
      <c r="D39" s="24">
        <f t="shared" si="1"/>
        <v>0</v>
      </c>
      <c r="E39" s="29"/>
      <c r="F39" s="29"/>
      <c r="G39" s="29"/>
      <c r="H39" s="29"/>
      <c r="I39" s="29"/>
      <c r="J39" s="29"/>
      <c r="K39" s="29"/>
      <c r="L39" s="29"/>
      <c r="M39" s="29"/>
      <c r="N39" s="29"/>
      <c r="O39" s="29"/>
      <c r="P39" s="36"/>
    </row>
    <row r="40" spans="1:16" ht="24" customHeight="1" thickBot="1" x14ac:dyDescent="0.3">
      <c r="A40" s="50"/>
      <c r="B40" s="38" t="s">
        <v>103</v>
      </c>
      <c r="C40" s="34">
        <v>1</v>
      </c>
      <c r="D40" s="24">
        <f t="shared" si="1"/>
        <v>0</v>
      </c>
      <c r="E40" s="29"/>
      <c r="F40" s="29"/>
      <c r="G40" s="29"/>
      <c r="H40" s="29"/>
      <c r="I40" s="29"/>
      <c r="J40" s="29"/>
      <c r="K40" s="29"/>
      <c r="L40" s="29"/>
      <c r="M40" s="29"/>
      <c r="N40" s="29"/>
      <c r="O40" s="29"/>
      <c r="P40" s="36"/>
    </row>
    <row r="41" spans="1:16" x14ac:dyDescent="0.25">
      <c r="C41" s="39">
        <f>SUM(C3:C40)</f>
        <v>301</v>
      </c>
      <c r="D41" s="40">
        <f>SUM(D3:D40)</f>
        <v>115</v>
      </c>
    </row>
    <row r="42" spans="1:16" x14ac:dyDescent="0.25">
      <c r="C42" s="17"/>
      <c r="D42" s="41">
        <f>D41/C41</f>
        <v>0.38205980066445183</v>
      </c>
    </row>
  </sheetData>
  <sheetProtection algorithmName="SHA-512" hashValue="QQp0fGJc6FeESNXiTbO+lNluNDWELXaDFPApj6L/583Sene/qSyEu/pJf7uvoaRZVeZDAe7BvKnKcyZmZG7xWg==" saltValue="2iKS6sjfjItPcJ411y494w==" spinCount="100000" sheet="1" objects="1" scenarios="1" autoFilter="0"/>
  <mergeCells count="2">
    <mergeCell ref="A1:A2"/>
    <mergeCell ref="A13:A40"/>
  </mergeCells>
  <conditionalFormatting sqref="C10">
    <cfRule type="dataBar" priority="5">
      <dataBar>
        <cfvo type="min"/>
        <cfvo type="max"/>
        <color rgb="FF008AEF"/>
      </dataBar>
      <extLst>
        <ext xmlns:x14="http://schemas.microsoft.com/office/spreadsheetml/2009/9/main" uri="{B025F937-C7B1-47D3-B67F-A62EFF666E3E}">
          <x14:id>{CFF5B93F-5F98-4532-B33A-56B7FEE66DD0}</x14:id>
        </ext>
      </extLst>
    </cfRule>
  </conditionalFormatting>
  <conditionalFormatting sqref="C3:D3">
    <cfRule type="dataBar" priority="1">
      <dataBar>
        <cfvo type="min"/>
        <cfvo type="max"/>
        <color rgb="FF008AEF"/>
      </dataBar>
      <extLst>
        <ext xmlns:x14="http://schemas.microsoft.com/office/spreadsheetml/2009/9/main" uri="{B025F937-C7B1-47D3-B67F-A62EFF666E3E}">
          <x14:id>{2A2FF519-5B70-41D3-B9EC-1501FF9CB378}</x14:id>
        </ext>
      </extLst>
    </cfRule>
  </conditionalFormatting>
  <conditionalFormatting sqref="C4:D4">
    <cfRule type="dataBar" priority="9">
      <dataBar>
        <cfvo type="min"/>
        <cfvo type="max"/>
        <color rgb="FF008AEF"/>
      </dataBar>
      <extLst>
        <ext xmlns:x14="http://schemas.microsoft.com/office/spreadsheetml/2009/9/main" uri="{B025F937-C7B1-47D3-B67F-A62EFF666E3E}">
          <x14:id>{8436A172-E655-48AC-B680-38564A5F42EF}</x14:id>
        </ext>
      </extLst>
    </cfRule>
  </conditionalFormatting>
  <conditionalFormatting sqref="C5:D5">
    <cfRule type="dataBar" priority="10">
      <dataBar>
        <cfvo type="min"/>
        <cfvo type="max"/>
        <color rgb="FF008AEF"/>
      </dataBar>
      <extLst>
        <ext xmlns:x14="http://schemas.microsoft.com/office/spreadsheetml/2009/9/main" uri="{B025F937-C7B1-47D3-B67F-A62EFF666E3E}">
          <x14:id>{D29B8109-E455-4994-9E67-5415F12F4AA5}</x14:id>
        </ext>
      </extLst>
    </cfRule>
  </conditionalFormatting>
  <conditionalFormatting sqref="C6:D6">
    <cfRule type="dataBar" priority="11">
      <dataBar>
        <cfvo type="min"/>
        <cfvo type="max"/>
        <color rgb="FF008AEF"/>
      </dataBar>
      <extLst>
        <ext xmlns:x14="http://schemas.microsoft.com/office/spreadsheetml/2009/9/main" uri="{B025F937-C7B1-47D3-B67F-A62EFF666E3E}">
          <x14:id>{F03F5CBA-975A-4D9E-9C3E-FBF20F73C256}</x14:id>
        </ext>
      </extLst>
    </cfRule>
  </conditionalFormatting>
  <conditionalFormatting sqref="C7:D7">
    <cfRule type="dataBar" priority="12">
      <dataBar>
        <cfvo type="min"/>
        <cfvo type="max"/>
        <color rgb="FF008AEF"/>
      </dataBar>
      <extLst>
        <ext xmlns:x14="http://schemas.microsoft.com/office/spreadsheetml/2009/9/main" uri="{B025F937-C7B1-47D3-B67F-A62EFF666E3E}">
          <x14:id>{4ED250DC-9D2D-48F8-9C5D-2634D422CF1F}</x14:id>
        </ext>
      </extLst>
    </cfRule>
  </conditionalFormatting>
  <conditionalFormatting sqref="C8:D8">
    <cfRule type="dataBar" priority="13">
      <dataBar>
        <cfvo type="min"/>
        <cfvo type="max"/>
        <color rgb="FF008AEF"/>
      </dataBar>
      <extLst>
        <ext xmlns:x14="http://schemas.microsoft.com/office/spreadsheetml/2009/9/main" uri="{B025F937-C7B1-47D3-B67F-A62EFF666E3E}">
          <x14:id>{0F221BC0-0C0A-4774-ACCB-BBC95E338A1A}</x14:id>
        </ext>
      </extLst>
    </cfRule>
  </conditionalFormatting>
  <conditionalFormatting sqref="C9:D9">
    <cfRule type="dataBar" priority="14">
      <dataBar>
        <cfvo type="min"/>
        <cfvo type="max"/>
        <color rgb="FF008AEF"/>
      </dataBar>
      <extLst>
        <ext xmlns:x14="http://schemas.microsoft.com/office/spreadsheetml/2009/9/main" uri="{B025F937-C7B1-47D3-B67F-A62EFF666E3E}">
          <x14:id>{F7199C1A-BCC5-45D8-8BC9-7CD14CCDEFD3}</x14:id>
        </ext>
      </extLst>
    </cfRule>
  </conditionalFormatting>
  <conditionalFormatting sqref="C11:D11">
    <cfRule type="dataBar" priority="3">
      <dataBar>
        <cfvo type="min"/>
        <cfvo type="max"/>
        <color rgb="FF008AEF"/>
      </dataBar>
      <extLst>
        <ext xmlns:x14="http://schemas.microsoft.com/office/spreadsheetml/2009/9/main" uri="{B025F937-C7B1-47D3-B67F-A62EFF666E3E}">
          <x14:id>{074FBA99-61A1-4707-B6EC-FFF9E5FE919D}</x14:id>
        </ext>
      </extLst>
    </cfRule>
  </conditionalFormatting>
  <conditionalFormatting sqref="C12:D12">
    <cfRule type="dataBar" priority="2">
      <dataBar>
        <cfvo type="min"/>
        <cfvo type="max"/>
        <color rgb="FF008AEF"/>
      </dataBar>
      <extLst>
        <ext xmlns:x14="http://schemas.microsoft.com/office/spreadsheetml/2009/9/main" uri="{B025F937-C7B1-47D3-B67F-A62EFF666E3E}">
          <x14:id>{4B869DCA-6DD9-482D-A079-8B95A86CBAAD}</x14:id>
        </ext>
      </extLst>
    </cfRule>
  </conditionalFormatting>
  <conditionalFormatting sqref="C13:D13">
    <cfRule type="dataBar" priority="16">
      <dataBar>
        <cfvo type="min"/>
        <cfvo type="max"/>
        <color rgb="FF008AEF"/>
      </dataBar>
      <extLst>
        <ext xmlns:x14="http://schemas.microsoft.com/office/spreadsheetml/2009/9/main" uri="{B025F937-C7B1-47D3-B67F-A62EFF666E3E}">
          <x14:id>{818E9FD9-AFB5-485B-BD0D-5BDA4D38F380}</x14:id>
        </ext>
      </extLst>
    </cfRule>
  </conditionalFormatting>
  <conditionalFormatting sqref="C14:D14">
    <cfRule type="dataBar" priority="43">
      <dataBar>
        <cfvo type="min"/>
        <cfvo type="max"/>
        <color rgb="FF008AEF"/>
      </dataBar>
      <extLst>
        <ext xmlns:x14="http://schemas.microsoft.com/office/spreadsheetml/2009/9/main" uri="{B025F937-C7B1-47D3-B67F-A62EFF666E3E}">
          <x14:id>{369AC2A8-84C6-49EA-AA3F-246E9E73504B}</x14:id>
        </ext>
      </extLst>
    </cfRule>
  </conditionalFormatting>
  <conditionalFormatting sqref="C15:D15">
    <cfRule type="dataBar" priority="42">
      <dataBar>
        <cfvo type="min"/>
        <cfvo type="max"/>
        <color rgb="FF008AEF"/>
      </dataBar>
      <extLst>
        <ext xmlns:x14="http://schemas.microsoft.com/office/spreadsheetml/2009/9/main" uri="{B025F937-C7B1-47D3-B67F-A62EFF666E3E}">
          <x14:id>{2B5D0F4B-4F86-4A01-A2CA-E11D453EA10B}</x14:id>
        </ext>
      </extLst>
    </cfRule>
  </conditionalFormatting>
  <conditionalFormatting sqref="C16:D16">
    <cfRule type="dataBar" priority="41">
      <dataBar>
        <cfvo type="min"/>
        <cfvo type="max"/>
        <color rgb="FF008AEF"/>
      </dataBar>
      <extLst>
        <ext xmlns:x14="http://schemas.microsoft.com/office/spreadsheetml/2009/9/main" uri="{B025F937-C7B1-47D3-B67F-A62EFF666E3E}">
          <x14:id>{5F07E96F-402F-4D53-B4C3-AF2CFC25FE56}</x14:id>
        </ext>
      </extLst>
    </cfRule>
  </conditionalFormatting>
  <conditionalFormatting sqref="C17:D17">
    <cfRule type="dataBar" priority="40">
      <dataBar>
        <cfvo type="min"/>
        <cfvo type="max"/>
        <color rgb="FF008AEF"/>
      </dataBar>
      <extLst>
        <ext xmlns:x14="http://schemas.microsoft.com/office/spreadsheetml/2009/9/main" uri="{B025F937-C7B1-47D3-B67F-A62EFF666E3E}">
          <x14:id>{D21B24A1-5427-4EC2-8214-F54F9D3634F9}</x14:id>
        </ext>
      </extLst>
    </cfRule>
  </conditionalFormatting>
  <conditionalFormatting sqref="C18:D18">
    <cfRule type="dataBar" priority="39">
      <dataBar>
        <cfvo type="min"/>
        <cfvo type="max"/>
        <color rgb="FF008AEF"/>
      </dataBar>
      <extLst>
        <ext xmlns:x14="http://schemas.microsoft.com/office/spreadsheetml/2009/9/main" uri="{B025F937-C7B1-47D3-B67F-A62EFF666E3E}">
          <x14:id>{FDA843D3-8282-4A28-92B1-D8715A2115A0}</x14:id>
        </ext>
      </extLst>
    </cfRule>
  </conditionalFormatting>
  <conditionalFormatting sqref="C19:D19">
    <cfRule type="dataBar" priority="38">
      <dataBar>
        <cfvo type="min"/>
        <cfvo type="max"/>
        <color rgb="FF008AEF"/>
      </dataBar>
      <extLst>
        <ext xmlns:x14="http://schemas.microsoft.com/office/spreadsheetml/2009/9/main" uri="{B025F937-C7B1-47D3-B67F-A62EFF666E3E}">
          <x14:id>{7D05E438-32E2-4CE7-ABE0-EA8C159BC3CA}</x14:id>
        </ext>
      </extLst>
    </cfRule>
  </conditionalFormatting>
  <conditionalFormatting sqref="C20:D20">
    <cfRule type="dataBar" priority="37">
      <dataBar>
        <cfvo type="min"/>
        <cfvo type="max"/>
        <color rgb="FF008AEF"/>
      </dataBar>
      <extLst>
        <ext xmlns:x14="http://schemas.microsoft.com/office/spreadsheetml/2009/9/main" uri="{B025F937-C7B1-47D3-B67F-A62EFF666E3E}">
          <x14:id>{A29004EA-E25F-4251-B270-FC5F1345EB4A}</x14:id>
        </ext>
      </extLst>
    </cfRule>
  </conditionalFormatting>
  <conditionalFormatting sqref="C21:D21">
    <cfRule type="dataBar" priority="36">
      <dataBar>
        <cfvo type="min"/>
        <cfvo type="max"/>
        <color rgb="FF008AEF"/>
      </dataBar>
      <extLst>
        <ext xmlns:x14="http://schemas.microsoft.com/office/spreadsheetml/2009/9/main" uri="{B025F937-C7B1-47D3-B67F-A62EFF666E3E}">
          <x14:id>{78E1BCE0-B6CC-48EF-B23C-2722EAFFBD1D}</x14:id>
        </ext>
      </extLst>
    </cfRule>
  </conditionalFormatting>
  <conditionalFormatting sqref="C22:D22">
    <cfRule type="dataBar" priority="35">
      <dataBar>
        <cfvo type="min"/>
        <cfvo type="max"/>
        <color rgb="FF008AEF"/>
      </dataBar>
      <extLst>
        <ext xmlns:x14="http://schemas.microsoft.com/office/spreadsheetml/2009/9/main" uri="{B025F937-C7B1-47D3-B67F-A62EFF666E3E}">
          <x14:id>{EFC08026-64CD-49BD-98C8-C4F1B079C752}</x14:id>
        </ext>
      </extLst>
    </cfRule>
  </conditionalFormatting>
  <conditionalFormatting sqref="C23:D23">
    <cfRule type="dataBar" priority="34">
      <dataBar>
        <cfvo type="min"/>
        <cfvo type="max"/>
        <color rgb="FF008AEF"/>
      </dataBar>
      <extLst>
        <ext xmlns:x14="http://schemas.microsoft.com/office/spreadsheetml/2009/9/main" uri="{B025F937-C7B1-47D3-B67F-A62EFF666E3E}">
          <x14:id>{ECA2CA40-B029-42D3-9E25-5BFFC88769F2}</x14:id>
        </ext>
      </extLst>
    </cfRule>
  </conditionalFormatting>
  <conditionalFormatting sqref="C24:D24">
    <cfRule type="dataBar" priority="33">
      <dataBar>
        <cfvo type="min"/>
        <cfvo type="max"/>
        <color rgb="FF008AEF"/>
      </dataBar>
      <extLst>
        <ext xmlns:x14="http://schemas.microsoft.com/office/spreadsheetml/2009/9/main" uri="{B025F937-C7B1-47D3-B67F-A62EFF666E3E}">
          <x14:id>{0975B1FD-8CE8-43F4-AFE1-2D10A7AAB541}</x14:id>
        </ext>
      </extLst>
    </cfRule>
  </conditionalFormatting>
  <conditionalFormatting sqref="C25:D25">
    <cfRule type="dataBar" priority="32">
      <dataBar>
        <cfvo type="min"/>
        <cfvo type="max"/>
        <color rgb="FF008AEF"/>
      </dataBar>
      <extLst>
        <ext xmlns:x14="http://schemas.microsoft.com/office/spreadsheetml/2009/9/main" uri="{B025F937-C7B1-47D3-B67F-A62EFF666E3E}">
          <x14:id>{B31A2145-2F1F-4FBC-A68F-52E022EEB4E7}</x14:id>
        </ext>
      </extLst>
    </cfRule>
  </conditionalFormatting>
  <conditionalFormatting sqref="C26:D26">
    <cfRule type="dataBar" priority="31">
      <dataBar>
        <cfvo type="min"/>
        <cfvo type="max"/>
        <color rgb="FF008AEF"/>
      </dataBar>
      <extLst>
        <ext xmlns:x14="http://schemas.microsoft.com/office/spreadsheetml/2009/9/main" uri="{B025F937-C7B1-47D3-B67F-A62EFF666E3E}">
          <x14:id>{4874D3ED-1E02-4355-8DAD-0C7845019D0B}</x14:id>
        </ext>
      </extLst>
    </cfRule>
  </conditionalFormatting>
  <conditionalFormatting sqref="C27:D27">
    <cfRule type="dataBar" priority="30">
      <dataBar>
        <cfvo type="min"/>
        <cfvo type="max"/>
        <color rgb="FF008AEF"/>
      </dataBar>
      <extLst>
        <ext xmlns:x14="http://schemas.microsoft.com/office/spreadsheetml/2009/9/main" uri="{B025F937-C7B1-47D3-B67F-A62EFF666E3E}">
          <x14:id>{EE623773-717B-4702-ABE6-46770BC873D0}</x14:id>
        </ext>
      </extLst>
    </cfRule>
  </conditionalFormatting>
  <conditionalFormatting sqref="C28:D28">
    <cfRule type="dataBar" priority="29">
      <dataBar>
        <cfvo type="min"/>
        <cfvo type="max"/>
        <color rgb="FF008AEF"/>
      </dataBar>
      <extLst>
        <ext xmlns:x14="http://schemas.microsoft.com/office/spreadsheetml/2009/9/main" uri="{B025F937-C7B1-47D3-B67F-A62EFF666E3E}">
          <x14:id>{CAEB961E-71B2-4A66-9C59-DF856458D6B3}</x14:id>
        </ext>
      </extLst>
    </cfRule>
  </conditionalFormatting>
  <conditionalFormatting sqref="C29:D29">
    <cfRule type="dataBar" priority="28">
      <dataBar>
        <cfvo type="min"/>
        <cfvo type="max"/>
        <color rgb="FF008AEF"/>
      </dataBar>
      <extLst>
        <ext xmlns:x14="http://schemas.microsoft.com/office/spreadsheetml/2009/9/main" uri="{B025F937-C7B1-47D3-B67F-A62EFF666E3E}">
          <x14:id>{5F3B9B35-B80D-4FA3-ACB7-015AAC3328A9}</x14:id>
        </ext>
      </extLst>
    </cfRule>
  </conditionalFormatting>
  <conditionalFormatting sqref="C30:D30">
    <cfRule type="dataBar" priority="27">
      <dataBar>
        <cfvo type="min"/>
        <cfvo type="max"/>
        <color rgb="FF008AEF"/>
      </dataBar>
      <extLst>
        <ext xmlns:x14="http://schemas.microsoft.com/office/spreadsheetml/2009/9/main" uri="{B025F937-C7B1-47D3-B67F-A62EFF666E3E}">
          <x14:id>{C1C30339-612E-421A-9AFA-F08890301669}</x14:id>
        </ext>
      </extLst>
    </cfRule>
  </conditionalFormatting>
  <conditionalFormatting sqref="C31:D31">
    <cfRule type="dataBar" priority="26">
      <dataBar>
        <cfvo type="min"/>
        <cfvo type="max"/>
        <color rgb="FF008AEF"/>
      </dataBar>
      <extLst>
        <ext xmlns:x14="http://schemas.microsoft.com/office/spreadsheetml/2009/9/main" uri="{B025F937-C7B1-47D3-B67F-A62EFF666E3E}">
          <x14:id>{C993274C-CB53-4C57-92B5-A601972EC999}</x14:id>
        </ext>
      </extLst>
    </cfRule>
  </conditionalFormatting>
  <conditionalFormatting sqref="C32:D32">
    <cfRule type="dataBar" priority="25">
      <dataBar>
        <cfvo type="min"/>
        <cfvo type="max"/>
        <color rgb="FF008AEF"/>
      </dataBar>
      <extLst>
        <ext xmlns:x14="http://schemas.microsoft.com/office/spreadsheetml/2009/9/main" uri="{B025F937-C7B1-47D3-B67F-A62EFF666E3E}">
          <x14:id>{AD918328-012E-4EEF-953E-1D383D821AD0}</x14:id>
        </ext>
      </extLst>
    </cfRule>
  </conditionalFormatting>
  <conditionalFormatting sqref="C33:D33">
    <cfRule type="dataBar" priority="24">
      <dataBar>
        <cfvo type="min"/>
        <cfvo type="max"/>
        <color rgb="FF008AEF"/>
      </dataBar>
      <extLst>
        <ext xmlns:x14="http://schemas.microsoft.com/office/spreadsheetml/2009/9/main" uri="{B025F937-C7B1-47D3-B67F-A62EFF666E3E}">
          <x14:id>{B6285E36-EF90-47CA-8B39-5A5E2D633E26}</x14:id>
        </ext>
      </extLst>
    </cfRule>
  </conditionalFormatting>
  <conditionalFormatting sqref="C34:D34">
    <cfRule type="dataBar" priority="23">
      <dataBar>
        <cfvo type="min"/>
        <cfvo type="max"/>
        <color rgb="FF008AEF"/>
      </dataBar>
      <extLst>
        <ext xmlns:x14="http://schemas.microsoft.com/office/spreadsheetml/2009/9/main" uri="{B025F937-C7B1-47D3-B67F-A62EFF666E3E}">
          <x14:id>{FC2CB45D-5815-417E-B312-F4CFA6C8390A}</x14:id>
        </ext>
      </extLst>
    </cfRule>
  </conditionalFormatting>
  <conditionalFormatting sqref="C35:D35">
    <cfRule type="dataBar" priority="22">
      <dataBar>
        <cfvo type="min"/>
        <cfvo type="max"/>
        <color rgb="FF008AEF"/>
      </dataBar>
      <extLst>
        <ext xmlns:x14="http://schemas.microsoft.com/office/spreadsheetml/2009/9/main" uri="{B025F937-C7B1-47D3-B67F-A62EFF666E3E}">
          <x14:id>{7FF177CF-FAF1-4257-9988-36D54985DBEF}</x14:id>
        </ext>
      </extLst>
    </cfRule>
  </conditionalFormatting>
  <conditionalFormatting sqref="C36:D36">
    <cfRule type="dataBar" priority="21">
      <dataBar>
        <cfvo type="min"/>
        <cfvo type="max"/>
        <color rgb="FF008AEF"/>
      </dataBar>
      <extLst>
        <ext xmlns:x14="http://schemas.microsoft.com/office/spreadsheetml/2009/9/main" uri="{B025F937-C7B1-47D3-B67F-A62EFF666E3E}">
          <x14:id>{E54AE906-83B3-44E2-AAB2-375B7892217D}</x14:id>
        </ext>
      </extLst>
    </cfRule>
  </conditionalFormatting>
  <conditionalFormatting sqref="C37:D37">
    <cfRule type="dataBar" priority="20">
      <dataBar>
        <cfvo type="min"/>
        <cfvo type="max"/>
        <color rgb="FF008AEF"/>
      </dataBar>
      <extLst>
        <ext xmlns:x14="http://schemas.microsoft.com/office/spreadsheetml/2009/9/main" uri="{B025F937-C7B1-47D3-B67F-A62EFF666E3E}">
          <x14:id>{93AC9590-FBF5-47A7-B681-B870B63F5595}</x14:id>
        </ext>
      </extLst>
    </cfRule>
  </conditionalFormatting>
  <conditionalFormatting sqref="C38:D38">
    <cfRule type="dataBar" priority="19">
      <dataBar>
        <cfvo type="min"/>
        <cfvo type="max"/>
        <color rgb="FF008AEF"/>
      </dataBar>
      <extLst>
        <ext xmlns:x14="http://schemas.microsoft.com/office/spreadsheetml/2009/9/main" uri="{B025F937-C7B1-47D3-B67F-A62EFF666E3E}">
          <x14:id>{63129184-6B76-4796-A6FD-79291C5A2293}</x14:id>
        </ext>
      </extLst>
    </cfRule>
  </conditionalFormatting>
  <conditionalFormatting sqref="C39:D39">
    <cfRule type="dataBar" priority="18">
      <dataBar>
        <cfvo type="min"/>
        <cfvo type="max"/>
        <color rgb="FF008AEF"/>
      </dataBar>
      <extLst>
        <ext xmlns:x14="http://schemas.microsoft.com/office/spreadsheetml/2009/9/main" uri="{B025F937-C7B1-47D3-B67F-A62EFF666E3E}">
          <x14:id>{780912AF-A366-4B04-9EC9-18B2278D9D50}</x14:id>
        </ext>
      </extLst>
    </cfRule>
  </conditionalFormatting>
  <conditionalFormatting sqref="C40:D40">
    <cfRule type="dataBar" priority="17">
      <dataBar>
        <cfvo type="min"/>
        <cfvo type="max"/>
        <color rgb="FF008AEF"/>
      </dataBar>
      <extLst>
        <ext xmlns:x14="http://schemas.microsoft.com/office/spreadsheetml/2009/9/main" uri="{B025F937-C7B1-47D3-B67F-A62EFF666E3E}">
          <x14:id>{39E15450-9395-4AEA-8D2B-086148CA62B2}</x14:id>
        </ext>
      </extLst>
    </cfRule>
  </conditionalFormatting>
  <conditionalFormatting sqref="E3:F36 E37:O40">
    <cfRule type="cellIs" dxfId="21" priority="6" operator="greaterThan">
      <formula>0</formula>
    </cfRule>
  </conditionalFormatting>
  <conditionalFormatting sqref="G13:O36">
    <cfRule type="cellIs" dxfId="20" priority="15" operator="greaterThan">
      <formula>0</formula>
    </cfRule>
  </conditionalFormatting>
  <conditionalFormatting sqref="G3:P12">
    <cfRule type="cellIs" dxfId="19" priority="7"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CFF5B93F-5F98-4532-B33A-56B7FEE66DD0}">
            <x14:dataBar minLength="0" maxLength="100" gradient="0">
              <x14:cfvo type="autoMin"/>
              <x14:cfvo type="autoMax"/>
              <x14:negativeFillColor rgb="FFFF0000"/>
              <x14:axisColor rgb="FF000000"/>
            </x14:dataBar>
          </x14:cfRule>
          <xm:sqref>C10</xm:sqref>
        </x14:conditionalFormatting>
        <x14:conditionalFormatting xmlns:xm="http://schemas.microsoft.com/office/excel/2006/main">
          <x14:cfRule type="dataBar" id="{2A2FF519-5B70-41D3-B9EC-1501FF9CB378}">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8436A172-E655-48AC-B680-38564A5F42EF}">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D29B8109-E455-4994-9E67-5415F12F4AA5}">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F03F5CBA-975A-4D9E-9C3E-FBF20F73C256}">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4ED250DC-9D2D-48F8-9C5D-2634D422CF1F}">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0F221BC0-0C0A-4774-ACCB-BBC95E338A1A}">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F7199C1A-BCC5-45D8-8BC9-7CD14CCDEFD3}">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074FBA99-61A1-4707-B6EC-FFF9E5FE919D}">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4B869DCA-6DD9-482D-A079-8B95A86CBAAD}">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818E9FD9-AFB5-485B-BD0D-5BDA4D38F380}">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369AC2A8-84C6-49EA-AA3F-246E9E73504B}">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2B5D0F4B-4F86-4A01-A2CA-E11D453EA10B}">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5F07E96F-402F-4D53-B4C3-AF2CFC25FE56}">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D21B24A1-5427-4EC2-8214-F54F9D3634F9}">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FDA843D3-8282-4A28-92B1-D8715A2115A0}">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7D05E438-32E2-4CE7-ABE0-EA8C159BC3CA}">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A29004EA-E25F-4251-B270-FC5F1345EB4A}">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78E1BCE0-B6CC-48EF-B23C-2722EAFFBD1D}">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EFC08026-64CD-49BD-98C8-C4F1B079C752}">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ECA2CA40-B029-42D3-9E25-5BFFC88769F2}">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0975B1FD-8CE8-43F4-AFE1-2D10A7AAB541}">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B31A2145-2F1F-4FBC-A68F-52E022EEB4E7}">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4874D3ED-1E02-4355-8DAD-0C7845019D0B}">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EE623773-717B-4702-ABE6-46770BC873D0}">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CAEB961E-71B2-4A66-9C59-DF856458D6B3}">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5F3B9B35-B80D-4FA3-ACB7-015AAC3328A9}">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C1C30339-612E-421A-9AFA-F08890301669}">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C993274C-CB53-4C57-92B5-A601972EC999}">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AD918328-012E-4EEF-953E-1D383D821AD0}">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B6285E36-EF90-47CA-8B39-5A5E2D633E26}">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FC2CB45D-5815-417E-B312-F4CFA6C8390A}">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7FF177CF-FAF1-4257-9988-36D54985DBEF}">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E54AE906-83B3-44E2-AAB2-375B7892217D}">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93AC9590-FBF5-47A7-B681-B870B63F5595}">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63129184-6B76-4796-A6FD-79291C5A2293}">
            <x14:dataBar minLength="0" maxLength="100" gradient="0">
              <x14:cfvo type="autoMin"/>
              <x14:cfvo type="autoMax"/>
              <x14:negativeFillColor rgb="FFFF0000"/>
              <x14:axisColor rgb="FF000000"/>
            </x14:dataBar>
          </x14:cfRule>
          <xm:sqref>C38:D38</xm:sqref>
        </x14:conditionalFormatting>
        <x14:conditionalFormatting xmlns:xm="http://schemas.microsoft.com/office/excel/2006/main">
          <x14:cfRule type="dataBar" id="{780912AF-A366-4B04-9EC9-18B2278D9D50}">
            <x14:dataBar minLength="0" maxLength="100" gradient="0">
              <x14:cfvo type="autoMin"/>
              <x14:cfvo type="autoMax"/>
              <x14:negativeFillColor rgb="FFFF0000"/>
              <x14:axisColor rgb="FF000000"/>
            </x14:dataBar>
          </x14:cfRule>
          <xm:sqref>C39:D39</xm:sqref>
        </x14:conditionalFormatting>
        <x14:conditionalFormatting xmlns:xm="http://schemas.microsoft.com/office/excel/2006/main">
          <x14:cfRule type="dataBar" id="{39E15450-9395-4AEA-8D2B-086148CA62B2}">
            <x14:dataBar minLength="0" maxLength="100" gradient="0">
              <x14:cfvo type="autoMin"/>
              <x14:cfvo type="autoMax"/>
              <x14:negativeFillColor rgb="FFFF0000"/>
              <x14:axisColor rgb="FF000000"/>
            </x14:dataBar>
          </x14:cfRule>
          <xm:sqref>C40:D40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36"/>
  <sheetViews>
    <sheetView zoomScale="80" zoomScaleNormal="80" workbookViewId="0">
      <selection activeCell="K5" sqref="K5"/>
    </sheetView>
  </sheetViews>
  <sheetFormatPr baseColWidth="10" defaultColWidth="11.42578125" defaultRowHeight="15" x14ac:dyDescent="0.25"/>
  <cols>
    <col min="1" max="1" width="7" style="2" customWidth="1"/>
    <col min="2" max="2" width="89.7109375" style="2" customWidth="1"/>
    <col min="3" max="3" width="11.42578125" style="2"/>
    <col min="4" max="4" width="22.42578125" style="2" customWidth="1"/>
    <col min="5" max="9" width="17.28515625" style="2" customWidth="1"/>
    <col min="10" max="16384" width="11.42578125" style="2"/>
  </cols>
  <sheetData>
    <row r="1" spans="1:16" ht="61.5" customHeight="1" x14ac:dyDescent="0.25">
      <c r="A1" s="46" t="s">
        <v>1</v>
      </c>
      <c r="B1" s="26" t="s">
        <v>32</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7"/>
      <c r="B2" s="26"/>
      <c r="C2" s="3">
        <v>2026</v>
      </c>
      <c r="D2" s="3" t="s">
        <v>16</v>
      </c>
      <c r="E2" s="27"/>
      <c r="F2" s="27"/>
      <c r="G2" s="27"/>
      <c r="H2" s="27"/>
      <c r="I2" s="27"/>
      <c r="J2" s="27"/>
      <c r="K2" s="27"/>
      <c r="L2" s="27"/>
      <c r="M2" s="27"/>
      <c r="N2" s="27"/>
      <c r="O2" s="27"/>
      <c r="P2" s="27"/>
    </row>
    <row r="3" spans="1:16" ht="81" customHeight="1" x14ac:dyDescent="0.25">
      <c r="A3" s="42" t="s">
        <v>18</v>
      </c>
      <c r="B3" s="9" t="s">
        <v>17</v>
      </c>
      <c r="C3" s="6">
        <v>1</v>
      </c>
      <c r="D3" s="24">
        <f t="shared" ref="D3:D6" si="0">SUM(E3:P3)</f>
        <v>0</v>
      </c>
      <c r="E3" s="29"/>
      <c r="F3" s="29"/>
      <c r="G3" s="29"/>
      <c r="H3" s="29"/>
      <c r="I3" s="29"/>
      <c r="J3" s="29"/>
      <c r="K3" s="29"/>
      <c r="L3" s="29"/>
      <c r="M3" s="29"/>
      <c r="N3" s="29"/>
      <c r="O3" s="29"/>
      <c r="P3" s="29"/>
    </row>
    <row r="4" spans="1:16" ht="81" customHeight="1" x14ac:dyDescent="0.25">
      <c r="A4" s="43" t="s">
        <v>20</v>
      </c>
      <c r="B4" s="10" t="s">
        <v>19</v>
      </c>
      <c r="C4" s="31">
        <v>2</v>
      </c>
      <c r="D4" s="24">
        <f t="shared" si="0"/>
        <v>1</v>
      </c>
      <c r="E4" s="29">
        <v>0</v>
      </c>
      <c r="F4" s="29">
        <v>0</v>
      </c>
      <c r="G4" s="29">
        <v>0</v>
      </c>
      <c r="H4" s="29">
        <v>0</v>
      </c>
      <c r="I4" s="29"/>
      <c r="J4" s="29">
        <v>1</v>
      </c>
      <c r="K4" s="29"/>
      <c r="L4" s="29"/>
      <c r="M4" s="29"/>
      <c r="N4" s="29"/>
      <c r="O4" s="29"/>
      <c r="P4" s="29"/>
    </row>
    <row r="5" spans="1:16" ht="81" customHeight="1" x14ac:dyDescent="0.25">
      <c r="A5" s="42" t="s">
        <v>18</v>
      </c>
      <c r="B5" s="9" t="s">
        <v>24</v>
      </c>
      <c r="C5" s="33">
        <v>2</v>
      </c>
      <c r="D5" s="24">
        <f t="shared" si="0"/>
        <v>0</v>
      </c>
      <c r="E5" s="29"/>
      <c r="F5" s="29"/>
      <c r="G5" s="29"/>
      <c r="H5" s="29"/>
      <c r="I5" s="29"/>
      <c r="J5" s="29"/>
      <c r="K5" s="29"/>
      <c r="L5" s="29"/>
      <c r="M5" s="29"/>
      <c r="N5" s="29"/>
      <c r="O5" s="29"/>
      <c r="P5" s="29"/>
    </row>
    <row r="6" spans="1:16" ht="81" customHeight="1" x14ac:dyDescent="0.25">
      <c r="A6" s="42" t="s">
        <v>18</v>
      </c>
      <c r="B6" s="9" t="s">
        <v>33</v>
      </c>
      <c r="C6" s="34">
        <v>2</v>
      </c>
      <c r="D6" s="24">
        <f t="shared" si="0"/>
        <v>1</v>
      </c>
      <c r="E6" s="29"/>
      <c r="F6" s="29">
        <v>1</v>
      </c>
      <c r="G6" s="29"/>
      <c r="H6" s="29"/>
      <c r="I6" s="29"/>
      <c r="J6" s="29"/>
      <c r="K6" s="29"/>
      <c r="L6" s="29"/>
      <c r="M6" s="29"/>
      <c r="N6" s="29"/>
      <c r="O6" s="29"/>
      <c r="P6" s="29"/>
    </row>
    <row r="7" spans="1:16" ht="28.5" customHeight="1" x14ac:dyDescent="0.25">
      <c r="A7" s="48" t="s">
        <v>75</v>
      </c>
      <c r="B7" s="35" t="s">
        <v>76</v>
      </c>
      <c r="C7" s="34">
        <v>3</v>
      </c>
      <c r="D7" s="24">
        <f t="shared" ref="D7:D34" si="1">SUM(E7:O7)</f>
        <v>1</v>
      </c>
      <c r="E7" s="29">
        <v>1</v>
      </c>
      <c r="F7" s="29"/>
      <c r="G7" s="29"/>
      <c r="H7" s="29"/>
      <c r="I7" s="29"/>
      <c r="J7" s="29"/>
      <c r="K7" s="29"/>
      <c r="L7" s="29"/>
      <c r="M7" s="29"/>
      <c r="N7" s="29"/>
      <c r="O7" s="29"/>
      <c r="P7" s="36"/>
    </row>
    <row r="8" spans="1:16" ht="28.5" customHeight="1" x14ac:dyDescent="0.25">
      <c r="A8" s="49"/>
      <c r="B8" s="35" t="s">
        <v>77</v>
      </c>
      <c r="C8" s="34">
        <v>3</v>
      </c>
      <c r="D8" s="24">
        <f t="shared" si="1"/>
        <v>1</v>
      </c>
      <c r="E8" s="29"/>
      <c r="F8" s="29">
        <v>1</v>
      </c>
      <c r="G8" s="29"/>
      <c r="H8" s="29"/>
      <c r="I8" s="29"/>
      <c r="J8" s="29"/>
      <c r="K8" s="29"/>
      <c r="L8" s="29"/>
      <c r="M8" s="29"/>
      <c r="N8" s="29"/>
      <c r="O8" s="29"/>
      <c r="P8" s="36"/>
    </row>
    <row r="9" spans="1:16" ht="28.5" customHeight="1" x14ac:dyDescent="0.25">
      <c r="A9" s="49"/>
      <c r="B9" s="35" t="s">
        <v>78</v>
      </c>
      <c r="C9" s="34">
        <v>28</v>
      </c>
      <c r="D9" s="24">
        <f t="shared" si="1"/>
        <v>12</v>
      </c>
      <c r="E9" s="29">
        <v>3</v>
      </c>
      <c r="F9" s="29">
        <v>2</v>
      </c>
      <c r="G9" s="29">
        <v>2</v>
      </c>
      <c r="H9" s="29">
        <v>2</v>
      </c>
      <c r="I9" s="29">
        <v>3</v>
      </c>
      <c r="J9" s="29"/>
      <c r="K9" s="29"/>
      <c r="L9" s="29"/>
      <c r="M9" s="29"/>
      <c r="N9" s="29"/>
      <c r="O9" s="29"/>
      <c r="P9" s="36"/>
    </row>
    <row r="10" spans="1:16" ht="28.5" customHeight="1" x14ac:dyDescent="0.25">
      <c r="A10" s="49"/>
      <c r="B10" s="35" t="s">
        <v>79</v>
      </c>
      <c r="C10" s="34">
        <v>68</v>
      </c>
      <c r="D10" s="24">
        <f t="shared" si="1"/>
        <v>38</v>
      </c>
      <c r="E10" s="29"/>
      <c r="F10" s="29"/>
      <c r="G10" s="29">
        <v>9</v>
      </c>
      <c r="H10" s="29">
        <v>29</v>
      </c>
      <c r="I10" s="29"/>
      <c r="J10" s="29"/>
      <c r="K10" s="29"/>
      <c r="L10" s="29"/>
      <c r="M10" s="29"/>
      <c r="N10" s="29"/>
      <c r="O10" s="29"/>
      <c r="P10" s="36"/>
    </row>
    <row r="11" spans="1:16" ht="28.5" customHeight="1" x14ac:dyDescent="0.25">
      <c r="A11" s="49"/>
      <c r="B11" s="35" t="s">
        <v>80</v>
      </c>
      <c r="C11" s="34">
        <v>0</v>
      </c>
      <c r="D11" s="24">
        <f t="shared" si="1"/>
        <v>0</v>
      </c>
      <c r="E11" s="29"/>
      <c r="F11" s="29"/>
      <c r="G11" s="29"/>
      <c r="H11" s="29"/>
      <c r="I11" s="29"/>
      <c r="J11" s="29"/>
      <c r="K11" s="29"/>
      <c r="L11" s="29"/>
      <c r="M11" s="29"/>
      <c r="N11" s="29"/>
      <c r="O11" s="29"/>
      <c r="P11" s="36"/>
    </row>
    <row r="12" spans="1:16" ht="28.5" customHeight="1" x14ac:dyDescent="0.25">
      <c r="A12" s="49"/>
      <c r="B12" s="35" t="s">
        <v>81</v>
      </c>
      <c r="C12" s="34">
        <v>4</v>
      </c>
      <c r="D12" s="24">
        <f t="shared" si="1"/>
        <v>0</v>
      </c>
      <c r="E12" s="29"/>
      <c r="F12" s="29"/>
      <c r="G12" s="29"/>
      <c r="H12" s="29"/>
      <c r="I12" s="29"/>
      <c r="J12" s="29"/>
      <c r="K12" s="29"/>
      <c r="L12" s="29"/>
      <c r="M12" s="29"/>
      <c r="N12" s="29"/>
      <c r="O12" s="29"/>
      <c r="P12" s="36"/>
    </row>
    <row r="13" spans="1:16" ht="28.5" customHeight="1" x14ac:dyDescent="0.25">
      <c r="A13" s="49"/>
      <c r="B13" s="35" t="s">
        <v>82</v>
      </c>
      <c r="C13" s="34">
        <v>0</v>
      </c>
      <c r="D13" s="24">
        <f t="shared" si="1"/>
        <v>0</v>
      </c>
      <c r="E13" s="29"/>
      <c r="F13" s="29"/>
      <c r="G13" s="29"/>
      <c r="H13" s="29"/>
      <c r="I13" s="29"/>
      <c r="J13" s="29"/>
      <c r="K13" s="29"/>
      <c r="L13" s="29"/>
      <c r="M13" s="29"/>
      <c r="N13" s="29"/>
      <c r="O13" s="29"/>
      <c r="P13" s="36"/>
    </row>
    <row r="14" spans="1:16" ht="28.5" customHeight="1" x14ac:dyDescent="0.25">
      <c r="A14" s="49"/>
      <c r="B14" s="35" t="s">
        <v>83</v>
      </c>
      <c r="C14" s="34">
        <v>0</v>
      </c>
      <c r="D14" s="24">
        <f t="shared" si="1"/>
        <v>0</v>
      </c>
      <c r="E14" s="29"/>
      <c r="F14" s="29"/>
      <c r="G14" s="29"/>
      <c r="H14" s="29"/>
      <c r="I14" s="29"/>
      <c r="J14" s="29"/>
      <c r="K14" s="29"/>
      <c r="L14" s="29"/>
      <c r="M14" s="29"/>
      <c r="N14" s="29"/>
      <c r="O14" s="29"/>
      <c r="P14" s="36"/>
    </row>
    <row r="15" spans="1:16" ht="28.5" customHeight="1" x14ac:dyDescent="0.25">
      <c r="A15" s="49"/>
      <c r="B15" s="35" t="s">
        <v>84</v>
      </c>
      <c r="C15" s="34">
        <v>0</v>
      </c>
      <c r="D15" s="24">
        <f t="shared" si="1"/>
        <v>0</v>
      </c>
      <c r="E15" s="29"/>
      <c r="F15" s="29"/>
      <c r="G15" s="29"/>
      <c r="H15" s="29"/>
      <c r="I15" s="29"/>
      <c r="J15" s="29"/>
      <c r="K15" s="29"/>
      <c r="L15" s="29"/>
      <c r="M15" s="29"/>
      <c r="N15" s="29"/>
      <c r="O15" s="29"/>
      <c r="P15" s="36"/>
    </row>
    <row r="16" spans="1:16" ht="28.5" customHeight="1" x14ac:dyDescent="0.25">
      <c r="A16" s="49"/>
      <c r="B16" s="35" t="s">
        <v>85</v>
      </c>
      <c r="C16" s="34">
        <v>0</v>
      </c>
      <c r="D16" s="24">
        <f t="shared" si="1"/>
        <v>0</v>
      </c>
      <c r="E16" s="29"/>
      <c r="F16" s="29"/>
      <c r="G16" s="29"/>
      <c r="H16" s="29"/>
      <c r="I16" s="29"/>
      <c r="J16" s="29"/>
      <c r="K16" s="29"/>
      <c r="L16" s="29"/>
      <c r="M16" s="29"/>
      <c r="N16" s="29"/>
      <c r="O16" s="29"/>
      <c r="P16" s="36"/>
    </row>
    <row r="17" spans="1:16" ht="28.5" customHeight="1" x14ac:dyDescent="0.25">
      <c r="A17" s="49"/>
      <c r="B17" s="35" t="s">
        <v>86</v>
      </c>
      <c r="C17" s="34">
        <v>0</v>
      </c>
      <c r="D17" s="24">
        <f t="shared" si="1"/>
        <v>0</v>
      </c>
      <c r="E17" s="29"/>
      <c r="F17" s="29"/>
      <c r="G17" s="29"/>
      <c r="H17" s="29"/>
      <c r="I17" s="29"/>
      <c r="J17" s="29"/>
      <c r="K17" s="29"/>
      <c r="L17" s="29"/>
      <c r="M17" s="29"/>
      <c r="N17" s="29"/>
      <c r="O17" s="29"/>
      <c r="P17" s="36"/>
    </row>
    <row r="18" spans="1:16" ht="28.5" customHeight="1" x14ac:dyDescent="0.25">
      <c r="A18" s="49"/>
      <c r="B18" s="35" t="s">
        <v>87</v>
      </c>
      <c r="C18" s="34">
        <v>0</v>
      </c>
      <c r="D18" s="24">
        <f t="shared" si="1"/>
        <v>0</v>
      </c>
      <c r="E18" s="29"/>
      <c r="F18" s="29"/>
      <c r="G18" s="29"/>
      <c r="H18" s="29"/>
      <c r="I18" s="29"/>
      <c r="J18" s="29"/>
      <c r="K18" s="29"/>
      <c r="L18" s="29"/>
      <c r="M18" s="29"/>
      <c r="N18" s="29"/>
      <c r="O18" s="29"/>
      <c r="P18" s="36"/>
    </row>
    <row r="19" spans="1:16" ht="28.5" customHeight="1" x14ac:dyDescent="0.25">
      <c r="A19" s="49"/>
      <c r="B19" s="35" t="s">
        <v>88</v>
      </c>
      <c r="C19" s="34">
        <v>0</v>
      </c>
      <c r="D19" s="24">
        <f t="shared" si="1"/>
        <v>0</v>
      </c>
      <c r="E19" s="29"/>
      <c r="F19" s="29"/>
      <c r="G19" s="29"/>
      <c r="H19" s="29"/>
      <c r="I19" s="29"/>
      <c r="J19" s="29"/>
      <c r="K19" s="29"/>
      <c r="L19" s="29"/>
      <c r="M19" s="29"/>
      <c r="N19" s="29"/>
      <c r="O19" s="29"/>
      <c r="P19" s="36"/>
    </row>
    <row r="20" spans="1:16" ht="28.5" customHeight="1" x14ac:dyDescent="0.25">
      <c r="A20" s="49"/>
      <c r="B20" s="35" t="s">
        <v>89</v>
      </c>
      <c r="C20" s="34">
        <v>0</v>
      </c>
      <c r="D20" s="24">
        <f t="shared" si="1"/>
        <v>0</v>
      </c>
      <c r="E20" s="29"/>
      <c r="F20" s="29"/>
      <c r="G20" s="29"/>
      <c r="H20" s="29"/>
      <c r="I20" s="29"/>
      <c r="J20" s="29"/>
      <c r="K20" s="29"/>
      <c r="L20" s="29"/>
      <c r="M20" s="29"/>
      <c r="N20" s="29"/>
      <c r="O20" s="29"/>
      <c r="P20" s="36"/>
    </row>
    <row r="21" spans="1:16" ht="28.5" customHeight="1" x14ac:dyDescent="0.25">
      <c r="A21" s="49"/>
      <c r="B21" s="35" t="s">
        <v>90</v>
      </c>
      <c r="C21" s="34">
        <v>46</v>
      </c>
      <c r="D21" s="24">
        <f t="shared" si="1"/>
        <v>23</v>
      </c>
      <c r="E21" s="29">
        <v>23</v>
      </c>
      <c r="F21" s="29"/>
      <c r="G21" s="29"/>
      <c r="H21" s="29"/>
      <c r="I21" s="29"/>
      <c r="J21" s="29"/>
      <c r="K21" s="29"/>
      <c r="L21" s="29"/>
      <c r="M21" s="29"/>
      <c r="N21" s="29"/>
      <c r="O21" s="29"/>
      <c r="P21" s="36"/>
    </row>
    <row r="22" spans="1:16" ht="28.5" customHeight="1" x14ac:dyDescent="0.25">
      <c r="A22" s="49"/>
      <c r="B22" s="35" t="s">
        <v>91</v>
      </c>
      <c r="C22" s="34">
        <v>2</v>
      </c>
      <c r="D22" s="24">
        <f t="shared" si="1"/>
        <v>0</v>
      </c>
      <c r="E22" s="29"/>
      <c r="F22" s="29"/>
      <c r="G22" s="29"/>
      <c r="H22" s="29"/>
      <c r="I22" s="29"/>
      <c r="J22" s="29"/>
      <c r="K22" s="29"/>
      <c r="L22" s="29"/>
      <c r="M22" s="29"/>
      <c r="N22" s="29"/>
      <c r="O22" s="29"/>
      <c r="P22" s="36"/>
    </row>
    <row r="23" spans="1:16" ht="24" customHeight="1" x14ac:dyDescent="0.25">
      <c r="A23" s="49"/>
      <c r="B23" s="37" t="s">
        <v>92</v>
      </c>
      <c r="C23" s="34">
        <v>4</v>
      </c>
      <c r="D23" s="24">
        <f t="shared" si="1"/>
        <v>4</v>
      </c>
      <c r="E23" s="29"/>
      <c r="F23" s="29"/>
      <c r="G23" s="29">
        <v>3</v>
      </c>
      <c r="H23" s="29">
        <v>1</v>
      </c>
      <c r="I23" s="29"/>
      <c r="J23" s="29"/>
      <c r="K23" s="29"/>
      <c r="L23" s="29"/>
      <c r="M23" s="29"/>
      <c r="N23" s="29"/>
      <c r="O23" s="29"/>
      <c r="P23" s="36"/>
    </row>
    <row r="24" spans="1:16" ht="24" customHeight="1" x14ac:dyDescent="0.25">
      <c r="A24" s="49"/>
      <c r="B24" s="37" t="s">
        <v>93</v>
      </c>
      <c r="C24" s="34">
        <v>4</v>
      </c>
      <c r="D24" s="24">
        <f t="shared" si="1"/>
        <v>4</v>
      </c>
      <c r="E24" s="29"/>
      <c r="F24" s="29"/>
      <c r="G24" s="29"/>
      <c r="H24" s="29">
        <v>3</v>
      </c>
      <c r="I24" s="29">
        <v>1</v>
      </c>
      <c r="J24" s="29"/>
      <c r="K24" s="29"/>
      <c r="L24" s="29"/>
      <c r="M24" s="29"/>
      <c r="N24" s="29"/>
      <c r="O24" s="29"/>
      <c r="P24" s="36"/>
    </row>
    <row r="25" spans="1:16" ht="24" customHeight="1" x14ac:dyDescent="0.25">
      <c r="A25" s="49"/>
      <c r="B25" s="37" t="s">
        <v>94</v>
      </c>
      <c r="C25" s="34">
        <v>4</v>
      </c>
      <c r="D25" s="24">
        <f t="shared" si="1"/>
        <v>4</v>
      </c>
      <c r="E25" s="29"/>
      <c r="F25" s="29"/>
      <c r="G25" s="29"/>
      <c r="H25" s="29"/>
      <c r="I25" s="29">
        <v>4</v>
      </c>
      <c r="J25" s="29"/>
      <c r="K25" s="29"/>
      <c r="L25" s="29"/>
      <c r="M25" s="29"/>
      <c r="N25" s="29"/>
      <c r="O25" s="29"/>
      <c r="P25" s="36"/>
    </row>
    <row r="26" spans="1:16" ht="24" customHeight="1" x14ac:dyDescent="0.25">
      <c r="A26" s="49"/>
      <c r="B26" s="37" t="s">
        <v>95</v>
      </c>
      <c r="C26" s="34">
        <v>4</v>
      </c>
      <c r="D26" s="24">
        <f t="shared" si="1"/>
        <v>0</v>
      </c>
      <c r="E26" s="29"/>
      <c r="F26" s="29"/>
      <c r="G26" s="29"/>
      <c r="H26" s="29"/>
      <c r="I26" s="29"/>
      <c r="J26" s="29"/>
      <c r="K26" s="29"/>
      <c r="L26" s="29"/>
      <c r="M26" s="29"/>
      <c r="N26" s="29"/>
      <c r="O26" s="29"/>
      <c r="P26" s="36"/>
    </row>
    <row r="27" spans="1:16" ht="24" customHeight="1" x14ac:dyDescent="0.25">
      <c r="A27" s="49"/>
      <c r="B27" s="37" t="s">
        <v>96</v>
      </c>
      <c r="C27" s="34">
        <v>4</v>
      </c>
      <c r="D27" s="24">
        <f t="shared" si="1"/>
        <v>0</v>
      </c>
      <c r="E27" s="29"/>
      <c r="F27" s="29"/>
      <c r="G27" s="29"/>
      <c r="H27" s="29"/>
      <c r="I27" s="29"/>
      <c r="J27" s="29"/>
      <c r="K27" s="29"/>
      <c r="L27" s="29"/>
      <c r="M27" s="29"/>
      <c r="N27" s="29"/>
      <c r="O27" s="29"/>
      <c r="P27" s="36"/>
    </row>
    <row r="28" spans="1:16" ht="24" customHeight="1" x14ac:dyDescent="0.25">
      <c r="A28" s="49"/>
      <c r="B28" s="37" t="s">
        <v>97</v>
      </c>
      <c r="C28" s="34">
        <v>1</v>
      </c>
      <c r="D28" s="24">
        <f t="shared" si="1"/>
        <v>0</v>
      </c>
      <c r="E28" s="29"/>
      <c r="F28" s="29"/>
      <c r="G28" s="29"/>
      <c r="H28" s="29"/>
      <c r="I28" s="29"/>
      <c r="J28" s="29"/>
      <c r="K28" s="29"/>
      <c r="L28" s="29"/>
      <c r="M28" s="29"/>
      <c r="N28" s="29"/>
      <c r="O28" s="29"/>
      <c r="P28" s="36"/>
    </row>
    <row r="29" spans="1:16" ht="24" customHeight="1" x14ac:dyDescent="0.25">
      <c r="A29" s="49"/>
      <c r="B29" s="37" t="s">
        <v>98</v>
      </c>
      <c r="C29" s="34">
        <v>1</v>
      </c>
      <c r="D29" s="24">
        <f t="shared" si="1"/>
        <v>0</v>
      </c>
      <c r="E29" s="29"/>
      <c r="F29" s="29"/>
      <c r="G29" s="29"/>
      <c r="H29" s="29"/>
      <c r="I29" s="29"/>
      <c r="J29" s="29"/>
      <c r="K29" s="29"/>
      <c r="L29" s="29"/>
      <c r="M29" s="29"/>
      <c r="N29" s="29"/>
      <c r="O29" s="29"/>
      <c r="P29" s="36"/>
    </row>
    <row r="30" spans="1:16" ht="24" customHeight="1" x14ac:dyDescent="0.25">
      <c r="A30" s="49"/>
      <c r="B30" s="37" t="s">
        <v>99</v>
      </c>
      <c r="C30" s="34">
        <v>1</v>
      </c>
      <c r="D30" s="24">
        <f t="shared" si="1"/>
        <v>0</v>
      </c>
      <c r="E30" s="29"/>
      <c r="F30" s="29"/>
      <c r="G30" s="29"/>
      <c r="H30" s="29"/>
      <c r="I30" s="29"/>
      <c r="J30" s="29"/>
      <c r="K30" s="29"/>
      <c r="L30" s="29"/>
      <c r="M30" s="29"/>
      <c r="N30" s="29"/>
      <c r="O30" s="29"/>
      <c r="P30" s="36"/>
    </row>
    <row r="31" spans="1:16" ht="24" customHeight="1" x14ac:dyDescent="0.25">
      <c r="A31" s="49"/>
      <c r="B31" s="37" t="s">
        <v>100</v>
      </c>
      <c r="C31" s="34">
        <v>1</v>
      </c>
      <c r="D31" s="24">
        <f t="shared" si="1"/>
        <v>0</v>
      </c>
      <c r="E31" s="29"/>
      <c r="F31" s="29"/>
      <c r="G31" s="29"/>
      <c r="H31" s="29"/>
      <c r="I31" s="29"/>
      <c r="J31" s="29"/>
      <c r="K31" s="29"/>
      <c r="L31" s="29"/>
      <c r="M31" s="29"/>
      <c r="N31" s="29"/>
      <c r="O31" s="29"/>
      <c r="P31" s="36"/>
    </row>
    <row r="32" spans="1:16" ht="24" customHeight="1" x14ac:dyDescent="0.25">
      <c r="A32" s="49"/>
      <c r="B32" s="37" t="s">
        <v>101</v>
      </c>
      <c r="C32" s="34">
        <v>1</v>
      </c>
      <c r="D32" s="24">
        <f t="shared" si="1"/>
        <v>0</v>
      </c>
      <c r="E32" s="29"/>
      <c r="F32" s="29"/>
      <c r="G32" s="29"/>
      <c r="H32" s="29"/>
      <c r="I32" s="29"/>
      <c r="J32" s="29"/>
      <c r="K32" s="29"/>
      <c r="L32" s="29"/>
      <c r="M32" s="29"/>
      <c r="N32" s="29"/>
      <c r="O32" s="29"/>
      <c r="P32" s="36"/>
    </row>
    <row r="33" spans="1:16" ht="24" customHeight="1" x14ac:dyDescent="0.25">
      <c r="A33" s="49"/>
      <c r="B33" s="37" t="s">
        <v>102</v>
      </c>
      <c r="C33" s="34">
        <v>1</v>
      </c>
      <c r="D33" s="24">
        <f t="shared" si="1"/>
        <v>0</v>
      </c>
      <c r="E33" s="29"/>
      <c r="F33" s="29"/>
      <c r="G33" s="29"/>
      <c r="H33" s="29"/>
      <c r="I33" s="29"/>
      <c r="J33" s="29"/>
      <c r="K33" s="29"/>
      <c r="L33" s="29"/>
      <c r="M33" s="29"/>
      <c r="N33" s="29"/>
      <c r="O33" s="29"/>
      <c r="P33" s="36"/>
    </row>
    <row r="34" spans="1:16" ht="24" customHeight="1" thickBot="1" x14ac:dyDescent="0.3">
      <c r="A34" s="50"/>
      <c r="B34" s="38" t="s">
        <v>103</v>
      </c>
      <c r="C34" s="34">
        <v>1</v>
      </c>
      <c r="D34" s="24">
        <f t="shared" si="1"/>
        <v>0</v>
      </c>
      <c r="E34" s="29"/>
      <c r="F34" s="29"/>
      <c r="G34" s="29"/>
      <c r="H34" s="29"/>
      <c r="I34" s="29"/>
      <c r="J34" s="29"/>
      <c r="K34" s="29"/>
      <c r="L34" s="29"/>
      <c r="M34" s="29"/>
      <c r="N34" s="29"/>
      <c r="O34" s="29"/>
      <c r="P34" s="36"/>
    </row>
    <row r="35" spans="1:16" x14ac:dyDescent="0.25">
      <c r="C35" s="39">
        <f>SUM(C3:C34)</f>
        <v>188</v>
      </c>
      <c r="D35" s="40">
        <f>SUM(D3:D34)</f>
        <v>89</v>
      </c>
    </row>
    <row r="36" spans="1:16" x14ac:dyDescent="0.25">
      <c r="C36" s="17"/>
      <c r="D36" s="41">
        <f>D35/C35</f>
        <v>0.47340425531914893</v>
      </c>
    </row>
  </sheetData>
  <sheetProtection algorithmName="SHA-512" hashValue="pxatvkNssikfgrOpJLC/2SIVvu2wsuAU41O5SwrA4vHfPWdSrJeiItbCTYWuaiPFrGsI9DJp+FMMGmwmBK0tIQ==" saltValue="/jayEu3cbM5ToagTy2oJUg==" spinCount="100000" sheet="1" objects="1" scenarios="1" autoFilter="0"/>
  <mergeCells count="2">
    <mergeCell ref="A1:A2"/>
    <mergeCell ref="A7:A34"/>
  </mergeCells>
  <conditionalFormatting sqref="C3:D3 D4:D6">
    <cfRule type="dataBar" priority="54">
      <dataBar>
        <cfvo type="min"/>
        <cfvo type="max"/>
        <color rgb="FF008AEF"/>
      </dataBar>
      <extLst>
        <ext xmlns:x14="http://schemas.microsoft.com/office/spreadsheetml/2009/9/main" uri="{B025F937-C7B1-47D3-B67F-A62EFF666E3E}">
          <x14:id>{1DFF9D12-A239-4C78-985E-7B37E0639501}</x14:id>
        </ext>
      </extLst>
    </cfRule>
  </conditionalFormatting>
  <conditionalFormatting sqref="C4:D4">
    <cfRule type="dataBar" priority="6">
      <dataBar>
        <cfvo type="min"/>
        <cfvo type="max"/>
        <color rgb="FF008AEF"/>
      </dataBar>
      <extLst>
        <ext xmlns:x14="http://schemas.microsoft.com/office/spreadsheetml/2009/9/main" uri="{B025F937-C7B1-47D3-B67F-A62EFF666E3E}">
          <x14:id>{C93EBD2A-BAB7-4C7B-965A-490229286A64}</x14:id>
        </ext>
      </extLst>
    </cfRule>
  </conditionalFormatting>
  <conditionalFormatting sqref="C5:D5">
    <cfRule type="dataBar" priority="7">
      <dataBar>
        <cfvo type="min"/>
        <cfvo type="max"/>
        <color rgb="FF008AEF"/>
      </dataBar>
      <extLst>
        <ext xmlns:x14="http://schemas.microsoft.com/office/spreadsheetml/2009/9/main" uri="{B025F937-C7B1-47D3-B67F-A62EFF666E3E}">
          <x14:id>{D8B3E8FA-771D-47E4-914D-EE142A073289}</x14:id>
        </ext>
      </extLst>
    </cfRule>
  </conditionalFormatting>
  <conditionalFormatting sqref="C6:D6">
    <cfRule type="dataBar" priority="8">
      <dataBar>
        <cfvo type="min"/>
        <cfvo type="max"/>
        <color rgb="FF008AEF"/>
      </dataBar>
      <extLst>
        <ext xmlns:x14="http://schemas.microsoft.com/office/spreadsheetml/2009/9/main" uri="{B025F937-C7B1-47D3-B67F-A62EFF666E3E}">
          <x14:id>{7DCEFBC0-8A25-4012-B050-ED5B9324607C}</x14:id>
        </ext>
      </extLst>
    </cfRule>
  </conditionalFormatting>
  <conditionalFormatting sqref="C7:D7">
    <cfRule type="dataBar" priority="13">
      <dataBar>
        <cfvo type="min"/>
        <cfvo type="max"/>
        <color rgb="FF008AEF"/>
      </dataBar>
      <extLst>
        <ext xmlns:x14="http://schemas.microsoft.com/office/spreadsheetml/2009/9/main" uri="{B025F937-C7B1-47D3-B67F-A62EFF666E3E}">
          <x14:id>{A16B348B-F85D-4A49-9612-E30CAD588C6B}</x14:id>
        </ext>
      </extLst>
    </cfRule>
  </conditionalFormatting>
  <conditionalFormatting sqref="C8:D8">
    <cfRule type="dataBar" priority="40">
      <dataBar>
        <cfvo type="min"/>
        <cfvo type="max"/>
        <color rgb="FF008AEF"/>
      </dataBar>
      <extLst>
        <ext xmlns:x14="http://schemas.microsoft.com/office/spreadsheetml/2009/9/main" uri="{B025F937-C7B1-47D3-B67F-A62EFF666E3E}">
          <x14:id>{92DDD3E7-E1EF-457C-AC10-A6BC11E44BD2}</x14:id>
        </ext>
      </extLst>
    </cfRule>
  </conditionalFormatting>
  <conditionalFormatting sqref="C9:D9">
    <cfRule type="dataBar" priority="39">
      <dataBar>
        <cfvo type="min"/>
        <cfvo type="max"/>
        <color rgb="FF008AEF"/>
      </dataBar>
      <extLst>
        <ext xmlns:x14="http://schemas.microsoft.com/office/spreadsheetml/2009/9/main" uri="{B025F937-C7B1-47D3-B67F-A62EFF666E3E}">
          <x14:id>{9FC264AA-E7F1-4104-9C2B-256BE6FD4677}</x14:id>
        </ext>
      </extLst>
    </cfRule>
  </conditionalFormatting>
  <conditionalFormatting sqref="C10:D10">
    <cfRule type="dataBar" priority="38">
      <dataBar>
        <cfvo type="min"/>
        <cfvo type="max"/>
        <color rgb="FF008AEF"/>
      </dataBar>
      <extLst>
        <ext xmlns:x14="http://schemas.microsoft.com/office/spreadsheetml/2009/9/main" uri="{B025F937-C7B1-47D3-B67F-A62EFF666E3E}">
          <x14:id>{02E425DD-6B9E-41B1-86A8-852B76CF849E}</x14:id>
        </ext>
      </extLst>
    </cfRule>
  </conditionalFormatting>
  <conditionalFormatting sqref="C11:D11">
    <cfRule type="dataBar" priority="37">
      <dataBar>
        <cfvo type="min"/>
        <cfvo type="max"/>
        <color rgb="FF008AEF"/>
      </dataBar>
      <extLst>
        <ext xmlns:x14="http://schemas.microsoft.com/office/spreadsheetml/2009/9/main" uri="{B025F937-C7B1-47D3-B67F-A62EFF666E3E}">
          <x14:id>{A66A4553-B22B-42CA-AE40-28E001A14708}</x14:id>
        </ext>
      </extLst>
    </cfRule>
  </conditionalFormatting>
  <conditionalFormatting sqref="C12:D12">
    <cfRule type="dataBar" priority="36">
      <dataBar>
        <cfvo type="min"/>
        <cfvo type="max"/>
        <color rgb="FF008AEF"/>
      </dataBar>
      <extLst>
        <ext xmlns:x14="http://schemas.microsoft.com/office/spreadsheetml/2009/9/main" uri="{B025F937-C7B1-47D3-B67F-A62EFF666E3E}">
          <x14:id>{A6868941-AA17-4B98-9B37-01A057E08CD8}</x14:id>
        </ext>
      </extLst>
    </cfRule>
  </conditionalFormatting>
  <conditionalFormatting sqref="C13:D13">
    <cfRule type="dataBar" priority="35">
      <dataBar>
        <cfvo type="min"/>
        <cfvo type="max"/>
        <color rgb="FF008AEF"/>
      </dataBar>
      <extLst>
        <ext xmlns:x14="http://schemas.microsoft.com/office/spreadsheetml/2009/9/main" uri="{B025F937-C7B1-47D3-B67F-A62EFF666E3E}">
          <x14:id>{760FE29F-DCCF-4713-B6B9-561062C0E1ED}</x14:id>
        </ext>
      </extLst>
    </cfRule>
  </conditionalFormatting>
  <conditionalFormatting sqref="C14:D14">
    <cfRule type="dataBar" priority="34">
      <dataBar>
        <cfvo type="min"/>
        <cfvo type="max"/>
        <color rgb="FF008AEF"/>
      </dataBar>
      <extLst>
        <ext xmlns:x14="http://schemas.microsoft.com/office/spreadsheetml/2009/9/main" uri="{B025F937-C7B1-47D3-B67F-A62EFF666E3E}">
          <x14:id>{F9E6F57F-D456-474C-87E3-700FAAD0B48D}</x14:id>
        </ext>
      </extLst>
    </cfRule>
  </conditionalFormatting>
  <conditionalFormatting sqref="C15:D15">
    <cfRule type="dataBar" priority="33">
      <dataBar>
        <cfvo type="min"/>
        <cfvo type="max"/>
        <color rgb="FF008AEF"/>
      </dataBar>
      <extLst>
        <ext xmlns:x14="http://schemas.microsoft.com/office/spreadsheetml/2009/9/main" uri="{B025F937-C7B1-47D3-B67F-A62EFF666E3E}">
          <x14:id>{DEB5CDED-AEB3-465C-813D-36F08374CDB8}</x14:id>
        </ext>
      </extLst>
    </cfRule>
  </conditionalFormatting>
  <conditionalFormatting sqref="C16:D16">
    <cfRule type="dataBar" priority="32">
      <dataBar>
        <cfvo type="min"/>
        <cfvo type="max"/>
        <color rgb="FF008AEF"/>
      </dataBar>
      <extLst>
        <ext xmlns:x14="http://schemas.microsoft.com/office/spreadsheetml/2009/9/main" uri="{B025F937-C7B1-47D3-B67F-A62EFF666E3E}">
          <x14:id>{131F0F9D-C3D9-495A-9DBC-3349CB9CAFF2}</x14:id>
        </ext>
      </extLst>
    </cfRule>
  </conditionalFormatting>
  <conditionalFormatting sqref="C17:D17">
    <cfRule type="dataBar" priority="31">
      <dataBar>
        <cfvo type="min"/>
        <cfvo type="max"/>
        <color rgb="FF008AEF"/>
      </dataBar>
      <extLst>
        <ext xmlns:x14="http://schemas.microsoft.com/office/spreadsheetml/2009/9/main" uri="{B025F937-C7B1-47D3-B67F-A62EFF666E3E}">
          <x14:id>{CF3B2C53-D831-4F96-BCC8-2E368A7365C6}</x14:id>
        </ext>
      </extLst>
    </cfRule>
  </conditionalFormatting>
  <conditionalFormatting sqref="C18:D18">
    <cfRule type="dataBar" priority="30">
      <dataBar>
        <cfvo type="min"/>
        <cfvo type="max"/>
        <color rgb="FF008AEF"/>
      </dataBar>
      <extLst>
        <ext xmlns:x14="http://schemas.microsoft.com/office/spreadsheetml/2009/9/main" uri="{B025F937-C7B1-47D3-B67F-A62EFF666E3E}">
          <x14:id>{B48DD858-DE66-417D-A791-B8C5987E8BBD}</x14:id>
        </ext>
      </extLst>
    </cfRule>
  </conditionalFormatting>
  <conditionalFormatting sqref="C19:D19">
    <cfRule type="dataBar" priority="29">
      <dataBar>
        <cfvo type="min"/>
        <cfvo type="max"/>
        <color rgb="FF008AEF"/>
      </dataBar>
      <extLst>
        <ext xmlns:x14="http://schemas.microsoft.com/office/spreadsheetml/2009/9/main" uri="{B025F937-C7B1-47D3-B67F-A62EFF666E3E}">
          <x14:id>{DAFF1138-B2C9-4B26-A481-843D24E1781E}</x14:id>
        </ext>
      </extLst>
    </cfRule>
  </conditionalFormatting>
  <conditionalFormatting sqref="C20:D20">
    <cfRule type="dataBar" priority="28">
      <dataBar>
        <cfvo type="min"/>
        <cfvo type="max"/>
        <color rgb="FF008AEF"/>
      </dataBar>
      <extLst>
        <ext xmlns:x14="http://schemas.microsoft.com/office/spreadsheetml/2009/9/main" uri="{B025F937-C7B1-47D3-B67F-A62EFF666E3E}">
          <x14:id>{86DCA30D-51E3-479D-9852-3DDBA86A96ED}</x14:id>
        </ext>
      </extLst>
    </cfRule>
  </conditionalFormatting>
  <conditionalFormatting sqref="C21:D21">
    <cfRule type="dataBar" priority="27">
      <dataBar>
        <cfvo type="min"/>
        <cfvo type="max"/>
        <color rgb="FF008AEF"/>
      </dataBar>
      <extLst>
        <ext xmlns:x14="http://schemas.microsoft.com/office/spreadsheetml/2009/9/main" uri="{B025F937-C7B1-47D3-B67F-A62EFF666E3E}">
          <x14:id>{86A14584-F386-44C8-B262-B88F08E6010E}</x14:id>
        </ext>
      </extLst>
    </cfRule>
  </conditionalFormatting>
  <conditionalFormatting sqref="C22:D22">
    <cfRule type="dataBar" priority="26">
      <dataBar>
        <cfvo type="min"/>
        <cfvo type="max"/>
        <color rgb="FF008AEF"/>
      </dataBar>
      <extLst>
        <ext xmlns:x14="http://schemas.microsoft.com/office/spreadsheetml/2009/9/main" uri="{B025F937-C7B1-47D3-B67F-A62EFF666E3E}">
          <x14:id>{BEB930F8-3F39-439D-ACE4-AA8F795A0E21}</x14:id>
        </ext>
      </extLst>
    </cfRule>
  </conditionalFormatting>
  <conditionalFormatting sqref="C23:D23">
    <cfRule type="dataBar" priority="25">
      <dataBar>
        <cfvo type="min"/>
        <cfvo type="max"/>
        <color rgb="FF008AEF"/>
      </dataBar>
      <extLst>
        <ext xmlns:x14="http://schemas.microsoft.com/office/spreadsheetml/2009/9/main" uri="{B025F937-C7B1-47D3-B67F-A62EFF666E3E}">
          <x14:id>{B3FD12C6-9AE0-4BF2-B77C-5F07DDD5CFC1}</x14:id>
        </ext>
      </extLst>
    </cfRule>
  </conditionalFormatting>
  <conditionalFormatting sqref="C24:D24">
    <cfRule type="dataBar" priority="24">
      <dataBar>
        <cfvo type="min"/>
        <cfvo type="max"/>
        <color rgb="FF008AEF"/>
      </dataBar>
      <extLst>
        <ext xmlns:x14="http://schemas.microsoft.com/office/spreadsheetml/2009/9/main" uri="{B025F937-C7B1-47D3-B67F-A62EFF666E3E}">
          <x14:id>{558E69D3-C563-44F4-8881-FA50457A1DC0}</x14:id>
        </ext>
      </extLst>
    </cfRule>
  </conditionalFormatting>
  <conditionalFormatting sqref="C25:D25">
    <cfRule type="dataBar" priority="23">
      <dataBar>
        <cfvo type="min"/>
        <cfvo type="max"/>
        <color rgb="FF008AEF"/>
      </dataBar>
      <extLst>
        <ext xmlns:x14="http://schemas.microsoft.com/office/spreadsheetml/2009/9/main" uri="{B025F937-C7B1-47D3-B67F-A62EFF666E3E}">
          <x14:id>{053E0428-0255-485F-8EFC-DAC4D6B4A4DC}</x14:id>
        </ext>
      </extLst>
    </cfRule>
  </conditionalFormatting>
  <conditionalFormatting sqref="C26:D26">
    <cfRule type="dataBar" priority="22">
      <dataBar>
        <cfvo type="min"/>
        <cfvo type="max"/>
        <color rgb="FF008AEF"/>
      </dataBar>
      <extLst>
        <ext xmlns:x14="http://schemas.microsoft.com/office/spreadsheetml/2009/9/main" uri="{B025F937-C7B1-47D3-B67F-A62EFF666E3E}">
          <x14:id>{B8F7A10E-0CDC-4E15-8DD6-23BEE79ED483}</x14:id>
        </ext>
      </extLst>
    </cfRule>
  </conditionalFormatting>
  <conditionalFormatting sqref="C27:D27">
    <cfRule type="dataBar" priority="21">
      <dataBar>
        <cfvo type="min"/>
        <cfvo type="max"/>
        <color rgb="FF008AEF"/>
      </dataBar>
      <extLst>
        <ext xmlns:x14="http://schemas.microsoft.com/office/spreadsheetml/2009/9/main" uri="{B025F937-C7B1-47D3-B67F-A62EFF666E3E}">
          <x14:id>{A29AADE2-AD7E-4E11-B173-C58250602350}</x14:id>
        </ext>
      </extLst>
    </cfRule>
  </conditionalFormatting>
  <conditionalFormatting sqref="C28:D28">
    <cfRule type="dataBar" priority="20">
      <dataBar>
        <cfvo type="min"/>
        <cfvo type="max"/>
        <color rgb="FF008AEF"/>
      </dataBar>
      <extLst>
        <ext xmlns:x14="http://schemas.microsoft.com/office/spreadsheetml/2009/9/main" uri="{B025F937-C7B1-47D3-B67F-A62EFF666E3E}">
          <x14:id>{523217A9-4C12-4A4E-9E29-E2E9F59E8842}</x14:id>
        </ext>
      </extLst>
    </cfRule>
  </conditionalFormatting>
  <conditionalFormatting sqref="C29:D29">
    <cfRule type="dataBar" priority="19">
      <dataBar>
        <cfvo type="min"/>
        <cfvo type="max"/>
        <color rgb="FF008AEF"/>
      </dataBar>
      <extLst>
        <ext xmlns:x14="http://schemas.microsoft.com/office/spreadsheetml/2009/9/main" uri="{B025F937-C7B1-47D3-B67F-A62EFF666E3E}">
          <x14:id>{F90DE1B5-21A3-43EF-9C52-585433A379CD}</x14:id>
        </ext>
      </extLst>
    </cfRule>
  </conditionalFormatting>
  <conditionalFormatting sqref="C30:D30">
    <cfRule type="dataBar" priority="18">
      <dataBar>
        <cfvo type="min"/>
        <cfvo type="max"/>
        <color rgb="FF008AEF"/>
      </dataBar>
      <extLst>
        <ext xmlns:x14="http://schemas.microsoft.com/office/spreadsheetml/2009/9/main" uri="{B025F937-C7B1-47D3-B67F-A62EFF666E3E}">
          <x14:id>{1D4A5FEC-1815-446F-974B-20815AEC9458}</x14:id>
        </ext>
      </extLst>
    </cfRule>
  </conditionalFormatting>
  <conditionalFormatting sqref="C31:D31">
    <cfRule type="dataBar" priority="17">
      <dataBar>
        <cfvo type="min"/>
        <cfvo type="max"/>
        <color rgb="FF008AEF"/>
      </dataBar>
      <extLst>
        <ext xmlns:x14="http://schemas.microsoft.com/office/spreadsheetml/2009/9/main" uri="{B025F937-C7B1-47D3-B67F-A62EFF666E3E}">
          <x14:id>{0608BC9A-7BB4-4B1F-893C-788F1B3070FC}</x14:id>
        </ext>
      </extLst>
    </cfRule>
  </conditionalFormatting>
  <conditionalFormatting sqref="C32:D32">
    <cfRule type="dataBar" priority="16">
      <dataBar>
        <cfvo type="min"/>
        <cfvo type="max"/>
        <color rgb="FF008AEF"/>
      </dataBar>
      <extLst>
        <ext xmlns:x14="http://schemas.microsoft.com/office/spreadsheetml/2009/9/main" uri="{B025F937-C7B1-47D3-B67F-A62EFF666E3E}">
          <x14:id>{4DAA3B8B-2B0D-428D-BFC9-EE9739B83A35}</x14:id>
        </ext>
      </extLst>
    </cfRule>
  </conditionalFormatting>
  <conditionalFormatting sqref="C33:D33">
    <cfRule type="dataBar" priority="15">
      <dataBar>
        <cfvo type="min"/>
        <cfvo type="max"/>
        <color rgb="FF008AEF"/>
      </dataBar>
      <extLst>
        <ext xmlns:x14="http://schemas.microsoft.com/office/spreadsheetml/2009/9/main" uri="{B025F937-C7B1-47D3-B67F-A62EFF666E3E}">
          <x14:id>{B485F0A7-9C57-4861-BE2C-02F698FFF171}</x14:id>
        </ext>
      </extLst>
    </cfRule>
  </conditionalFormatting>
  <conditionalFormatting sqref="C34:D34">
    <cfRule type="dataBar" priority="14">
      <dataBar>
        <cfvo type="min"/>
        <cfvo type="max"/>
        <color rgb="FF008AEF"/>
      </dataBar>
      <extLst>
        <ext xmlns:x14="http://schemas.microsoft.com/office/spreadsheetml/2009/9/main" uri="{B025F937-C7B1-47D3-B67F-A62EFF666E3E}">
          <x14:id>{47D390BB-1FA9-4778-B386-9766C9334335}</x14:id>
        </ext>
      </extLst>
    </cfRule>
  </conditionalFormatting>
  <conditionalFormatting sqref="E3:F30 E31:O34">
    <cfRule type="cellIs" dxfId="18" priority="3" operator="greaterThan">
      <formula>0</formula>
    </cfRule>
  </conditionalFormatting>
  <conditionalFormatting sqref="G7:O30">
    <cfRule type="cellIs" dxfId="17" priority="12" operator="greaterThan">
      <formula>0</formula>
    </cfRule>
  </conditionalFormatting>
  <conditionalFormatting sqref="G3:P6">
    <cfRule type="cellIs" dxfId="16" priority="4"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1DFF9D12-A239-4C78-985E-7B37E0639501}">
            <x14:dataBar minLength="0" maxLength="100" gradient="0">
              <x14:cfvo type="autoMin"/>
              <x14:cfvo type="autoMax"/>
              <x14:negativeFillColor rgb="FFFF0000"/>
              <x14:axisColor rgb="FF000000"/>
            </x14:dataBar>
          </x14:cfRule>
          <xm:sqref>C3:D3 D4:D6</xm:sqref>
        </x14:conditionalFormatting>
        <x14:conditionalFormatting xmlns:xm="http://schemas.microsoft.com/office/excel/2006/main">
          <x14:cfRule type="dataBar" id="{C93EBD2A-BAB7-4C7B-965A-490229286A64}">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D8B3E8FA-771D-47E4-914D-EE142A073289}">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7DCEFBC0-8A25-4012-B050-ED5B9324607C}">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A16B348B-F85D-4A49-9612-E30CAD588C6B}">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92DDD3E7-E1EF-457C-AC10-A6BC11E44BD2}">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9FC264AA-E7F1-4104-9C2B-256BE6FD4677}">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02E425DD-6B9E-41B1-86A8-852B76CF849E}">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A66A4553-B22B-42CA-AE40-28E001A14708}">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A6868941-AA17-4B98-9B37-01A057E08CD8}">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760FE29F-DCCF-4713-B6B9-561062C0E1ED}">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F9E6F57F-D456-474C-87E3-700FAAD0B48D}">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DEB5CDED-AEB3-465C-813D-36F08374CDB8}">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131F0F9D-C3D9-495A-9DBC-3349CB9CAFF2}">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CF3B2C53-D831-4F96-BCC8-2E368A7365C6}">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B48DD858-DE66-417D-A791-B8C5987E8BBD}">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DAFF1138-B2C9-4B26-A481-843D24E1781E}">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86DCA30D-51E3-479D-9852-3DDBA86A96ED}">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86A14584-F386-44C8-B262-B88F08E6010E}">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BEB930F8-3F39-439D-ACE4-AA8F795A0E21}">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B3FD12C6-9AE0-4BF2-B77C-5F07DDD5CFC1}">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558E69D3-C563-44F4-8881-FA50457A1DC0}">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053E0428-0255-485F-8EFC-DAC4D6B4A4DC}">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B8F7A10E-0CDC-4E15-8DD6-23BEE79ED483}">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A29AADE2-AD7E-4E11-B173-C58250602350}">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523217A9-4C12-4A4E-9E29-E2E9F59E8842}">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F90DE1B5-21A3-43EF-9C52-585433A379CD}">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1D4A5FEC-1815-446F-974B-20815AEC9458}">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0608BC9A-7BB4-4B1F-893C-788F1B3070FC}">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4DAA3B8B-2B0D-428D-BFC9-EE9739B83A35}">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B485F0A7-9C57-4861-BE2C-02F698FFF171}">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47D390BB-1FA9-4778-B386-9766C9334335}">
            <x14:dataBar minLength="0" maxLength="100" gradient="0">
              <x14:cfvo type="autoMin"/>
              <x14:cfvo type="autoMax"/>
              <x14:negativeFillColor rgb="FFFF0000"/>
              <x14:axisColor rgb="FF000000"/>
            </x14:dataBar>
          </x14:cfRule>
          <xm:sqref>C34:D34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P41"/>
  <sheetViews>
    <sheetView zoomScale="80" zoomScaleNormal="80" workbookViewId="0">
      <selection activeCell="K6" sqref="K6"/>
    </sheetView>
  </sheetViews>
  <sheetFormatPr baseColWidth="10" defaultColWidth="11.42578125" defaultRowHeight="15" x14ac:dyDescent="0.25"/>
  <cols>
    <col min="1" max="1" width="5.28515625" style="2" customWidth="1"/>
    <col min="2" max="2" width="88.85546875" style="2" customWidth="1"/>
    <col min="3" max="3" width="11.42578125" style="2"/>
    <col min="4" max="4" width="22.42578125" style="2" customWidth="1"/>
    <col min="5" max="9" width="17.28515625" style="2" customWidth="1"/>
    <col min="10" max="16384" width="11.42578125" style="2"/>
  </cols>
  <sheetData>
    <row r="1" spans="1:16" ht="61.5" customHeight="1" x14ac:dyDescent="0.25">
      <c r="A1" s="46" t="s">
        <v>1</v>
      </c>
      <c r="B1" s="26" t="s">
        <v>34</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7"/>
      <c r="B2" s="26"/>
      <c r="C2" s="3">
        <v>2026</v>
      </c>
      <c r="D2" s="3" t="s">
        <v>16</v>
      </c>
      <c r="E2" s="27"/>
      <c r="F2" s="27"/>
      <c r="G2" s="27"/>
      <c r="H2" s="27"/>
      <c r="I2" s="27"/>
      <c r="J2" s="27"/>
      <c r="K2" s="27"/>
      <c r="L2" s="27"/>
      <c r="M2" s="27"/>
      <c r="N2" s="27"/>
      <c r="O2" s="27"/>
      <c r="P2" s="27"/>
    </row>
    <row r="3" spans="1:16" ht="81" customHeight="1" x14ac:dyDescent="0.25">
      <c r="A3" s="42" t="s">
        <v>18</v>
      </c>
      <c r="B3" s="12" t="s">
        <v>35</v>
      </c>
      <c r="C3" s="6">
        <v>1</v>
      </c>
      <c r="D3" s="24">
        <f t="shared" ref="D3:D10" si="0">SUM(E3:P3)</f>
        <v>1</v>
      </c>
      <c r="E3" s="29"/>
      <c r="F3" s="29"/>
      <c r="G3" s="29">
        <v>1</v>
      </c>
      <c r="H3" s="29"/>
      <c r="I3" s="29"/>
      <c r="J3" s="29"/>
      <c r="K3" s="29"/>
      <c r="L3" s="29"/>
      <c r="M3" s="29"/>
      <c r="N3" s="29"/>
      <c r="O3" s="29"/>
      <c r="P3" s="29"/>
    </row>
    <row r="4" spans="1:16" ht="81" customHeight="1" x14ac:dyDescent="0.25">
      <c r="A4" s="42" t="s">
        <v>18</v>
      </c>
      <c r="B4" s="12" t="s">
        <v>36</v>
      </c>
      <c r="C4" s="31">
        <v>1</v>
      </c>
      <c r="D4" s="24">
        <f t="shared" si="0"/>
        <v>1</v>
      </c>
      <c r="E4" s="29"/>
      <c r="F4" s="29"/>
      <c r="G4" s="29"/>
      <c r="H4" s="29">
        <v>1</v>
      </c>
      <c r="I4" s="29"/>
      <c r="J4" s="29"/>
      <c r="K4" s="29"/>
      <c r="L4" s="29"/>
      <c r="M4" s="29"/>
      <c r="N4" s="29"/>
      <c r="O4" s="29"/>
      <c r="P4" s="29"/>
    </row>
    <row r="5" spans="1:16" ht="81" customHeight="1" x14ac:dyDescent="0.25">
      <c r="A5" s="44" t="s">
        <v>22</v>
      </c>
      <c r="B5" s="14" t="s">
        <v>37</v>
      </c>
      <c r="C5" s="33">
        <v>1</v>
      </c>
      <c r="D5" s="24">
        <f t="shared" si="0"/>
        <v>1</v>
      </c>
      <c r="E5" s="29"/>
      <c r="F5" s="29"/>
      <c r="G5" s="29"/>
      <c r="H5" s="29"/>
      <c r="I5" s="29"/>
      <c r="J5" s="29">
        <v>1</v>
      </c>
      <c r="K5" s="29"/>
      <c r="L5" s="29"/>
      <c r="M5" s="29"/>
      <c r="N5" s="29"/>
      <c r="O5" s="29"/>
      <c r="P5" s="29"/>
    </row>
    <row r="6" spans="1:16" ht="81" customHeight="1" x14ac:dyDescent="0.25">
      <c r="A6" s="42" t="s">
        <v>18</v>
      </c>
      <c r="B6" s="12" t="s">
        <v>27</v>
      </c>
      <c r="C6" s="34">
        <v>1</v>
      </c>
      <c r="D6" s="24">
        <f t="shared" si="0"/>
        <v>0</v>
      </c>
      <c r="E6" s="29"/>
      <c r="F6" s="29"/>
      <c r="G6" s="29"/>
      <c r="H6" s="29"/>
      <c r="I6" s="29"/>
      <c r="J6" s="29"/>
      <c r="K6" s="29"/>
      <c r="L6" s="29"/>
      <c r="M6" s="29"/>
      <c r="N6" s="29"/>
      <c r="O6" s="29"/>
      <c r="P6" s="29"/>
    </row>
    <row r="7" spans="1:16" ht="81" customHeight="1" x14ac:dyDescent="0.25">
      <c r="A7" s="42" t="s">
        <v>18</v>
      </c>
      <c r="B7" s="12" t="s">
        <v>28</v>
      </c>
      <c r="C7" s="34">
        <v>1</v>
      </c>
      <c r="D7" s="24">
        <f t="shared" si="0"/>
        <v>1</v>
      </c>
      <c r="E7" s="29"/>
      <c r="F7" s="29"/>
      <c r="G7" s="29"/>
      <c r="H7" s="29"/>
      <c r="I7" s="29">
        <v>1</v>
      </c>
      <c r="J7" s="29"/>
      <c r="K7" s="29"/>
      <c r="L7" s="29"/>
      <c r="M7" s="29"/>
      <c r="N7" s="29"/>
      <c r="O7" s="29"/>
      <c r="P7" s="29"/>
    </row>
    <row r="8" spans="1:16" ht="81" customHeight="1" x14ac:dyDescent="0.25">
      <c r="A8" s="42" t="s">
        <v>18</v>
      </c>
      <c r="B8" s="12" t="s">
        <v>38</v>
      </c>
      <c r="C8" s="34">
        <v>2</v>
      </c>
      <c r="D8" s="24">
        <f t="shared" si="0"/>
        <v>0</v>
      </c>
      <c r="E8" s="29"/>
      <c r="F8" s="29"/>
      <c r="G8" s="29"/>
      <c r="H8" s="29"/>
      <c r="I8" s="29"/>
      <c r="J8" s="29"/>
      <c r="K8" s="29"/>
      <c r="L8" s="29"/>
      <c r="M8" s="29"/>
      <c r="N8" s="29"/>
      <c r="O8" s="29"/>
      <c r="P8" s="29"/>
    </row>
    <row r="9" spans="1:16" ht="81" customHeight="1" x14ac:dyDescent="0.25">
      <c r="A9" s="43" t="s">
        <v>20</v>
      </c>
      <c r="B9" s="10" t="s">
        <v>39</v>
      </c>
      <c r="C9" s="34">
        <v>1</v>
      </c>
      <c r="D9" s="24">
        <f t="shared" si="0"/>
        <v>1</v>
      </c>
      <c r="E9" s="29">
        <v>0</v>
      </c>
      <c r="F9" s="29">
        <v>0</v>
      </c>
      <c r="G9" s="29">
        <v>0</v>
      </c>
      <c r="H9" s="29">
        <v>1</v>
      </c>
      <c r="I9" s="29"/>
      <c r="J9" s="29"/>
      <c r="K9" s="29"/>
      <c r="L9" s="29"/>
      <c r="M9" s="29"/>
      <c r="N9" s="29"/>
      <c r="O9" s="29"/>
      <c r="P9" s="29"/>
    </row>
    <row r="10" spans="1:16" ht="81" customHeight="1" x14ac:dyDescent="0.25">
      <c r="A10" s="43" t="s">
        <v>20</v>
      </c>
      <c r="B10" s="15" t="s">
        <v>40</v>
      </c>
      <c r="C10" s="34">
        <v>2</v>
      </c>
      <c r="D10" s="24">
        <f t="shared" si="0"/>
        <v>0</v>
      </c>
      <c r="E10" s="29"/>
      <c r="F10" s="29"/>
      <c r="G10" s="29"/>
      <c r="H10" s="29"/>
      <c r="I10" s="29"/>
      <c r="J10" s="29"/>
      <c r="K10" s="29"/>
      <c r="L10" s="29"/>
      <c r="M10" s="29"/>
      <c r="N10" s="29"/>
      <c r="O10" s="29"/>
      <c r="P10" s="29"/>
    </row>
    <row r="11" spans="1:16" ht="81" customHeight="1" x14ac:dyDescent="0.25">
      <c r="A11" s="42" t="s">
        <v>18</v>
      </c>
      <c r="B11" s="12" t="s">
        <v>35</v>
      </c>
      <c r="C11" s="34">
        <v>1</v>
      </c>
      <c r="D11" s="24">
        <f>SUM(E11:P11)</f>
        <v>0</v>
      </c>
      <c r="E11" s="29"/>
      <c r="F11" s="29"/>
      <c r="G11" s="29"/>
      <c r="H11" s="29"/>
      <c r="I11" s="29"/>
      <c r="J11" s="29"/>
      <c r="K11" s="29"/>
      <c r="L11" s="29"/>
      <c r="M11" s="29"/>
      <c r="N11" s="29"/>
      <c r="O11" s="29"/>
      <c r="P11" s="29"/>
    </row>
    <row r="12" spans="1:16" ht="28.5" customHeight="1" x14ac:dyDescent="0.25">
      <c r="A12" s="48" t="s">
        <v>75</v>
      </c>
      <c r="B12" s="35" t="s">
        <v>76</v>
      </c>
      <c r="C12" s="34">
        <v>3</v>
      </c>
      <c r="D12" s="24">
        <f t="shared" ref="D12:D39" si="1">SUM(E12:O12)</f>
        <v>1</v>
      </c>
      <c r="E12" s="29"/>
      <c r="F12" s="29">
        <v>1</v>
      </c>
      <c r="G12" s="29"/>
      <c r="H12" s="29"/>
      <c r="I12" s="29"/>
      <c r="J12" s="29"/>
      <c r="K12" s="29"/>
      <c r="L12" s="29"/>
      <c r="M12" s="29"/>
      <c r="N12" s="29"/>
      <c r="O12" s="29"/>
      <c r="P12" s="36"/>
    </row>
    <row r="13" spans="1:16" ht="28.5" customHeight="1" x14ac:dyDescent="0.25">
      <c r="A13" s="49"/>
      <c r="B13" s="35" t="s">
        <v>77</v>
      </c>
      <c r="C13" s="34">
        <v>3</v>
      </c>
      <c r="D13" s="24">
        <f t="shared" si="1"/>
        <v>0</v>
      </c>
      <c r="E13" s="29"/>
      <c r="F13" s="29"/>
      <c r="G13" s="29"/>
      <c r="H13" s="29"/>
      <c r="I13" s="29"/>
      <c r="J13" s="29"/>
      <c r="K13" s="29"/>
      <c r="L13" s="29"/>
      <c r="M13" s="29"/>
      <c r="N13" s="29"/>
      <c r="O13" s="29"/>
      <c r="P13" s="36"/>
    </row>
    <row r="14" spans="1:16" ht="28.5" customHeight="1" x14ac:dyDescent="0.25">
      <c r="A14" s="49"/>
      <c r="B14" s="35" t="s">
        <v>78</v>
      </c>
      <c r="C14" s="34">
        <v>32</v>
      </c>
      <c r="D14" s="24">
        <f t="shared" si="1"/>
        <v>10</v>
      </c>
      <c r="E14" s="29">
        <v>2</v>
      </c>
      <c r="F14" s="29">
        <v>1</v>
      </c>
      <c r="G14" s="29">
        <v>5</v>
      </c>
      <c r="H14" s="29">
        <v>2</v>
      </c>
      <c r="I14" s="29"/>
      <c r="J14" s="29"/>
      <c r="K14" s="29"/>
      <c r="L14" s="29"/>
      <c r="M14" s="29"/>
      <c r="N14" s="29"/>
      <c r="O14" s="29"/>
      <c r="P14" s="36"/>
    </row>
    <row r="15" spans="1:16" ht="28.5" customHeight="1" x14ac:dyDescent="0.25">
      <c r="A15" s="49"/>
      <c r="B15" s="35" t="s">
        <v>79</v>
      </c>
      <c r="C15" s="34">
        <v>8</v>
      </c>
      <c r="D15" s="24">
        <f t="shared" si="1"/>
        <v>8</v>
      </c>
      <c r="E15" s="29"/>
      <c r="F15" s="29"/>
      <c r="G15" s="29"/>
      <c r="H15" s="29">
        <v>8</v>
      </c>
      <c r="I15" s="29"/>
      <c r="J15" s="29"/>
      <c r="K15" s="29"/>
      <c r="L15" s="29"/>
      <c r="M15" s="29"/>
      <c r="N15" s="29"/>
      <c r="O15" s="29"/>
      <c r="P15" s="36"/>
    </row>
    <row r="16" spans="1:16" ht="28.5" customHeight="1" x14ac:dyDescent="0.25">
      <c r="A16" s="49"/>
      <c r="B16" s="35" t="s">
        <v>80</v>
      </c>
      <c r="C16" s="34">
        <v>0</v>
      </c>
      <c r="D16" s="24">
        <f t="shared" si="1"/>
        <v>0</v>
      </c>
      <c r="E16" s="29"/>
      <c r="F16" s="29"/>
      <c r="G16" s="29"/>
      <c r="H16" s="29"/>
      <c r="I16" s="29"/>
      <c r="J16" s="29"/>
      <c r="K16" s="29"/>
      <c r="L16" s="29"/>
      <c r="M16" s="29"/>
      <c r="N16" s="29"/>
      <c r="O16" s="29"/>
      <c r="P16" s="36"/>
    </row>
    <row r="17" spans="1:16" ht="28.5" customHeight="1" x14ac:dyDescent="0.25">
      <c r="A17" s="49"/>
      <c r="B17" s="35" t="s">
        <v>81</v>
      </c>
      <c r="C17" s="34">
        <v>8</v>
      </c>
      <c r="D17" s="24">
        <f t="shared" si="1"/>
        <v>0</v>
      </c>
      <c r="E17" s="29"/>
      <c r="F17" s="29"/>
      <c r="G17" s="29"/>
      <c r="H17" s="29"/>
      <c r="I17" s="29"/>
      <c r="J17" s="29"/>
      <c r="K17" s="29"/>
      <c r="L17" s="29"/>
      <c r="M17" s="29"/>
      <c r="N17" s="29"/>
      <c r="O17" s="29"/>
      <c r="P17" s="36"/>
    </row>
    <row r="18" spans="1:16" ht="28.5" customHeight="1" x14ac:dyDescent="0.25">
      <c r="A18" s="49"/>
      <c r="B18" s="35" t="s">
        <v>82</v>
      </c>
      <c r="C18" s="34">
        <v>0</v>
      </c>
      <c r="D18" s="24">
        <f t="shared" si="1"/>
        <v>0</v>
      </c>
      <c r="E18" s="29"/>
      <c r="F18" s="29"/>
      <c r="G18" s="29"/>
      <c r="H18" s="29"/>
      <c r="I18" s="29"/>
      <c r="J18" s="29"/>
      <c r="K18" s="29"/>
      <c r="L18" s="29"/>
      <c r="M18" s="29"/>
      <c r="N18" s="29"/>
      <c r="O18" s="29"/>
      <c r="P18" s="36"/>
    </row>
    <row r="19" spans="1:16" ht="28.5" customHeight="1" x14ac:dyDescent="0.25">
      <c r="A19" s="49"/>
      <c r="B19" s="35" t="s">
        <v>83</v>
      </c>
      <c r="C19" s="34">
        <v>2</v>
      </c>
      <c r="D19" s="24">
        <f t="shared" si="1"/>
        <v>0</v>
      </c>
      <c r="E19" s="29"/>
      <c r="F19" s="29"/>
      <c r="G19" s="29"/>
      <c r="H19" s="29"/>
      <c r="I19" s="29"/>
      <c r="J19" s="29"/>
      <c r="K19" s="29"/>
      <c r="L19" s="29"/>
      <c r="M19" s="29"/>
      <c r="N19" s="29"/>
      <c r="O19" s="29"/>
      <c r="P19" s="36"/>
    </row>
    <row r="20" spans="1:16" ht="28.5" customHeight="1" x14ac:dyDescent="0.25">
      <c r="A20" s="49"/>
      <c r="B20" s="35" t="s">
        <v>84</v>
      </c>
      <c r="C20" s="34">
        <v>0</v>
      </c>
      <c r="D20" s="24">
        <f t="shared" si="1"/>
        <v>0</v>
      </c>
      <c r="E20" s="29"/>
      <c r="F20" s="29"/>
      <c r="G20" s="29"/>
      <c r="H20" s="29"/>
      <c r="I20" s="29"/>
      <c r="J20" s="29"/>
      <c r="K20" s="29"/>
      <c r="L20" s="29"/>
      <c r="M20" s="29"/>
      <c r="N20" s="29"/>
      <c r="O20" s="29"/>
      <c r="P20" s="36"/>
    </row>
    <row r="21" spans="1:16" ht="28.5" customHeight="1" x14ac:dyDescent="0.25">
      <c r="A21" s="49"/>
      <c r="B21" s="35" t="s">
        <v>85</v>
      </c>
      <c r="C21" s="34">
        <v>1</v>
      </c>
      <c r="D21" s="24">
        <f t="shared" si="1"/>
        <v>0</v>
      </c>
      <c r="E21" s="29"/>
      <c r="F21" s="29"/>
      <c r="G21" s="29"/>
      <c r="H21" s="29"/>
      <c r="I21" s="29"/>
      <c r="J21" s="29"/>
      <c r="K21" s="29"/>
      <c r="L21" s="29"/>
      <c r="M21" s="29"/>
      <c r="N21" s="29"/>
      <c r="O21" s="29"/>
      <c r="P21" s="36"/>
    </row>
    <row r="22" spans="1:16" ht="28.5" customHeight="1" x14ac:dyDescent="0.25">
      <c r="A22" s="49"/>
      <c r="B22" s="35" t="s">
        <v>86</v>
      </c>
      <c r="C22" s="34">
        <v>0</v>
      </c>
      <c r="D22" s="24">
        <f t="shared" si="1"/>
        <v>0</v>
      </c>
      <c r="E22" s="29"/>
      <c r="F22" s="29"/>
      <c r="G22" s="29"/>
      <c r="H22" s="29"/>
      <c r="I22" s="29"/>
      <c r="J22" s="29"/>
      <c r="K22" s="29"/>
      <c r="L22" s="29"/>
      <c r="M22" s="29"/>
      <c r="N22" s="29"/>
      <c r="O22" s="29"/>
      <c r="P22" s="36"/>
    </row>
    <row r="23" spans="1:16" ht="28.5" customHeight="1" x14ac:dyDescent="0.25">
      <c r="A23" s="49"/>
      <c r="B23" s="35" t="s">
        <v>87</v>
      </c>
      <c r="C23" s="34">
        <v>0</v>
      </c>
      <c r="D23" s="24">
        <f t="shared" si="1"/>
        <v>0</v>
      </c>
      <c r="E23" s="29"/>
      <c r="F23" s="29"/>
      <c r="G23" s="29"/>
      <c r="H23" s="29"/>
      <c r="I23" s="29"/>
      <c r="J23" s="29"/>
      <c r="K23" s="29"/>
      <c r="L23" s="29"/>
      <c r="M23" s="29"/>
      <c r="N23" s="29"/>
      <c r="O23" s="29"/>
      <c r="P23" s="36"/>
    </row>
    <row r="24" spans="1:16" ht="28.5" customHeight="1" x14ac:dyDescent="0.25">
      <c r="A24" s="49"/>
      <c r="B24" s="35" t="s">
        <v>88</v>
      </c>
      <c r="C24" s="34">
        <v>4</v>
      </c>
      <c r="D24" s="24">
        <f t="shared" si="1"/>
        <v>0</v>
      </c>
      <c r="E24" s="29"/>
      <c r="F24" s="29"/>
      <c r="G24" s="29"/>
      <c r="H24" s="29"/>
      <c r="I24" s="29"/>
      <c r="J24" s="29"/>
      <c r="K24" s="29"/>
      <c r="L24" s="29"/>
      <c r="M24" s="29"/>
      <c r="N24" s="29"/>
      <c r="O24" s="29"/>
      <c r="P24" s="36"/>
    </row>
    <row r="25" spans="1:16" ht="28.5" customHeight="1" x14ac:dyDescent="0.25">
      <c r="A25" s="49"/>
      <c r="B25" s="35" t="s">
        <v>89</v>
      </c>
      <c r="C25" s="34">
        <v>1</v>
      </c>
      <c r="D25" s="24">
        <f t="shared" si="1"/>
        <v>0</v>
      </c>
      <c r="E25" s="29"/>
      <c r="F25" s="29"/>
      <c r="G25" s="29"/>
      <c r="H25" s="29"/>
      <c r="I25" s="29"/>
      <c r="J25" s="29"/>
      <c r="K25" s="29"/>
      <c r="L25" s="29"/>
      <c r="M25" s="29"/>
      <c r="N25" s="29"/>
      <c r="O25" s="29"/>
      <c r="P25" s="36"/>
    </row>
    <row r="26" spans="1:16" ht="28.5" customHeight="1" x14ac:dyDescent="0.25">
      <c r="A26" s="49"/>
      <c r="B26" s="35" t="s">
        <v>90</v>
      </c>
      <c r="C26" s="34">
        <v>111</v>
      </c>
      <c r="D26" s="24">
        <f t="shared" si="1"/>
        <v>34</v>
      </c>
      <c r="E26" s="29">
        <v>3</v>
      </c>
      <c r="F26" s="29">
        <v>3</v>
      </c>
      <c r="G26" s="29">
        <v>28</v>
      </c>
      <c r="H26" s="29"/>
      <c r="I26" s="29"/>
      <c r="J26" s="29"/>
      <c r="K26" s="29"/>
      <c r="L26" s="29"/>
      <c r="M26" s="29"/>
      <c r="N26" s="29"/>
      <c r="O26" s="29"/>
      <c r="P26" s="36"/>
    </row>
    <row r="27" spans="1:16" ht="28.5" customHeight="1" x14ac:dyDescent="0.25">
      <c r="A27" s="49"/>
      <c r="B27" s="35" t="s">
        <v>91</v>
      </c>
      <c r="C27" s="34">
        <v>1</v>
      </c>
      <c r="D27" s="24">
        <f t="shared" si="1"/>
        <v>0</v>
      </c>
      <c r="E27" s="29"/>
      <c r="F27" s="29"/>
      <c r="G27" s="29"/>
      <c r="H27" s="29"/>
      <c r="I27" s="29"/>
      <c r="J27" s="29"/>
      <c r="K27" s="29"/>
      <c r="L27" s="29"/>
      <c r="M27" s="29"/>
      <c r="N27" s="29"/>
      <c r="O27" s="29"/>
      <c r="P27" s="36"/>
    </row>
    <row r="28" spans="1:16" ht="24" customHeight="1" x14ac:dyDescent="0.25">
      <c r="A28" s="49"/>
      <c r="B28" s="37" t="s">
        <v>92</v>
      </c>
      <c r="C28" s="34">
        <v>3</v>
      </c>
      <c r="D28" s="24">
        <f t="shared" si="1"/>
        <v>3</v>
      </c>
      <c r="E28" s="29"/>
      <c r="F28" s="29"/>
      <c r="G28" s="29">
        <v>3</v>
      </c>
      <c r="H28" s="29"/>
      <c r="I28" s="29"/>
      <c r="J28" s="29"/>
      <c r="K28" s="29"/>
      <c r="L28" s="29"/>
      <c r="M28" s="29"/>
      <c r="N28" s="29"/>
      <c r="O28" s="29"/>
      <c r="P28" s="36"/>
    </row>
    <row r="29" spans="1:16" ht="24" customHeight="1" x14ac:dyDescent="0.25">
      <c r="A29" s="49"/>
      <c r="B29" s="37" t="s">
        <v>93</v>
      </c>
      <c r="C29" s="34">
        <v>3</v>
      </c>
      <c r="D29" s="24">
        <f t="shared" si="1"/>
        <v>3</v>
      </c>
      <c r="E29" s="29"/>
      <c r="F29" s="29"/>
      <c r="G29" s="29"/>
      <c r="H29" s="29">
        <v>3</v>
      </c>
      <c r="I29" s="29"/>
      <c r="J29" s="29"/>
      <c r="K29" s="29"/>
      <c r="L29" s="29"/>
      <c r="M29" s="29"/>
      <c r="N29" s="29"/>
      <c r="O29" s="29"/>
      <c r="P29" s="36"/>
    </row>
    <row r="30" spans="1:16" ht="24" customHeight="1" x14ac:dyDescent="0.25">
      <c r="A30" s="49"/>
      <c r="B30" s="37" t="s">
        <v>94</v>
      </c>
      <c r="C30" s="34">
        <v>3</v>
      </c>
      <c r="D30" s="24">
        <f t="shared" si="1"/>
        <v>3</v>
      </c>
      <c r="E30" s="29"/>
      <c r="F30" s="29"/>
      <c r="G30" s="29"/>
      <c r="H30" s="29"/>
      <c r="I30" s="29">
        <v>3</v>
      </c>
      <c r="J30" s="29"/>
      <c r="K30" s="29"/>
      <c r="L30" s="29"/>
      <c r="M30" s="29"/>
      <c r="N30" s="29"/>
      <c r="O30" s="29"/>
      <c r="P30" s="36"/>
    </row>
    <row r="31" spans="1:16" ht="24" customHeight="1" x14ac:dyDescent="0.25">
      <c r="A31" s="49"/>
      <c r="B31" s="37" t="s">
        <v>95</v>
      </c>
      <c r="C31" s="34">
        <v>3</v>
      </c>
      <c r="D31" s="24">
        <f t="shared" si="1"/>
        <v>0</v>
      </c>
      <c r="E31" s="29"/>
      <c r="F31" s="29"/>
      <c r="G31" s="29"/>
      <c r="H31" s="29"/>
      <c r="I31" s="29"/>
      <c r="J31" s="29"/>
      <c r="K31" s="29"/>
      <c r="L31" s="29"/>
      <c r="M31" s="29"/>
      <c r="N31" s="29"/>
      <c r="O31" s="29"/>
      <c r="P31" s="36"/>
    </row>
    <row r="32" spans="1:16" ht="24" customHeight="1" x14ac:dyDescent="0.25">
      <c r="A32" s="49"/>
      <c r="B32" s="37" t="s">
        <v>96</v>
      </c>
      <c r="C32" s="34">
        <v>3</v>
      </c>
      <c r="D32" s="24">
        <f t="shared" si="1"/>
        <v>0</v>
      </c>
      <c r="E32" s="29"/>
      <c r="F32" s="29"/>
      <c r="G32" s="29"/>
      <c r="H32" s="29"/>
      <c r="I32" s="29"/>
      <c r="J32" s="29"/>
      <c r="K32" s="29"/>
      <c r="L32" s="29"/>
      <c r="M32" s="29"/>
      <c r="N32" s="29"/>
      <c r="O32" s="29"/>
      <c r="P32" s="36"/>
    </row>
    <row r="33" spans="1:16" ht="24" customHeight="1" x14ac:dyDescent="0.25">
      <c r="A33" s="49"/>
      <c r="B33" s="37" t="s">
        <v>97</v>
      </c>
      <c r="C33" s="34">
        <v>1</v>
      </c>
      <c r="D33" s="24">
        <f t="shared" si="1"/>
        <v>0</v>
      </c>
      <c r="E33" s="29"/>
      <c r="F33" s="29"/>
      <c r="G33" s="29"/>
      <c r="H33" s="29"/>
      <c r="I33" s="29"/>
      <c r="J33" s="29"/>
      <c r="K33" s="29"/>
      <c r="L33" s="29"/>
      <c r="M33" s="29"/>
      <c r="N33" s="29"/>
      <c r="O33" s="29"/>
      <c r="P33" s="36"/>
    </row>
    <row r="34" spans="1:16" ht="24" customHeight="1" x14ac:dyDescent="0.25">
      <c r="A34" s="49"/>
      <c r="B34" s="37" t="s">
        <v>98</v>
      </c>
      <c r="C34" s="34">
        <v>1</v>
      </c>
      <c r="D34" s="24">
        <f t="shared" si="1"/>
        <v>0</v>
      </c>
      <c r="E34" s="29"/>
      <c r="F34" s="29"/>
      <c r="G34" s="29"/>
      <c r="H34" s="29"/>
      <c r="I34" s="29"/>
      <c r="J34" s="29"/>
      <c r="K34" s="29"/>
      <c r="L34" s="29"/>
      <c r="M34" s="29"/>
      <c r="N34" s="29"/>
      <c r="O34" s="29"/>
      <c r="P34" s="36"/>
    </row>
    <row r="35" spans="1:16" ht="24" customHeight="1" x14ac:dyDescent="0.25">
      <c r="A35" s="49"/>
      <c r="B35" s="37" t="s">
        <v>99</v>
      </c>
      <c r="C35" s="34">
        <v>1</v>
      </c>
      <c r="D35" s="24">
        <f t="shared" si="1"/>
        <v>0</v>
      </c>
      <c r="E35" s="29"/>
      <c r="F35" s="29"/>
      <c r="G35" s="29"/>
      <c r="H35" s="29"/>
      <c r="I35" s="29"/>
      <c r="J35" s="29"/>
      <c r="K35" s="29"/>
      <c r="L35" s="29"/>
      <c r="M35" s="29"/>
      <c r="N35" s="29"/>
      <c r="O35" s="29"/>
      <c r="P35" s="36"/>
    </row>
    <row r="36" spans="1:16" ht="24" customHeight="1" x14ac:dyDescent="0.25">
      <c r="A36" s="49"/>
      <c r="B36" s="37" t="s">
        <v>100</v>
      </c>
      <c r="C36" s="34">
        <v>1</v>
      </c>
      <c r="D36" s="24">
        <f t="shared" si="1"/>
        <v>0</v>
      </c>
      <c r="E36" s="29"/>
      <c r="F36" s="29"/>
      <c r="G36" s="29"/>
      <c r="H36" s="29"/>
      <c r="I36" s="29"/>
      <c r="J36" s="29"/>
      <c r="K36" s="29"/>
      <c r="L36" s="29"/>
      <c r="M36" s="29"/>
      <c r="N36" s="29"/>
      <c r="O36" s="29"/>
      <c r="P36" s="36"/>
    </row>
    <row r="37" spans="1:16" ht="24" customHeight="1" x14ac:dyDescent="0.25">
      <c r="A37" s="49"/>
      <c r="B37" s="37" t="s">
        <v>101</v>
      </c>
      <c r="C37" s="34">
        <v>1</v>
      </c>
      <c r="D37" s="24">
        <f t="shared" si="1"/>
        <v>0</v>
      </c>
      <c r="E37" s="29"/>
      <c r="F37" s="29"/>
      <c r="G37" s="29"/>
      <c r="H37" s="29"/>
      <c r="I37" s="29"/>
      <c r="J37" s="29"/>
      <c r="K37" s="29"/>
      <c r="L37" s="29"/>
      <c r="M37" s="29"/>
      <c r="N37" s="29"/>
      <c r="O37" s="29"/>
      <c r="P37" s="36"/>
    </row>
    <row r="38" spans="1:16" ht="24" customHeight="1" x14ac:dyDescent="0.25">
      <c r="A38" s="49"/>
      <c r="B38" s="37" t="s">
        <v>102</v>
      </c>
      <c r="C38" s="34">
        <v>1</v>
      </c>
      <c r="D38" s="24">
        <f t="shared" si="1"/>
        <v>0</v>
      </c>
      <c r="E38" s="29"/>
      <c r="F38" s="29"/>
      <c r="G38" s="29"/>
      <c r="H38" s="29"/>
      <c r="I38" s="29"/>
      <c r="J38" s="29"/>
      <c r="K38" s="29"/>
      <c r="L38" s="29"/>
      <c r="M38" s="29"/>
      <c r="N38" s="29"/>
      <c r="O38" s="29"/>
      <c r="P38" s="36"/>
    </row>
    <row r="39" spans="1:16" ht="24" customHeight="1" thickBot="1" x14ac:dyDescent="0.3">
      <c r="A39" s="50"/>
      <c r="B39" s="38" t="s">
        <v>103</v>
      </c>
      <c r="C39" s="34">
        <v>1</v>
      </c>
      <c r="D39" s="24">
        <f t="shared" si="1"/>
        <v>0</v>
      </c>
      <c r="E39" s="29"/>
      <c r="F39" s="29"/>
      <c r="G39" s="29"/>
      <c r="H39" s="29"/>
      <c r="I39" s="29"/>
      <c r="J39" s="29"/>
      <c r="K39" s="29"/>
      <c r="L39" s="29"/>
      <c r="M39" s="29"/>
      <c r="N39" s="29"/>
      <c r="O39" s="29"/>
      <c r="P39" s="36"/>
    </row>
    <row r="40" spans="1:16" x14ac:dyDescent="0.25">
      <c r="C40" s="39">
        <f>SUM(C3:C39)</f>
        <v>207</v>
      </c>
      <c r="D40" s="40">
        <f>SUM(D3:D39)</f>
        <v>67</v>
      </c>
    </row>
    <row r="41" spans="1:16" x14ac:dyDescent="0.25">
      <c r="C41" s="17"/>
      <c r="D41" s="41">
        <f>D40/C40</f>
        <v>0.32367149758454106</v>
      </c>
    </row>
  </sheetData>
  <sheetProtection algorithmName="SHA-512" hashValue="KTPsUDn+kV66kZ7QhDV12h5qXCpUvPY0GEKyeJx9C+eWbg66A8BgkEcMc2xBKES+jrCE9nuG/GrB0HRJWEJ89g==" saltValue="8g9UETwSo58VU5FDbYiFWg==" spinCount="100000" sheet="1" objects="1" scenarios="1" autoFilter="0"/>
  <mergeCells count="2">
    <mergeCell ref="A1:A2"/>
    <mergeCell ref="A12:A39"/>
  </mergeCells>
  <conditionalFormatting sqref="C10">
    <cfRule type="dataBar" priority="2">
      <dataBar>
        <cfvo type="min"/>
        <cfvo type="max"/>
        <color rgb="FF008AEF"/>
      </dataBar>
      <extLst>
        <ext xmlns:x14="http://schemas.microsoft.com/office/spreadsheetml/2009/9/main" uri="{B025F937-C7B1-47D3-B67F-A62EFF666E3E}">
          <x14:id>{D4A6BC31-3C73-45A4-B37E-C10FB9152F2B}</x14:id>
        </ext>
      </extLst>
    </cfRule>
  </conditionalFormatting>
  <conditionalFormatting sqref="C3:D3 D4:D11">
    <cfRule type="dataBar" priority="5">
      <dataBar>
        <cfvo type="min"/>
        <cfvo type="max"/>
        <color rgb="FF008AEF"/>
      </dataBar>
      <extLst>
        <ext xmlns:x14="http://schemas.microsoft.com/office/spreadsheetml/2009/9/main" uri="{B025F937-C7B1-47D3-B67F-A62EFF666E3E}">
          <x14:id>{A69169AC-C30D-4538-8CE1-C81FD9F1D47A}</x14:id>
        </ext>
      </extLst>
    </cfRule>
  </conditionalFormatting>
  <conditionalFormatting sqref="C4:D4">
    <cfRule type="dataBar" priority="6">
      <dataBar>
        <cfvo type="min"/>
        <cfvo type="max"/>
        <color rgb="FF008AEF"/>
      </dataBar>
      <extLst>
        <ext xmlns:x14="http://schemas.microsoft.com/office/spreadsheetml/2009/9/main" uri="{B025F937-C7B1-47D3-B67F-A62EFF666E3E}">
          <x14:id>{46905960-1F85-4075-8039-3A2647CF44F5}</x14:id>
        </ext>
      </extLst>
    </cfRule>
  </conditionalFormatting>
  <conditionalFormatting sqref="C5:D5">
    <cfRule type="dataBar" priority="7">
      <dataBar>
        <cfvo type="min"/>
        <cfvo type="max"/>
        <color rgb="FF008AEF"/>
      </dataBar>
      <extLst>
        <ext xmlns:x14="http://schemas.microsoft.com/office/spreadsheetml/2009/9/main" uri="{B025F937-C7B1-47D3-B67F-A62EFF666E3E}">
          <x14:id>{8AFA0DEF-0974-4B7F-B5F5-E2B395F0126A}</x14:id>
        </ext>
      </extLst>
    </cfRule>
  </conditionalFormatting>
  <conditionalFormatting sqref="C6:D6">
    <cfRule type="dataBar" priority="8">
      <dataBar>
        <cfvo type="min"/>
        <cfvo type="max"/>
        <color rgb="FF008AEF"/>
      </dataBar>
      <extLst>
        <ext xmlns:x14="http://schemas.microsoft.com/office/spreadsheetml/2009/9/main" uri="{B025F937-C7B1-47D3-B67F-A62EFF666E3E}">
          <x14:id>{91965CF3-F15E-4EAB-AE29-B80B54EB6487}</x14:id>
        </ext>
      </extLst>
    </cfRule>
  </conditionalFormatting>
  <conditionalFormatting sqref="C7:D7">
    <cfRule type="dataBar" priority="9">
      <dataBar>
        <cfvo type="min"/>
        <cfvo type="max"/>
        <color rgb="FF008AEF"/>
      </dataBar>
      <extLst>
        <ext xmlns:x14="http://schemas.microsoft.com/office/spreadsheetml/2009/9/main" uri="{B025F937-C7B1-47D3-B67F-A62EFF666E3E}">
          <x14:id>{73D1D27F-A63B-49CC-88E9-B0F5CD495309}</x14:id>
        </ext>
      </extLst>
    </cfRule>
  </conditionalFormatting>
  <conditionalFormatting sqref="C8:D8">
    <cfRule type="dataBar" priority="10">
      <dataBar>
        <cfvo type="min"/>
        <cfvo type="max"/>
        <color rgb="FF008AEF"/>
      </dataBar>
      <extLst>
        <ext xmlns:x14="http://schemas.microsoft.com/office/spreadsheetml/2009/9/main" uri="{B025F937-C7B1-47D3-B67F-A62EFF666E3E}">
          <x14:id>{4460A384-A78D-43AD-8A64-6F3024567415}</x14:id>
        </ext>
      </extLst>
    </cfRule>
  </conditionalFormatting>
  <conditionalFormatting sqref="C9:D9">
    <cfRule type="dataBar" priority="11">
      <dataBar>
        <cfvo type="min"/>
        <cfvo type="max"/>
        <color rgb="FF008AEF"/>
      </dataBar>
      <extLst>
        <ext xmlns:x14="http://schemas.microsoft.com/office/spreadsheetml/2009/9/main" uri="{B025F937-C7B1-47D3-B67F-A62EFF666E3E}">
          <x14:id>{709F6B7B-03AC-4E19-9BA3-32E50DFF9C42}</x14:id>
        </ext>
      </extLst>
    </cfRule>
  </conditionalFormatting>
  <conditionalFormatting sqref="C11:D11">
    <cfRule type="dataBar" priority="1">
      <dataBar>
        <cfvo type="min"/>
        <cfvo type="max"/>
        <color rgb="FF008AEF"/>
      </dataBar>
      <extLst>
        <ext xmlns:x14="http://schemas.microsoft.com/office/spreadsheetml/2009/9/main" uri="{B025F937-C7B1-47D3-B67F-A62EFF666E3E}">
          <x14:id>{678C9264-E454-4B26-B361-1219B3AD21F0}</x14:id>
        </ext>
      </extLst>
    </cfRule>
  </conditionalFormatting>
  <conditionalFormatting sqref="C12:D12">
    <cfRule type="dataBar" priority="13">
      <dataBar>
        <cfvo type="min"/>
        <cfvo type="max"/>
        <color rgb="FF008AEF"/>
      </dataBar>
      <extLst>
        <ext xmlns:x14="http://schemas.microsoft.com/office/spreadsheetml/2009/9/main" uri="{B025F937-C7B1-47D3-B67F-A62EFF666E3E}">
          <x14:id>{C3170CBA-CB3E-4EEA-83DD-932A6DBCB924}</x14:id>
        </ext>
      </extLst>
    </cfRule>
  </conditionalFormatting>
  <conditionalFormatting sqref="C13:D13">
    <cfRule type="dataBar" priority="40">
      <dataBar>
        <cfvo type="min"/>
        <cfvo type="max"/>
        <color rgb="FF008AEF"/>
      </dataBar>
      <extLst>
        <ext xmlns:x14="http://schemas.microsoft.com/office/spreadsheetml/2009/9/main" uri="{B025F937-C7B1-47D3-B67F-A62EFF666E3E}">
          <x14:id>{525E3DB6-5A1C-4CE2-94F9-8F138ADBCAF8}</x14:id>
        </ext>
      </extLst>
    </cfRule>
  </conditionalFormatting>
  <conditionalFormatting sqref="C14:D14">
    <cfRule type="dataBar" priority="39">
      <dataBar>
        <cfvo type="min"/>
        <cfvo type="max"/>
        <color rgb="FF008AEF"/>
      </dataBar>
      <extLst>
        <ext xmlns:x14="http://schemas.microsoft.com/office/spreadsheetml/2009/9/main" uri="{B025F937-C7B1-47D3-B67F-A62EFF666E3E}">
          <x14:id>{A4298A71-2075-4E1C-977C-28ADE7778781}</x14:id>
        </ext>
      </extLst>
    </cfRule>
  </conditionalFormatting>
  <conditionalFormatting sqref="C15:D15">
    <cfRule type="dataBar" priority="38">
      <dataBar>
        <cfvo type="min"/>
        <cfvo type="max"/>
        <color rgb="FF008AEF"/>
      </dataBar>
      <extLst>
        <ext xmlns:x14="http://schemas.microsoft.com/office/spreadsheetml/2009/9/main" uri="{B025F937-C7B1-47D3-B67F-A62EFF666E3E}">
          <x14:id>{F31F9F8A-CBC9-4B60-A96D-905AEE8AF60A}</x14:id>
        </ext>
      </extLst>
    </cfRule>
  </conditionalFormatting>
  <conditionalFormatting sqref="C16:D16">
    <cfRule type="dataBar" priority="37">
      <dataBar>
        <cfvo type="min"/>
        <cfvo type="max"/>
        <color rgb="FF008AEF"/>
      </dataBar>
      <extLst>
        <ext xmlns:x14="http://schemas.microsoft.com/office/spreadsheetml/2009/9/main" uri="{B025F937-C7B1-47D3-B67F-A62EFF666E3E}">
          <x14:id>{739202D7-A9B3-4E14-B992-FCF2DADADCCD}</x14:id>
        </ext>
      </extLst>
    </cfRule>
  </conditionalFormatting>
  <conditionalFormatting sqref="C17:D17">
    <cfRule type="dataBar" priority="36">
      <dataBar>
        <cfvo type="min"/>
        <cfvo type="max"/>
        <color rgb="FF008AEF"/>
      </dataBar>
      <extLst>
        <ext xmlns:x14="http://schemas.microsoft.com/office/spreadsheetml/2009/9/main" uri="{B025F937-C7B1-47D3-B67F-A62EFF666E3E}">
          <x14:id>{40B370AD-6AC9-402D-8E7D-1428C1CE8F87}</x14:id>
        </ext>
      </extLst>
    </cfRule>
  </conditionalFormatting>
  <conditionalFormatting sqref="C18:D18">
    <cfRule type="dataBar" priority="35">
      <dataBar>
        <cfvo type="min"/>
        <cfvo type="max"/>
        <color rgb="FF008AEF"/>
      </dataBar>
      <extLst>
        <ext xmlns:x14="http://schemas.microsoft.com/office/spreadsheetml/2009/9/main" uri="{B025F937-C7B1-47D3-B67F-A62EFF666E3E}">
          <x14:id>{2617FEA7-C915-40A3-ADDE-D01600555494}</x14:id>
        </ext>
      </extLst>
    </cfRule>
  </conditionalFormatting>
  <conditionalFormatting sqref="C19:D19">
    <cfRule type="dataBar" priority="34">
      <dataBar>
        <cfvo type="min"/>
        <cfvo type="max"/>
        <color rgb="FF008AEF"/>
      </dataBar>
      <extLst>
        <ext xmlns:x14="http://schemas.microsoft.com/office/spreadsheetml/2009/9/main" uri="{B025F937-C7B1-47D3-B67F-A62EFF666E3E}">
          <x14:id>{ECC8F5E0-B164-47F5-8307-62D8FD6AFF52}</x14:id>
        </ext>
      </extLst>
    </cfRule>
  </conditionalFormatting>
  <conditionalFormatting sqref="C20:D20">
    <cfRule type="dataBar" priority="33">
      <dataBar>
        <cfvo type="min"/>
        <cfvo type="max"/>
        <color rgb="FF008AEF"/>
      </dataBar>
      <extLst>
        <ext xmlns:x14="http://schemas.microsoft.com/office/spreadsheetml/2009/9/main" uri="{B025F937-C7B1-47D3-B67F-A62EFF666E3E}">
          <x14:id>{C4DB7909-6BEF-4061-A5CC-54283E150171}</x14:id>
        </ext>
      </extLst>
    </cfRule>
  </conditionalFormatting>
  <conditionalFormatting sqref="C21:D21">
    <cfRule type="dataBar" priority="32">
      <dataBar>
        <cfvo type="min"/>
        <cfvo type="max"/>
        <color rgb="FF008AEF"/>
      </dataBar>
      <extLst>
        <ext xmlns:x14="http://schemas.microsoft.com/office/spreadsheetml/2009/9/main" uri="{B025F937-C7B1-47D3-B67F-A62EFF666E3E}">
          <x14:id>{36A899FE-6C48-4607-B472-F499A7EE43AE}</x14:id>
        </ext>
      </extLst>
    </cfRule>
  </conditionalFormatting>
  <conditionalFormatting sqref="C22:D22">
    <cfRule type="dataBar" priority="31">
      <dataBar>
        <cfvo type="min"/>
        <cfvo type="max"/>
        <color rgb="FF008AEF"/>
      </dataBar>
      <extLst>
        <ext xmlns:x14="http://schemas.microsoft.com/office/spreadsheetml/2009/9/main" uri="{B025F937-C7B1-47D3-B67F-A62EFF666E3E}">
          <x14:id>{D7958B08-70F3-42D1-9A4C-3BCC798C9075}</x14:id>
        </ext>
      </extLst>
    </cfRule>
  </conditionalFormatting>
  <conditionalFormatting sqref="C23:D23">
    <cfRule type="dataBar" priority="30">
      <dataBar>
        <cfvo type="min"/>
        <cfvo type="max"/>
        <color rgb="FF008AEF"/>
      </dataBar>
      <extLst>
        <ext xmlns:x14="http://schemas.microsoft.com/office/spreadsheetml/2009/9/main" uri="{B025F937-C7B1-47D3-B67F-A62EFF666E3E}">
          <x14:id>{4A517480-0734-4D19-AE55-2182806E17FA}</x14:id>
        </ext>
      </extLst>
    </cfRule>
  </conditionalFormatting>
  <conditionalFormatting sqref="C24:D24">
    <cfRule type="dataBar" priority="29">
      <dataBar>
        <cfvo type="min"/>
        <cfvo type="max"/>
        <color rgb="FF008AEF"/>
      </dataBar>
      <extLst>
        <ext xmlns:x14="http://schemas.microsoft.com/office/spreadsheetml/2009/9/main" uri="{B025F937-C7B1-47D3-B67F-A62EFF666E3E}">
          <x14:id>{088AEFD5-BDC4-4E0B-83E1-77DD344CEC3C}</x14:id>
        </ext>
      </extLst>
    </cfRule>
  </conditionalFormatting>
  <conditionalFormatting sqref="C25:D25">
    <cfRule type="dataBar" priority="28">
      <dataBar>
        <cfvo type="min"/>
        <cfvo type="max"/>
        <color rgb="FF008AEF"/>
      </dataBar>
      <extLst>
        <ext xmlns:x14="http://schemas.microsoft.com/office/spreadsheetml/2009/9/main" uri="{B025F937-C7B1-47D3-B67F-A62EFF666E3E}">
          <x14:id>{922015A5-DABF-4873-A06C-DC63FE851A6C}</x14:id>
        </ext>
      </extLst>
    </cfRule>
  </conditionalFormatting>
  <conditionalFormatting sqref="C26:D26">
    <cfRule type="dataBar" priority="27">
      <dataBar>
        <cfvo type="min"/>
        <cfvo type="max"/>
        <color rgb="FF008AEF"/>
      </dataBar>
      <extLst>
        <ext xmlns:x14="http://schemas.microsoft.com/office/spreadsheetml/2009/9/main" uri="{B025F937-C7B1-47D3-B67F-A62EFF666E3E}">
          <x14:id>{0BC52098-0799-4171-8C38-36D24EABA418}</x14:id>
        </ext>
      </extLst>
    </cfRule>
  </conditionalFormatting>
  <conditionalFormatting sqref="C27:D27">
    <cfRule type="dataBar" priority="26">
      <dataBar>
        <cfvo type="min"/>
        <cfvo type="max"/>
        <color rgb="FF008AEF"/>
      </dataBar>
      <extLst>
        <ext xmlns:x14="http://schemas.microsoft.com/office/spreadsheetml/2009/9/main" uri="{B025F937-C7B1-47D3-B67F-A62EFF666E3E}">
          <x14:id>{E3BBF198-4B83-459E-AB29-ACAC8CF1F931}</x14:id>
        </ext>
      </extLst>
    </cfRule>
  </conditionalFormatting>
  <conditionalFormatting sqref="C28:D28">
    <cfRule type="dataBar" priority="25">
      <dataBar>
        <cfvo type="min"/>
        <cfvo type="max"/>
        <color rgb="FF008AEF"/>
      </dataBar>
      <extLst>
        <ext xmlns:x14="http://schemas.microsoft.com/office/spreadsheetml/2009/9/main" uri="{B025F937-C7B1-47D3-B67F-A62EFF666E3E}">
          <x14:id>{91CB40A5-B692-4589-89B7-22E57EE3D59D}</x14:id>
        </ext>
      </extLst>
    </cfRule>
  </conditionalFormatting>
  <conditionalFormatting sqref="C29:D29">
    <cfRule type="dataBar" priority="24">
      <dataBar>
        <cfvo type="min"/>
        <cfvo type="max"/>
        <color rgb="FF008AEF"/>
      </dataBar>
      <extLst>
        <ext xmlns:x14="http://schemas.microsoft.com/office/spreadsheetml/2009/9/main" uri="{B025F937-C7B1-47D3-B67F-A62EFF666E3E}">
          <x14:id>{C3D9D22B-DE8E-4D99-910B-AD8955A5F1FF}</x14:id>
        </ext>
      </extLst>
    </cfRule>
  </conditionalFormatting>
  <conditionalFormatting sqref="C30:D30">
    <cfRule type="dataBar" priority="23">
      <dataBar>
        <cfvo type="min"/>
        <cfvo type="max"/>
        <color rgb="FF008AEF"/>
      </dataBar>
      <extLst>
        <ext xmlns:x14="http://schemas.microsoft.com/office/spreadsheetml/2009/9/main" uri="{B025F937-C7B1-47D3-B67F-A62EFF666E3E}">
          <x14:id>{E4F90D13-DFA0-4C66-9C4D-40D60D204BAB}</x14:id>
        </ext>
      </extLst>
    </cfRule>
  </conditionalFormatting>
  <conditionalFormatting sqref="C31:D31">
    <cfRule type="dataBar" priority="22">
      <dataBar>
        <cfvo type="min"/>
        <cfvo type="max"/>
        <color rgb="FF008AEF"/>
      </dataBar>
      <extLst>
        <ext xmlns:x14="http://schemas.microsoft.com/office/spreadsheetml/2009/9/main" uri="{B025F937-C7B1-47D3-B67F-A62EFF666E3E}">
          <x14:id>{C08EB046-5099-4152-BC34-814A217185C2}</x14:id>
        </ext>
      </extLst>
    </cfRule>
  </conditionalFormatting>
  <conditionalFormatting sqref="C32:D32">
    <cfRule type="dataBar" priority="21">
      <dataBar>
        <cfvo type="min"/>
        <cfvo type="max"/>
        <color rgb="FF008AEF"/>
      </dataBar>
      <extLst>
        <ext xmlns:x14="http://schemas.microsoft.com/office/spreadsheetml/2009/9/main" uri="{B025F937-C7B1-47D3-B67F-A62EFF666E3E}">
          <x14:id>{CBF13B53-04E0-4A38-9518-78505E51CDD3}</x14:id>
        </ext>
      </extLst>
    </cfRule>
  </conditionalFormatting>
  <conditionalFormatting sqref="C33:D33">
    <cfRule type="dataBar" priority="20">
      <dataBar>
        <cfvo type="min"/>
        <cfvo type="max"/>
        <color rgb="FF008AEF"/>
      </dataBar>
      <extLst>
        <ext xmlns:x14="http://schemas.microsoft.com/office/spreadsheetml/2009/9/main" uri="{B025F937-C7B1-47D3-B67F-A62EFF666E3E}">
          <x14:id>{3F46C637-C748-48B3-9609-672AF383D21F}</x14:id>
        </ext>
      </extLst>
    </cfRule>
  </conditionalFormatting>
  <conditionalFormatting sqref="C34:D34">
    <cfRule type="dataBar" priority="19">
      <dataBar>
        <cfvo type="min"/>
        <cfvo type="max"/>
        <color rgb="FF008AEF"/>
      </dataBar>
      <extLst>
        <ext xmlns:x14="http://schemas.microsoft.com/office/spreadsheetml/2009/9/main" uri="{B025F937-C7B1-47D3-B67F-A62EFF666E3E}">
          <x14:id>{66E6C030-80A4-4074-A249-8F189DD23C87}</x14:id>
        </ext>
      </extLst>
    </cfRule>
  </conditionalFormatting>
  <conditionalFormatting sqref="C35:D35">
    <cfRule type="dataBar" priority="18">
      <dataBar>
        <cfvo type="min"/>
        <cfvo type="max"/>
        <color rgb="FF008AEF"/>
      </dataBar>
      <extLst>
        <ext xmlns:x14="http://schemas.microsoft.com/office/spreadsheetml/2009/9/main" uri="{B025F937-C7B1-47D3-B67F-A62EFF666E3E}">
          <x14:id>{F999B7AD-9583-41F0-80F0-3BBD04D52468}</x14:id>
        </ext>
      </extLst>
    </cfRule>
  </conditionalFormatting>
  <conditionalFormatting sqref="C36:D36">
    <cfRule type="dataBar" priority="17">
      <dataBar>
        <cfvo type="min"/>
        <cfvo type="max"/>
        <color rgb="FF008AEF"/>
      </dataBar>
      <extLst>
        <ext xmlns:x14="http://schemas.microsoft.com/office/spreadsheetml/2009/9/main" uri="{B025F937-C7B1-47D3-B67F-A62EFF666E3E}">
          <x14:id>{1692F67A-4BA9-4F0A-B77A-C92456BEE4E3}</x14:id>
        </ext>
      </extLst>
    </cfRule>
  </conditionalFormatting>
  <conditionalFormatting sqref="C37:D37">
    <cfRule type="dataBar" priority="16">
      <dataBar>
        <cfvo type="min"/>
        <cfvo type="max"/>
        <color rgb="FF008AEF"/>
      </dataBar>
      <extLst>
        <ext xmlns:x14="http://schemas.microsoft.com/office/spreadsheetml/2009/9/main" uri="{B025F937-C7B1-47D3-B67F-A62EFF666E3E}">
          <x14:id>{520641C2-68F0-41B1-9FDA-70F3408C8BE6}</x14:id>
        </ext>
      </extLst>
    </cfRule>
  </conditionalFormatting>
  <conditionalFormatting sqref="C38:D38">
    <cfRule type="dataBar" priority="15">
      <dataBar>
        <cfvo type="min"/>
        <cfvo type="max"/>
        <color rgb="FF008AEF"/>
      </dataBar>
      <extLst>
        <ext xmlns:x14="http://schemas.microsoft.com/office/spreadsheetml/2009/9/main" uri="{B025F937-C7B1-47D3-B67F-A62EFF666E3E}">
          <x14:id>{91684D19-9A76-46D1-AFD8-50A9DF025EAA}</x14:id>
        </ext>
      </extLst>
    </cfRule>
  </conditionalFormatting>
  <conditionalFormatting sqref="C39:D39">
    <cfRule type="dataBar" priority="14">
      <dataBar>
        <cfvo type="min"/>
        <cfvo type="max"/>
        <color rgb="FF008AEF"/>
      </dataBar>
      <extLst>
        <ext xmlns:x14="http://schemas.microsoft.com/office/spreadsheetml/2009/9/main" uri="{B025F937-C7B1-47D3-B67F-A62EFF666E3E}">
          <x14:id>{2627261C-30AE-4630-B286-3DAB05F6BC3D}</x14:id>
        </ext>
      </extLst>
    </cfRule>
  </conditionalFormatting>
  <conditionalFormatting sqref="E3:F35 E36:O39">
    <cfRule type="cellIs" dxfId="15" priority="3" operator="greaterThan">
      <formula>0</formula>
    </cfRule>
  </conditionalFormatting>
  <conditionalFormatting sqref="G12:O35">
    <cfRule type="cellIs" dxfId="14" priority="12" operator="greaterThan">
      <formula>0</formula>
    </cfRule>
  </conditionalFormatting>
  <conditionalFormatting sqref="G3:P11">
    <cfRule type="cellIs" dxfId="13" priority="4"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4A6BC31-3C73-45A4-B37E-C10FB9152F2B}">
            <x14:dataBar minLength="0" maxLength="100" gradient="0">
              <x14:cfvo type="autoMin"/>
              <x14:cfvo type="autoMax"/>
              <x14:negativeFillColor rgb="FFFF0000"/>
              <x14:axisColor rgb="FF000000"/>
            </x14:dataBar>
          </x14:cfRule>
          <xm:sqref>C10</xm:sqref>
        </x14:conditionalFormatting>
        <x14:conditionalFormatting xmlns:xm="http://schemas.microsoft.com/office/excel/2006/main">
          <x14:cfRule type="dataBar" id="{A69169AC-C30D-4538-8CE1-C81FD9F1D47A}">
            <x14:dataBar minLength="0" maxLength="100" gradient="0">
              <x14:cfvo type="autoMin"/>
              <x14:cfvo type="autoMax"/>
              <x14:negativeFillColor rgb="FFFF0000"/>
              <x14:axisColor rgb="FF000000"/>
            </x14:dataBar>
          </x14:cfRule>
          <xm:sqref>C3:D3 D4:D11</xm:sqref>
        </x14:conditionalFormatting>
        <x14:conditionalFormatting xmlns:xm="http://schemas.microsoft.com/office/excel/2006/main">
          <x14:cfRule type="dataBar" id="{46905960-1F85-4075-8039-3A2647CF44F5}">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8AFA0DEF-0974-4B7F-B5F5-E2B395F0126A}">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91965CF3-F15E-4EAB-AE29-B80B54EB6487}">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73D1D27F-A63B-49CC-88E9-B0F5CD495309}">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4460A384-A78D-43AD-8A64-6F3024567415}">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709F6B7B-03AC-4E19-9BA3-32E50DFF9C42}">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678C9264-E454-4B26-B361-1219B3AD21F0}">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C3170CBA-CB3E-4EEA-83DD-932A6DBCB924}">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525E3DB6-5A1C-4CE2-94F9-8F138ADBCAF8}">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A4298A71-2075-4E1C-977C-28ADE7778781}">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F31F9F8A-CBC9-4B60-A96D-905AEE8AF60A}">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739202D7-A9B3-4E14-B992-FCF2DADADCCD}">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40B370AD-6AC9-402D-8E7D-1428C1CE8F87}">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2617FEA7-C915-40A3-ADDE-D01600555494}">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ECC8F5E0-B164-47F5-8307-62D8FD6AFF52}">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C4DB7909-6BEF-4061-A5CC-54283E150171}">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36A899FE-6C48-4607-B472-F499A7EE43AE}">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D7958B08-70F3-42D1-9A4C-3BCC798C9075}">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4A517480-0734-4D19-AE55-2182806E17FA}">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088AEFD5-BDC4-4E0B-83E1-77DD344CEC3C}">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922015A5-DABF-4873-A06C-DC63FE851A6C}">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0BC52098-0799-4171-8C38-36D24EABA418}">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E3BBF198-4B83-459E-AB29-ACAC8CF1F931}">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91CB40A5-B692-4589-89B7-22E57EE3D59D}">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C3D9D22B-DE8E-4D99-910B-AD8955A5F1FF}">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E4F90D13-DFA0-4C66-9C4D-40D60D204BAB}">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C08EB046-5099-4152-BC34-814A217185C2}">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CBF13B53-04E0-4A38-9518-78505E51CDD3}">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3F46C637-C748-48B3-9609-672AF383D21F}">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66E6C030-80A4-4074-A249-8F189DD23C87}">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F999B7AD-9583-41F0-80F0-3BBD04D52468}">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1692F67A-4BA9-4F0A-B77A-C92456BEE4E3}">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520641C2-68F0-41B1-9FDA-70F3408C8BE6}">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91684D19-9A76-46D1-AFD8-50A9DF025EAA}">
            <x14:dataBar minLength="0" maxLength="100" gradient="0">
              <x14:cfvo type="autoMin"/>
              <x14:cfvo type="autoMax"/>
              <x14:negativeFillColor rgb="FFFF0000"/>
              <x14:axisColor rgb="FF000000"/>
            </x14:dataBar>
          </x14:cfRule>
          <xm:sqref>C38:D38</xm:sqref>
        </x14:conditionalFormatting>
        <x14:conditionalFormatting xmlns:xm="http://schemas.microsoft.com/office/excel/2006/main">
          <x14:cfRule type="dataBar" id="{2627261C-30AE-4630-B286-3DAB05F6BC3D}">
            <x14:dataBar minLength="0" maxLength="100" gradient="0">
              <x14:cfvo type="autoMin"/>
              <x14:cfvo type="autoMax"/>
              <x14:negativeFillColor rgb="FFFF0000"/>
              <x14:axisColor rgb="FF000000"/>
            </x14:dataBar>
          </x14:cfRule>
          <xm:sqref>C39:D39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P38"/>
  <sheetViews>
    <sheetView zoomScale="70" zoomScaleNormal="70" workbookViewId="0">
      <selection activeCell="J5" sqref="J5"/>
    </sheetView>
  </sheetViews>
  <sheetFormatPr baseColWidth="10" defaultColWidth="11.42578125" defaultRowHeight="15" x14ac:dyDescent="0.25"/>
  <cols>
    <col min="1" max="1" width="8.85546875" style="2" customWidth="1"/>
    <col min="2" max="2" width="105.7109375" style="2" customWidth="1"/>
    <col min="3" max="3" width="11.42578125" style="2"/>
    <col min="4" max="4" width="22.42578125" style="2" customWidth="1"/>
    <col min="5" max="9" width="17.28515625" style="2" customWidth="1"/>
    <col min="10" max="16384" width="11.42578125" style="2"/>
  </cols>
  <sheetData>
    <row r="1" spans="1:16" ht="61.5" customHeight="1" x14ac:dyDescent="0.25">
      <c r="A1" s="46" t="s">
        <v>1</v>
      </c>
      <c r="B1" s="26" t="s">
        <v>41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7"/>
      <c r="B2" s="26"/>
      <c r="C2" s="3">
        <v>2026</v>
      </c>
      <c r="D2" s="3" t="s">
        <v>16</v>
      </c>
      <c r="E2" s="27"/>
      <c r="F2" s="27"/>
      <c r="G2" s="27"/>
      <c r="H2" s="27"/>
      <c r="I2" s="27"/>
      <c r="J2" s="27"/>
      <c r="K2" s="27"/>
      <c r="L2" s="27"/>
      <c r="M2" s="27"/>
      <c r="N2" s="27"/>
      <c r="O2" s="27"/>
      <c r="P2" s="27"/>
    </row>
    <row r="3" spans="1:16" ht="81" customHeight="1" x14ac:dyDescent="0.25">
      <c r="A3" s="28" t="s">
        <v>18</v>
      </c>
      <c r="B3" s="11" t="s">
        <v>17</v>
      </c>
      <c r="C3" s="6">
        <v>2</v>
      </c>
      <c r="D3" s="24">
        <f t="shared" ref="D3:D8" si="0">SUM(E3:P3)</f>
        <v>1</v>
      </c>
      <c r="E3" s="29"/>
      <c r="F3" s="29"/>
      <c r="G3" s="29"/>
      <c r="H3" s="29">
        <v>1</v>
      </c>
      <c r="I3" s="29"/>
      <c r="J3" s="29"/>
      <c r="K3" s="29"/>
      <c r="L3" s="29"/>
      <c r="M3" s="29"/>
      <c r="N3" s="29"/>
      <c r="O3" s="29"/>
      <c r="P3" s="29"/>
    </row>
    <row r="4" spans="1:16" ht="81" customHeight="1" x14ac:dyDescent="0.25">
      <c r="A4" s="30" t="s">
        <v>20</v>
      </c>
      <c r="B4" s="16" t="s">
        <v>19</v>
      </c>
      <c r="C4" s="31">
        <v>2</v>
      </c>
      <c r="D4" s="24">
        <f t="shared" si="0"/>
        <v>2</v>
      </c>
      <c r="E4" s="29">
        <v>0</v>
      </c>
      <c r="F4" s="29">
        <v>0</v>
      </c>
      <c r="G4" s="29">
        <v>0</v>
      </c>
      <c r="H4" s="29">
        <v>0</v>
      </c>
      <c r="I4" s="29">
        <v>2</v>
      </c>
      <c r="J4" s="29"/>
      <c r="K4" s="29"/>
      <c r="L4" s="29"/>
      <c r="M4" s="29"/>
      <c r="N4" s="29"/>
      <c r="O4" s="29"/>
      <c r="P4" s="29"/>
    </row>
    <row r="5" spans="1:16" ht="81" customHeight="1" x14ac:dyDescent="0.25">
      <c r="A5" s="32" t="s">
        <v>22</v>
      </c>
      <c r="B5" s="14" t="s">
        <v>42</v>
      </c>
      <c r="C5" s="33">
        <v>1</v>
      </c>
      <c r="D5" s="24">
        <f t="shared" si="0"/>
        <v>0</v>
      </c>
      <c r="E5" s="29">
        <v>0</v>
      </c>
      <c r="F5" s="29">
        <v>0</v>
      </c>
      <c r="G5" s="29">
        <v>0</v>
      </c>
      <c r="H5" s="29">
        <v>0</v>
      </c>
      <c r="I5" s="29"/>
      <c r="J5" s="29"/>
      <c r="K5" s="29"/>
      <c r="L5" s="29"/>
      <c r="M5" s="29"/>
      <c r="N5" s="29"/>
      <c r="O5" s="29"/>
      <c r="P5" s="29"/>
    </row>
    <row r="6" spans="1:16" ht="81" customHeight="1" x14ac:dyDescent="0.25">
      <c r="A6" s="28" t="s">
        <v>18</v>
      </c>
      <c r="B6" s="11" t="s">
        <v>30</v>
      </c>
      <c r="C6" s="34">
        <v>2</v>
      </c>
      <c r="D6" s="24">
        <f t="shared" si="0"/>
        <v>1</v>
      </c>
      <c r="E6" s="29"/>
      <c r="F6" s="29"/>
      <c r="G6" s="29"/>
      <c r="H6" s="29">
        <v>1</v>
      </c>
      <c r="I6" s="29"/>
      <c r="J6" s="29"/>
      <c r="K6" s="29"/>
      <c r="L6" s="29"/>
      <c r="M6" s="29"/>
      <c r="N6" s="29"/>
      <c r="O6" s="29"/>
      <c r="P6" s="29"/>
    </row>
    <row r="7" spans="1:16" ht="81" customHeight="1" x14ac:dyDescent="0.25">
      <c r="A7" s="28" t="s">
        <v>18</v>
      </c>
      <c r="B7" s="11" t="s">
        <v>31</v>
      </c>
      <c r="C7" s="34">
        <v>2</v>
      </c>
      <c r="D7" s="24">
        <f t="shared" si="0"/>
        <v>1</v>
      </c>
      <c r="E7" s="29">
        <v>1</v>
      </c>
      <c r="F7" s="29"/>
      <c r="H7" s="29"/>
      <c r="I7" s="29"/>
      <c r="J7" s="29"/>
      <c r="K7" s="29"/>
      <c r="L7" s="29"/>
      <c r="M7" s="29"/>
      <c r="N7" s="29"/>
      <c r="O7" s="29"/>
      <c r="P7" s="29"/>
    </row>
    <row r="8" spans="1:16" ht="81" customHeight="1" x14ac:dyDescent="0.25">
      <c r="A8" s="28" t="s">
        <v>18</v>
      </c>
      <c r="B8" s="11" t="s">
        <v>24</v>
      </c>
      <c r="C8" s="34">
        <v>1</v>
      </c>
      <c r="D8" s="24">
        <f t="shared" si="0"/>
        <v>1</v>
      </c>
      <c r="E8" s="29">
        <v>1</v>
      </c>
      <c r="F8" s="29"/>
      <c r="G8" s="29"/>
      <c r="H8" s="29"/>
      <c r="I8" s="29"/>
      <c r="J8" s="29"/>
      <c r="K8" s="29"/>
      <c r="L8" s="29"/>
      <c r="M8" s="29"/>
      <c r="N8" s="29"/>
      <c r="O8" s="29"/>
      <c r="P8" s="29"/>
    </row>
    <row r="9" spans="1:16" ht="28.5" customHeight="1" x14ac:dyDescent="0.25">
      <c r="A9" s="48" t="s">
        <v>75</v>
      </c>
      <c r="B9" s="35" t="s">
        <v>76</v>
      </c>
      <c r="C9" s="34">
        <v>2</v>
      </c>
      <c r="D9" s="24">
        <f t="shared" ref="D9:D36" si="1">SUM(E9:O9)</f>
        <v>0</v>
      </c>
      <c r="E9" s="29"/>
      <c r="F9" s="29"/>
      <c r="G9" s="29"/>
      <c r="H9" s="29"/>
      <c r="I9" s="29"/>
      <c r="J9" s="29"/>
      <c r="K9" s="29"/>
      <c r="L9" s="29"/>
      <c r="M9" s="29"/>
      <c r="N9" s="29"/>
      <c r="O9" s="29"/>
      <c r="P9" s="36"/>
    </row>
    <row r="10" spans="1:16" ht="28.5" customHeight="1" x14ac:dyDescent="0.25">
      <c r="A10" s="49"/>
      <c r="B10" s="35" t="s">
        <v>77</v>
      </c>
      <c r="C10" s="34">
        <v>2</v>
      </c>
      <c r="D10" s="24">
        <f t="shared" si="1"/>
        <v>1</v>
      </c>
      <c r="E10" s="29"/>
      <c r="F10" s="29"/>
      <c r="G10" s="29"/>
      <c r="H10" s="29">
        <v>1</v>
      </c>
      <c r="I10" s="29"/>
      <c r="J10" s="29"/>
      <c r="K10" s="29"/>
      <c r="L10" s="29"/>
      <c r="M10" s="29"/>
      <c r="N10" s="29"/>
      <c r="O10" s="29"/>
      <c r="P10" s="36"/>
    </row>
    <row r="11" spans="1:16" ht="28.5" customHeight="1" x14ac:dyDescent="0.25">
      <c r="A11" s="49"/>
      <c r="B11" s="35" t="s">
        <v>78</v>
      </c>
      <c r="C11" s="34">
        <v>104</v>
      </c>
      <c r="D11" s="24">
        <f t="shared" si="1"/>
        <v>44</v>
      </c>
      <c r="E11" s="29">
        <v>17</v>
      </c>
      <c r="F11" s="29">
        <v>10</v>
      </c>
      <c r="G11" s="29"/>
      <c r="H11" s="29">
        <v>17</v>
      </c>
      <c r="I11" s="29"/>
      <c r="J11" s="29"/>
      <c r="K11" s="29"/>
      <c r="L11" s="29"/>
      <c r="M11" s="29"/>
      <c r="N11" s="29"/>
      <c r="O11" s="29"/>
      <c r="P11" s="36"/>
    </row>
    <row r="12" spans="1:16" ht="28.5" customHeight="1" x14ac:dyDescent="0.25">
      <c r="A12" s="49"/>
      <c r="B12" s="35" t="s">
        <v>79</v>
      </c>
      <c r="C12" s="34">
        <v>141</v>
      </c>
      <c r="D12" s="24">
        <f t="shared" si="1"/>
        <v>71</v>
      </c>
      <c r="E12" s="29"/>
      <c r="F12" s="29"/>
      <c r="G12" s="29">
        <v>25</v>
      </c>
      <c r="H12" s="29">
        <v>36</v>
      </c>
      <c r="I12" s="29">
        <v>10</v>
      </c>
      <c r="J12" s="29"/>
      <c r="K12" s="29"/>
      <c r="L12" s="29"/>
      <c r="M12" s="29"/>
      <c r="N12" s="29"/>
      <c r="O12" s="29"/>
      <c r="P12" s="36"/>
    </row>
    <row r="13" spans="1:16" ht="28.5" customHeight="1" x14ac:dyDescent="0.25">
      <c r="A13" s="49"/>
      <c r="B13" s="35" t="s">
        <v>80</v>
      </c>
      <c r="C13" s="34">
        <v>0</v>
      </c>
      <c r="D13" s="24">
        <f t="shared" si="1"/>
        <v>0</v>
      </c>
      <c r="E13" s="29"/>
      <c r="F13" s="29"/>
      <c r="G13" s="29"/>
      <c r="H13" s="29"/>
      <c r="I13" s="29"/>
      <c r="J13" s="29"/>
      <c r="K13" s="29"/>
      <c r="L13" s="29"/>
      <c r="M13" s="29"/>
      <c r="N13" s="29"/>
      <c r="O13" s="29"/>
      <c r="P13" s="36"/>
    </row>
    <row r="14" spans="1:16" ht="28.5" customHeight="1" x14ac:dyDescent="0.25">
      <c r="A14" s="49"/>
      <c r="B14" s="35" t="s">
        <v>81</v>
      </c>
      <c r="C14" s="34">
        <v>13</v>
      </c>
      <c r="D14" s="24">
        <f t="shared" si="1"/>
        <v>1</v>
      </c>
      <c r="E14" s="29"/>
      <c r="F14" s="29"/>
      <c r="G14" s="29"/>
      <c r="H14" s="29">
        <v>1</v>
      </c>
      <c r="I14" s="29"/>
      <c r="J14" s="29"/>
      <c r="K14" s="29"/>
      <c r="L14" s="29"/>
      <c r="M14" s="29"/>
      <c r="N14" s="29"/>
      <c r="O14" s="29"/>
      <c r="P14" s="36"/>
    </row>
    <row r="15" spans="1:16" ht="28.5" customHeight="1" x14ac:dyDescent="0.25">
      <c r="A15" s="49"/>
      <c r="B15" s="35" t="s">
        <v>82</v>
      </c>
      <c r="C15" s="34">
        <v>0</v>
      </c>
      <c r="D15" s="24">
        <f t="shared" si="1"/>
        <v>0</v>
      </c>
      <c r="E15" s="29"/>
      <c r="F15" s="29"/>
      <c r="G15" s="29"/>
      <c r="H15" s="29"/>
      <c r="I15" s="29"/>
      <c r="J15" s="29"/>
      <c r="K15" s="29"/>
      <c r="L15" s="29"/>
      <c r="M15" s="29"/>
      <c r="N15" s="29"/>
      <c r="O15" s="29"/>
      <c r="P15" s="36"/>
    </row>
    <row r="16" spans="1:16" ht="28.5" customHeight="1" x14ac:dyDescent="0.25">
      <c r="A16" s="49"/>
      <c r="B16" s="35" t="s">
        <v>83</v>
      </c>
      <c r="C16" s="34">
        <v>1</v>
      </c>
      <c r="D16" s="24">
        <f t="shared" si="1"/>
        <v>0</v>
      </c>
      <c r="E16" s="29"/>
      <c r="F16" s="29"/>
      <c r="G16" s="29"/>
      <c r="H16" s="29"/>
      <c r="I16" s="29"/>
      <c r="J16" s="29"/>
      <c r="K16" s="29"/>
      <c r="L16" s="29"/>
      <c r="M16" s="29"/>
      <c r="N16" s="29"/>
      <c r="O16" s="29"/>
      <c r="P16" s="36"/>
    </row>
    <row r="17" spans="1:16" ht="28.5" customHeight="1" x14ac:dyDescent="0.25">
      <c r="A17" s="49"/>
      <c r="B17" s="35" t="s">
        <v>84</v>
      </c>
      <c r="C17" s="34">
        <v>0</v>
      </c>
      <c r="D17" s="24">
        <f t="shared" si="1"/>
        <v>0</v>
      </c>
      <c r="E17" s="29"/>
      <c r="F17" s="29"/>
      <c r="G17" s="29"/>
      <c r="H17" s="29"/>
      <c r="I17" s="29"/>
      <c r="J17" s="29"/>
      <c r="K17" s="29"/>
      <c r="L17" s="29"/>
      <c r="M17" s="29"/>
      <c r="N17" s="29"/>
      <c r="O17" s="29"/>
      <c r="P17" s="36"/>
    </row>
    <row r="18" spans="1:16" ht="28.5" customHeight="1" x14ac:dyDescent="0.25">
      <c r="A18" s="49"/>
      <c r="B18" s="35" t="s">
        <v>85</v>
      </c>
      <c r="C18" s="34">
        <v>0</v>
      </c>
      <c r="D18" s="24">
        <f t="shared" si="1"/>
        <v>0</v>
      </c>
      <c r="E18" s="29"/>
      <c r="F18" s="29"/>
      <c r="G18" s="29"/>
      <c r="H18" s="29"/>
      <c r="I18" s="29"/>
      <c r="J18" s="29"/>
      <c r="K18" s="29"/>
      <c r="L18" s="29"/>
      <c r="M18" s="29"/>
      <c r="N18" s="29"/>
      <c r="O18" s="29"/>
      <c r="P18" s="36"/>
    </row>
    <row r="19" spans="1:16" ht="28.5" customHeight="1" x14ac:dyDescent="0.25">
      <c r="A19" s="49"/>
      <c r="B19" s="35" t="s">
        <v>86</v>
      </c>
      <c r="C19" s="34">
        <v>15</v>
      </c>
      <c r="D19" s="24">
        <f t="shared" si="1"/>
        <v>0</v>
      </c>
      <c r="E19" s="29"/>
      <c r="F19" s="29"/>
      <c r="G19" s="29"/>
      <c r="H19" s="29"/>
      <c r="I19" s="29"/>
      <c r="J19" s="29"/>
      <c r="K19" s="29"/>
      <c r="L19" s="29"/>
      <c r="M19" s="29"/>
      <c r="N19" s="29"/>
      <c r="O19" s="29"/>
      <c r="P19" s="36"/>
    </row>
    <row r="20" spans="1:16" ht="28.5" customHeight="1" x14ac:dyDescent="0.25">
      <c r="A20" s="49"/>
      <c r="B20" s="35" t="s">
        <v>87</v>
      </c>
      <c r="C20" s="34">
        <v>0</v>
      </c>
      <c r="D20" s="24">
        <f t="shared" si="1"/>
        <v>0</v>
      </c>
      <c r="E20" s="29"/>
      <c r="F20" s="29"/>
      <c r="G20" s="29"/>
      <c r="H20" s="29"/>
      <c r="I20" s="29"/>
      <c r="J20" s="29"/>
      <c r="K20" s="29"/>
      <c r="L20" s="29"/>
      <c r="M20" s="29"/>
      <c r="N20" s="29"/>
      <c r="O20" s="29"/>
      <c r="P20" s="36"/>
    </row>
    <row r="21" spans="1:16" ht="28.5" customHeight="1" x14ac:dyDescent="0.25">
      <c r="A21" s="49"/>
      <c r="B21" s="35" t="s">
        <v>88</v>
      </c>
      <c r="C21" s="34">
        <v>3</v>
      </c>
      <c r="D21" s="24">
        <f t="shared" si="1"/>
        <v>2</v>
      </c>
      <c r="E21" s="29"/>
      <c r="F21" s="29"/>
      <c r="G21" s="29"/>
      <c r="H21" s="29">
        <v>2</v>
      </c>
      <c r="I21" s="29"/>
      <c r="J21" s="29"/>
      <c r="K21" s="29"/>
      <c r="L21" s="29"/>
      <c r="M21" s="29"/>
      <c r="N21" s="29"/>
      <c r="O21" s="29"/>
      <c r="P21" s="36"/>
    </row>
    <row r="22" spans="1:16" ht="28.5" customHeight="1" x14ac:dyDescent="0.25">
      <c r="A22" s="49"/>
      <c r="B22" s="35" t="s">
        <v>89</v>
      </c>
      <c r="C22" s="34">
        <v>1</v>
      </c>
      <c r="D22" s="24">
        <f t="shared" si="1"/>
        <v>0</v>
      </c>
      <c r="E22" s="29"/>
      <c r="F22" s="29"/>
      <c r="G22" s="29"/>
      <c r="H22" s="29"/>
      <c r="I22" s="29"/>
      <c r="J22" s="29"/>
      <c r="K22" s="29"/>
      <c r="L22" s="29"/>
      <c r="M22" s="29"/>
      <c r="N22" s="29"/>
      <c r="O22" s="29"/>
      <c r="P22" s="36"/>
    </row>
    <row r="23" spans="1:16" ht="28.5" customHeight="1" x14ac:dyDescent="0.25">
      <c r="A23" s="49"/>
      <c r="B23" s="35" t="s">
        <v>90</v>
      </c>
      <c r="C23" s="34">
        <v>72</v>
      </c>
      <c r="D23" s="24">
        <f t="shared" si="1"/>
        <v>36</v>
      </c>
      <c r="E23" s="29">
        <v>36</v>
      </c>
      <c r="F23" s="29"/>
      <c r="G23" s="29"/>
      <c r="H23" s="29"/>
      <c r="I23" s="29"/>
      <c r="J23" s="29"/>
      <c r="K23" s="29"/>
      <c r="L23" s="29"/>
      <c r="M23" s="29"/>
      <c r="N23" s="29"/>
      <c r="O23" s="29"/>
      <c r="P23" s="36"/>
    </row>
    <row r="24" spans="1:16" ht="28.5" customHeight="1" x14ac:dyDescent="0.25">
      <c r="A24" s="49"/>
      <c r="B24" s="35" t="s">
        <v>91</v>
      </c>
      <c r="C24" s="34">
        <v>2</v>
      </c>
      <c r="D24" s="24">
        <f t="shared" si="1"/>
        <v>1</v>
      </c>
      <c r="E24" s="29"/>
      <c r="F24" s="29"/>
      <c r="G24" s="29"/>
      <c r="H24" s="29">
        <v>1</v>
      </c>
      <c r="I24" s="29"/>
      <c r="J24" s="29"/>
      <c r="K24" s="29"/>
      <c r="L24" s="29"/>
      <c r="M24" s="29"/>
      <c r="N24" s="29"/>
      <c r="O24" s="29"/>
      <c r="P24" s="36"/>
    </row>
    <row r="25" spans="1:16" ht="24" customHeight="1" x14ac:dyDescent="0.25">
      <c r="A25" s="49"/>
      <c r="B25" s="37" t="s">
        <v>92</v>
      </c>
      <c r="C25" s="34">
        <v>0</v>
      </c>
      <c r="D25" s="24">
        <f t="shared" si="1"/>
        <v>0</v>
      </c>
      <c r="E25" s="29"/>
      <c r="F25" s="29"/>
      <c r="G25" s="29"/>
      <c r="H25" s="29"/>
      <c r="I25" s="29"/>
      <c r="J25" s="29"/>
      <c r="K25" s="29"/>
      <c r="L25" s="29"/>
      <c r="M25" s="29"/>
      <c r="N25" s="29"/>
      <c r="O25" s="29"/>
      <c r="P25" s="36"/>
    </row>
    <row r="26" spans="1:16" ht="24" customHeight="1" x14ac:dyDescent="0.25">
      <c r="A26" s="49"/>
      <c r="B26" s="37" t="s">
        <v>93</v>
      </c>
      <c r="C26" s="34">
        <v>0</v>
      </c>
      <c r="D26" s="24">
        <f t="shared" si="1"/>
        <v>0</v>
      </c>
      <c r="E26" s="29"/>
      <c r="F26" s="29"/>
      <c r="G26" s="29"/>
      <c r="H26" s="29"/>
      <c r="I26" s="29"/>
      <c r="J26" s="29"/>
      <c r="K26" s="29"/>
      <c r="L26" s="29"/>
      <c r="M26" s="29"/>
      <c r="N26" s="29"/>
      <c r="O26" s="29"/>
      <c r="P26" s="36"/>
    </row>
    <row r="27" spans="1:16" ht="24" customHeight="1" x14ac:dyDescent="0.25">
      <c r="A27" s="49"/>
      <c r="B27" s="37" t="s">
        <v>94</v>
      </c>
      <c r="C27" s="34">
        <v>0</v>
      </c>
      <c r="D27" s="24">
        <f t="shared" si="1"/>
        <v>0</v>
      </c>
      <c r="E27" s="29"/>
      <c r="F27" s="29"/>
      <c r="G27" s="29"/>
      <c r="H27" s="29"/>
      <c r="I27" s="29"/>
      <c r="J27" s="29"/>
      <c r="K27" s="29"/>
      <c r="L27" s="29"/>
      <c r="M27" s="29"/>
      <c r="N27" s="29"/>
      <c r="O27" s="29"/>
      <c r="P27" s="36"/>
    </row>
    <row r="28" spans="1:16" ht="24" customHeight="1" x14ac:dyDescent="0.25">
      <c r="A28" s="49"/>
      <c r="B28" s="37" t="s">
        <v>95</v>
      </c>
      <c r="C28" s="34">
        <v>0</v>
      </c>
      <c r="D28" s="24">
        <f t="shared" si="1"/>
        <v>0</v>
      </c>
      <c r="E28" s="29"/>
      <c r="F28" s="29"/>
      <c r="G28" s="29"/>
      <c r="H28" s="29"/>
      <c r="I28" s="29"/>
      <c r="J28" s="29"/>
      <c r="K28" s="29"/>
      <c r="L28" s="29"/>
      <c r="M28" s="29"/>
      <c r="N28" s="29"/>
      <c r="O28" s="29"/>
      <c r="P28" s="36"/>
    </row>
    <row r="29" spans="1:16" ht="24" customHeight="1" x14ac:dyDescent="0.25">
      <c r="A29" s="49"/>
      <c r="B29" s="37" t="s">
        <v>96</v>
      </c>
      <c r="C29" s="34">
        <v>0</v>
      </c>
      <c r="D29" s="24">
        <f t="shared" si="1"/>
        <v>0</v>
      </c>
      <c r="E29" s="29"/>
      <c r="F29" s="29"/>
      <c r="G29" s="29"/>
      <c r="H29" s="29"/>
      <c r="I29" s="29"/>
      <c r="J29" s="29"/>
      <c r="K29" s="29"/>
      <c r="L29" s="29"/>
      <c r="M29" s="29"/>
      <c r="N29" s="29"/>
      <c r="O29" s="29"/>
      <c r="P29" s="36"/>
    </row>
    <row r="30" spans="1:16" ht="24" customHeight="1" x14ac:dyDescent="0.25">
      <c r="A30" s="49"/>
      <c r="B30" s="37" t="s">
        <v>97</v>
      </c>
      <c r="C30" s="34">
        <v>0</v>
      </c>
      <c r="D30" s="24">
        <f t="shared" si="1"/>
        <v>0</v>
      </c>
      <c r="E30" s="29"/>
      <c r="F30" s="29"/>
      <c r="G30" s="29"/>
      <c r="H30" s="29"/>
      <c r="I30" s="29"/>
      <c r="J30" s="29"/>
      <c r="K30" s="29"/>
      <c r="L30" s="29"/>
      <c r="M30" s="29"/>
      <c r="N30" s="29"/>
      <c r="O30" s="29"/>
      <c r="P30" s="36"/>
    </row>
    <row r="31" spans="1:16" ht="24" customHeight="1" x14ac:dyDescent="0.25">
      <c r="A31" s="49"/>
      <c r="B31" s="37" t="s">
        <v>98</v>
      </c>
      <c r="C31" s="34">
        <v>1</v>
      </c>
      <c r="D31" s="24">
        <f t="shared" si="1"/>
        <v>0</v>
      </c>
      <c r="E31" s="29"/>
      <c r="F31" s="29"/>
      <c r="G31" s="29"/>
      <c r="H31" s="29"/>
      <c r="I31" s="29"/>
      <c r="J31" s="29"/>
      <c r="K31" s="29"/>
      <c r="L31" s="29"/>
      <c r="M31" s="29"/>
      <c r="N31" s="29"/>
      <c r="O31" s="29"/>
      <c r="P31" s="36"/>
    </row>
    <row r="32" spans="1:16" ht="24" customHeight="1" x14ac:dyDescent="0.25">
      <c r="A32" s="49"/>
      <c r="B32" s="37" t="s">
        <v>99</v>
      </c>
      <c r="C32" s="34">
        <v>1</v>
      </c>
      <c r="D32" s="24">
        <f t="shared" si="1"/>
        <v>0</v>
      </c>
      <c r="E32" s="29"/>
      <c r="F32" s="29"/>
      <c r="G32" s="29"/>
      <c r="H32" s="29"/>
      <c r="I32" s="29"/>
      <c r="J32" s="29"/>
      <c r="K32" s="29"/>
      <c r="L32" s="29"/>
      <c r="M32" s="29"/>
      <c r="N32" s="29"/>
      <c r="O32" s="29"/>
      <c r="P32" s="36"/>
    </row>
    <row r="33" spans="1:16" ht="24" customHeight="1" x14ac:dyDescent="0.25">
      <c r="A33" s="49"/>
      <c r="B33" s="37" t="s">
        <v>100</v>
      </c>
      <c r="C33" s="34">
        <v>1</v>
      </c>
      <c r="D33" s="24">
        <f t="shared" si="1"/>
        <v>0</v>
      </c>
      <c r="E33" s="29"/>
      <c r="F33" s="29"/>
      <c r="G33" s="29"/>
      <c r="H33" s="29"/>
      <c r="I33" s="29"/>
      <c r="J33" s="29"/>
      <c r="K33" s="29"/>
      <c r="L33" s="29"/>
      <c r="M33" s="29"/>
      <c r="N33" s="29"/>
      <c r="O33" s="29"/>
      <c r="P33" s="36"/>
    </row>
    <row r="34" spans="1:16" ht="24" customHeight="1" x14ac:dyDescent="0.25">
      <c r="A34" s="49"/>
      <c r="B34" s="37" t="s">
        <v>101</v>
      </c>
      <c r="C34" s="34">
        <v>1</v>
      </c>
      <c r="D34" s="24">
        <f t="shared" si="1"/>
        <v>0</v>
      </c>
      <c r="E34" s="29"/>
      <c r="F34" s="29"/>
      <c r="G34" s="29"/>
      <c r="H34" s="29"/>
      <c r="I34" s="29"/>
      <c r="J34" s="29"/>
      <c r="K34" s="29"/>
      <c r="L34" s="29"/>
      <c r="M34" s="29"/>
      <c r="N34" s="29"/>
      <c r="O34" s="29"/>
      <c r="P34" s="36"/>
    </row>
    <row r="35" spans="1:16" ht="24" customHeight="1" x14ac:dyDescent="0.25">
      <c r="A35" s="49"/>
      <c r="B35" s="37" t="s">
        <v>102</v>
      </c>
      <c r="C35" s="34">
        <v>1</v>
      </c>
      <c r="D35" s="24">
        <f t="shared" si="1"/>
        <v>0</v>
      </c>
      <c r="E35" s="29"/>
      <c r="F35" s="29"/>
      <c r="G35" s="29"/>
      <c r="H35" s="29"/>
      <c r="I35" s="29"/>
      <c r="J35" s="29"/>
      <c r="K35" s="29"/>
      <c r="L35" s="29"/>
      <c r="M35" s="29"/>
      <c r="N35" s="29"/>
      <c r="O35" s="29"/>
      <c r="P35" s="36"/>
    </row>
    <row r="36" spans="1:16" ht="24" customHeight="1" thickBot="1" x14ac:dyDescent="0.3">
      <c r="A36" s="50"/>
      <c r="B36" s="38" t="s">
        <v>103</v>
      </c>
      <c r="C36" s="34">
        <v>1</v>
      </c>
      <c r="D36" s="24">
        <f t="shared" si="1"/>
        <v>0</v>
      </c>
      <c r="E36" s="29"/>
      <c r="F36" s="29"/>
      <c r="G36" s="29"/>
      <c r="H36" s="29"/>
      <c r="I36" s="29"/>
      <c r="J36" s="29"/>
      <c r="K36" s="29"/>
      <c r="L36" s="29"/>
      <c r="M36" s="29"/>
      <c r="N36" s="29"/>
      <c r="O36" s="29"/>
      <c r="P36" s="36"/>
    </row>
    <row r="37" spans="1:16" x14ac:dyDescent="0.25">
      <c r="C37" s="39">
        <f>SUM(C3:C36)</f>
        <v>372</v>
      </c>
      <c r="D37" s="39">
        <f>SUM(D3:D36)</f>
        <v>162</v>
      </c>
    </row>
    <row r="38" spans="1:16" x14ac:dyDescent="0.25">
      <c r="C38" s="17"/>
      <c r="D38" s="41">
        <f>D37/C37</f>
        <v>0.43548387096774194</v>
      </c>
    </row>
  </sheetData>
  <sheetProtection algorithmName="SHA-512" hashValue="VuwVb8Pt5hBvbskkygGKsq8ZDbmSy/PS4f758e1991lCVWjAGvF/I0HdIxEOF/m8yZsRzLHp4jIjALbEwpzZ8w==" saltValue="QycBaMWwt59i5G/oT5FFuQ==" spinCount="100000" sheet="1" objects="1" scenarios="1" autoFilter="0"/>
  <mergeCells count="2">
    <mergeCell ref="A1:A2"/>
    <mergeCell ref="A9:A36"/>
  </mergeCells>
  <conditionalFormatting sqref="C3:D3 D4:D8">
    <cfRule type="dataBar" priority="55">
      <dataBar>
        <cfvo type="min"/>
        <cfvo type="max"/>
        <color rgb="FF008AEF"/>
      </dataBar>
      <extLst>
        <ext xmlns:x14="http://schemas.microsoft.com/office/spreadsheetml/2009/9/main" uri="{B025F937-C7B1-47D3-B67F-A62EFF666E3E}">
          <x14:id>{D144A1B4-B55F-482D-A8DB-B10C1C0FFF56}</x14:id>
        </ext>
      </extLst>
    </cfRule>
  </conditionalFormatting>
  <conditionalFormatting sqref="C4:D4">
    <cfRule type="dataBar" priority="6">
      <dataBar>
        <cfvo type="min"/>
        <cfvo type="max"/>
        <color rgb="FF008AEF"/>
      </dataBar>
      <extLst>
        <ext xmlns:x14="http://schemas.microsoft.com/office/spreadsheetml/2009/9/main" uri="{B025F937-C7B1-47D3-B67F-A62EFF666E3E}">
          <x14:id>{3AC293F1-E787-4AC0-A2E6-EB0893534FE8}</x14:id>
        </ext>
      </extLst>
    </cfRule>
  </conditionalFormatting>
  <conditionalFormatting sqref="C5:D5">
    <cfRule type="dataBar" priority="7">
      <dataBar>
        <cfvo type="min"/>
        <cfvo type="max"/>
        <color rgb="FF008AEF"/>
      </dataBar>
      <extLst>
        <ext xmlns:x14="http://schemas.microsoft.com/office/spreadsheetml/2009/9/main" uri="{B025F937-C7B1-47D3-B67F-A62EFF666E3E}">
          <x14:id>{DDAA475F-381A-49DA-A56E-185B9E0C2210}</x14:id>
        </ext>
      </extLst>
    </cfRule>
  </conditionalFormatting>
  <conditionalFormatting sqref="C6:D6">
    <cfRule type="dataBar" priority="8">
      <dataBar>
        <cfvo type="min"/>
        <cfvo type="max"/>
        <color rgb="FF008AEF"/>
      </dataBar>
      <extLst>
        <ext xmlns:x14="http://schemas.microsoft.com/office/spreadsheetml/2009/9/main" uri="{B025F937-C7B1-47D3-B67F-A62EFF666E3E}">
          <x14:id>{E048211D-7592-44A5-B118-11D0AABA3A19}</x14:id>
        </ext>
      </extLst>
    </cfRule>
  </conditionalFormatting>
  <conditionalFormatting sqref="C7:D7">
    <cfRule type="dataBar" priority="9">
      <dataBar>
        <cfvo type="min"/>
        <cfvo type="max"/>
        <color rgb="FF008AEF"/>
      </dataBar>
      <extLst>
        <ext xmlns:x14="http://schemas.microsoft.com/office/spreadsheetml/2009/9/main" uri="{B025F937-C7B1-47D3-B67F-A62EFF666E3E}">
          <x14:id>{28190F34-8AD5-4CD9-86FF-BDE06361E49A}</x14:id>
        </ext>
      </extLst>
    </cfRule>
  </conditionalFormatting>
  <conditionalFormatting sqref="C8:D8">
    <cfRule type="dataBar" priority="10">
      <dataBar>
        <cfvo type="min"/>
        <cfvo type="max"/>
        <color rgb="FF008AEF"/>
      </dataBar>
      <extLst>
        <ext xmlns:x14="http://schemas.microsoft.com/office/spreadsheetml/2009/9/main" uri="{B025F937-C7B1-47D3-B67F-A62EFF666E3E}">
          <x14:id>{D9F963EC-8C0A-4535-A83C-4D2E189AD6F7}</x14:id>
        </ext>
      </extLst>
    </cfRule>
  </conditionalFormatting>
  <conditionalFormatting sqref="C9:D9">
    <cfRule type="dataBar" priority="13">
      <dataBar>
        <cfvo type="min"/>
        <cfvo type="max"/>
        <color rgb="FF008AEF"/>
      </dataBar>
      <extLst>
        <ext xmlns:x14="http://schemas.microsoft.com/office/spreadsheetml/2009/9/main" uri="{B025F937-C7B1-47D3-B67F-A62EFF666E3E}">
          <x14:id>{8FD4D97F-43A5-43E9-9295-505290A1A4B7}</x14:id>
        </ext>
      </extLst>
    </cfRule>
  </conditionalFormatting>
  <conditionalFormatting sqref="C10:D10">
    <cfRule type="dataBar" priority="40">
      <dataBar>
        <cfvo type="min"/>
        <cfvo type="max"/>
        <color rgb="FF008AEF"/>
      </dataBar>
      <extLst>
        <ext xmlns:x14="http://schemas.microsoft.com/office/spreadsheetml/2009/9/main" uri="{B025F937-C7B1-47D3-B67F-A62EFF666E3E}">
          <x14:id>{BD54EF46-BCB2-4C88-859B-9E5B837B617D}</x14:id>
        </ext>
      </extLst>
    </cfRule>
  </conditionalFormatting>
  <conditionalFormatting sqref="C11:D11">
    <cfRule type="dataBar" priority="39">
      <dataBar>
        <cfvo type="min"/>
        <cfvo type="max"/>
        <color rgb="FF008AEF"/>
      </dataBar>
      <extLst>
        <ext xmlns:x14="http://schemas.microsoft.com/office/spreadsheetml/2009/9/main" uri="{B025F937-C7B1-47D3-B67F-A62EFF666E3E}">
          <x14:id>{90FB523A-A1BE-43F1-A6A1-6FDF24CB20B8}</x14:id>
        </ext>
      </extLst>
    </cfRule>
  </conditionalFormatting>
  <conditionalFormatting sqref="C12:D12">
    <cfRule type="dataBar" priority="38">
      <dataBar>
        <cfvo type="min"/>
        <cfvo type="max"/>
        <color rgb="FF008AEF"/>
      </dataBar>
      <extLst>
        <ext xmlns:x14="http://schemas.microsoft.com/office/spreadsheetml/2009/9/main" uri="{B025F937-C7B1-47D3-B67F-A62EFF666E3E}">
          <x14:id>{4748D2F7-F2C1-4B44-A132-AFA84BB007D9}</x14:id>
        </ext>
      </extLst>
    </cfRule>
  </conditionalFormatting>
  <conditionalFormatting sqref="C13:D13">
    <cfRule type="dataBar" priority="37">
      <dataBar>
        <cfvo type="min"/>
        <cfvo type="max"/>
        <color rgb="FF008AEF"/>
      </dataBar>
      <extLst>
        <ext xmlns:x14="http://schemas.microsoft.com/office/spreadsheetml/2009/9/main" uri="{B025F937-C7B1-47D3-B67F-A62EFF666E3E}">
          <x14:id>{9750C90D-D23B-4B96-A9D3-E133DBC0ADCF}</x14:id>
        </ext>
      </extLst>
    </cfRule>
  </conditionalFormatting>
  <conditionalFormatting sqref="C14:D14">
    <cfRule type="dataBar" priority="36">
      <dataBar>
        <cfvo type="min"/>
        <cfvo type="max"/>
        <color rgb="FF008AEF"/>
      </dataBar>
      <extLst>
        <ext xmlns:x14="http://schemas.microsoft.com/office/spreadsheetml/2009/9/main" uri="{B025F937-C7B1-47D3-B67F-A62EFF666E3E}">
          <x14:id>{3488F369-3C76-4409-B9AC-44E2FB8CB304}</x14:id>
        </ext>
      </extLst>
    </cfRule>
  </conditionalFormatting>
  <conditionalFormatting sqref="C15:D15">
    <cfRule type="dataBar" priority="35">
      <dataBar>
        <cfvo type="min"/>
        <cfvo type="max"/>
        <color rgb="FF008AEF"/>
      </dataBar>
      <extLst>
        <ext xmlns:x14="http://schemas.microsoft.com/office/spreadsheetml/2009/9/main" uri="{B025F937-C7B1-47D3-B67F-A62EFF666E3E}">
          <x14:id>{251F5884-D8CB-42F9-95C6-5BB1573DF7CE}</x14:id>
        </ext>
      </extLst>
    </cfRule>
  </conditionalFormatting>
  <conditionalFormatting sqref="C16:D16">
    <cfRule type="dataBar" priority="34">
      <dataBar>
        <cfvo type="min"/>
        <cfvo type="max"/>
        <color rgb="FF008AEF"/>
      </dataBar>
      <extLst>
        <ext xmlns:x14="http://schemas.microsoft.com/office/spreadsheetml/2009/9/main" uri="{B025F937-C7B1-47D3-B67F-A62EFF666E3E}">
          <x14:id>{666DF854-86D6-4C6E-A9A9-3532559B72E7}</x14:id>
        </ext>
      </extLst>
    </cfRule>
  </conditionalFormatting>
  <conditionalFormatting sqref="C17:D17">
    <cfRule type="dataBar" priority="33">
      <dataBar>
        <cfvo type="min"/>
        <cfvo type="max"/>
        <color rgb="FF008AEF"/>
      </dataBar>
      <extLst>
        <ext xmlns:x14="http://schemas.microsoft.com/office/spreadsheetml/2009/9/main" uri="{B025F937-C7B1-47D3-B67F-A62EFF666E3E}">
          <x14:id>{EAA2AB9D-B9C0-4F39-BEBC-C31A39355804}</x14:id>
        </ext>
      </extLst>
    </cfRule>
  </conditionalFormatting>
  <conditionalFormatting sqref="C18:D18">
    <cfRule type="dataBar" priority="32">
      <dataBar>
        <cfvo type="min"/>
        <cfvo type="max"/>
        <color rgb="FF008AEF"/>
      </dataBar>
      <extLst>
        <ext xmlns:x14="http://schemas.microsoft.com/office/spreadsheetml/2009/9/main" uri="{B025F937-C7B1-47D3-B67F-A62EFF666E3E}">
          <x14:id>{82C59764-1D4D-41BE-90D3-890C9F6DE5E8}</x14:id>
        </ext>
      </extLst>
    </cfRule>
  </conditionalFormatting>
  <conditionalFormatting sqref="C19:D19">
    <cfRule type="dataBar" priority="31">
      <dataBar>
        <cfvo type="min"/>
        <cfvo type="max"/>
        <color rgb="FF008AEF"/>
      </dataBar>
      <extLst>
        <ext xmlns:x14="http://schemas.microsoft.com/office/spreadsheetml/2009/9/main" uri="{B025F937-C7B1-47D3-B67F-A62EFF666E3E}">
          <x14:id>{224E1018-76D5-43F2-8B1F-A222F922BA10}</x14:id>
        </ext>
      </extLst>
    </cfRule>
  </conditionalFormatting>
  <conditionalFormatting sqref="C20:D20">
    <cfRule type="dataBar" priority="30">
      <dataBar>
        <cfvo type="min"/>
        <cfvo type="max"/>
        <color rgb="FF008AEF"/>
      </dataBar>
      <extLst>
        <ext xmlns:x14="http://schemas.microsoft.com/office/spreadsheetml/2009/9/main" uri="{B025F937-C7B1-47D3-B67F-A62EFF666E3E}">
          <x14:id>{093B99BE-32B9-4D2E-A5CB-E69D20C08482}</x14:id>
        </ext>
      </extLst>
    </cfRule>
  </conditionalFormatting>
  <conditionalFormatting sqref="C21:D21">
    <cfRule type="dataBar" priority="29">
      <dataBar>
        <cfvo type="min"/>
        <cfvo type="max"/>
        <color rgb="FF008AEF"/>
      </dataBar>
      <extLst>
        <ext xmlns:x14="http://schemas.microsoft.com/office/spreadsheetml/2009/9/main" uri="{B025F937-C7B1-47D3-B67F-A62EFF666E3E}">
          <x14:id>{B69CAD36-5FD6-431A-BE09-5A80D6E30347}</x14:id>
        </ext>
      </extLst>
    </cfRule>
  </conditionalFormatting>
  <conditionalFormatting sqref="C22:D22">
    <cfRule type="dataBar" priority="28">
      <dataBar>
        <cfvo type="min"/>
        <cfvo type="max"/>
        <color rgb="FF008AEF"/>
      </dataBar>
      <extLst>
        <ext xmlns:x14="http://schemas.microsoft.com/office/spreadsheetml/2009/9/main" uri="{B025F937-C7B1-47D3-B67F-A62EFF666E3E}">
          <x14:id>{19D85E21-93A7-48D0-8B00-DCDD9E1D6ADB}</x14:id>
        </ext>
      </extLst>
    </cfRule>
  </conditionalFormatting>
  <conditionalFormatting sqref="C23:D23">
    <cfRule type="dataBar" priority="27">
      <dataBar>
        <cfvo type="min"/>
        <cfvo type="max"/>
        <color rgb="FF008AEF"/>
      </dataBar>
      <extLst>
        <ext xmlns:x14="http://schemas.microsoft.com/office/spreadsheetml/2009/9/main" uri="{B025F937-C7B1-47D3-B67F-A62EFF666E3E}">
          <x14:id>{D72C9AF2-E0D3-4A99-AEDC-4DE102B879A8}</x14:id>
        </ext>
      </extLst>
    </cfRule>
  </conditionalFormatting>
  <conditionalFormatting sqref="C24:D24">
    <cfRule type="dataBar" priority="26">
      <dataBar>
        <cfvo type="min"/>
        <cfvo type="max"/>
        <color rgb="FF008AEF"/>
      </dataBar>
      <extLst>
        <ext xmlns:x14="http://schemas.microsoft.com/office/spreadsheetml/2009/9/main" uri="{B025F937-C7B1-47D3-B67F-A62EFF666E3E}">
          <x14:id>{3DB94BB2-AF23-4186-A552-5F99C6204E26}</x14:id>
        </ext>
      </extLst>
    </cfRule>
  </conditionalFormatting>
  <conditionalFormatting sqref="C25:D25">
    <cfRule type="dataBar" priority="25">
      <dataBar>
        <cfvo type="min"/>
        <cfvo type="max"/>
        <color rgb="FF008AEF"/>
      </dataBar>
      <extLst>
        <ext xmlns:x14="http://schemas.microsoft.com/office/spreadsheetml/2009/9/main" uri="{B025F937-C7B1-47D3-B67F-A62EFF666E3E}">
          <x14:id>{30E082FC-4C06-4F82-8561-F4A3FF016C75}</x14:id>
        </ext>
      </extLst>
    </cfRule>
  </conditionalFormatting>
  <conditionalFormatting sqref="C26:D26">
    <cfRule type="dataBar" priority="24">
      <dataBar>
        <cfvo type="min"/>
        <cfvo type="max"/>
        <color rgb="FF008AEF"/>
      </dataBar>
      <extLst>
        <ext xmlns:x14="http://schemas.microsoft.com/office/spreadsheetml/2009/9/main" uri="{B025F937-C7B1-47D3-B67F-A62EFF666E3E}">
          <x14:id>{0C479F93-E944-48CD-8FEB-3A6B4A500606}</x14:id>
        </ext>
      </extLst>
    </cfRule>
  </conditionalFormatting>
  <conditionalFormatting sqref="C27:D27">
    <cfRule type="dataBar" priority="23">
      <dataBar>
        <cfvo type="min"/>
        <cfvo type="max"/>
        <color rgb="FF008AEF"/>
      </dataBar>
      <extLst>
        <ext xmlns:x14="http://schemas.microsoft.com/office/spreadsheetml/2009/9/main" uri="{B025F937-C7B1-47D3-B67F-A62EFF666E3E}">
          <x14:id>{D009F7B2-A170-4BBA-AC1A-C5CD4E14F005}</x14:id>
        </ext>
      </extLst>
    </cfRule>
  </conditionalFormatting>
  <conditionalFormatting sqref="C28:D28">
    <cfRule type="dataBar" priority="22">
      <dataBar>
        <cfvo type="min"/>
        <cfvo type="max"/>
        <color rgb="FF008AEF"/>
      </dataBar>
      <extLst>
        <ext xmlns:x14="http://schemas.microsoft.com/office/spreadsheetml/2009/9/main" uri="{B025F937-C7B1-47D3-B67F-A62EFF666E3E}">
          <x14:id>{6600738D-5B61-4B47-885C-BCF309D8A213}</x14:id>
        </ext>
      </extLst>
    </cfRule>
  </conditionalFormatting>
  <conditionalFormatting sqref="C29:D29">
    <cfRule type="dataBar" priority="21">
      <dataBar>
        <cfvo type="min"/>
        <cfvo type="max"/>
        <color rgb="FF008AEF"/>
      </dataBar>
      <extLst>
        <ext xmlns:x14="http://schemas.microsoft.com/office/spreadsheetml/2009/9/main" uri="{B025F937-C7B1-47D3-B67F-A62EFF666E3E}">
          <x14:id>{E6874B78-3C9C-4B43-B548-11B0B6B7BA5B}</x14:id>
        </ext>
      </extLst>
    </cfRule>
  </conditionalFormatting>
  <conditionalFormatting sqref="C30:D30">
    <cfRule type="dataBar" priority="20">
      <dataBar>
        <cfvo type="min"/>
        <cfvo type="max"/>
        <color rgb="FF008AEF"/>
      </dataBar>
      <extLst>
        <ext xmlns:x14="http://schemas.microsoft.com/office/spreadsheetml/2009/9/main" uri="{B025F937-C7B1-47D3-B67F-A62EFF666E3E}">
          <x14:id>{C3CC0E0E-A0A1-4699-904C-AEA3333C8E53}</x14:id>
        </ext>
      </extLst>
    </cfRule>
  </conditionalFormatting>
  <conditionalFormatting sqref="C31:D31">
    <cfRule type="dataBar" priority="19">
      <dataBar>
        <cfvo type="min"/>
        <cfvo type="max"/>
        <color rgb="FF008AEF"/>
      </dataBar>
      <extLst>
        <ext xmlns:x14="http://schemas.microsoft.com/office/spreadsheetml/2009/9/main" uri="{B025F937-C7B1-47D3-B67F-A62EFF666E3E}">
          <x14:id>{3CBA54C3-E0C1-4280-A75D-27A29088044E}</x14:id>
        </ext>
      </extLst>
    </cfRule>
  </conditionalFormatting>
  <conditionalFormatting sqref="C32:D32">
    <cfRule type="dataBar" priority="18">
      <dataBar>
        <cfvo type="min"/>
        <cfvo type="max"/>
        <color rgb="FF008AEF"/>
      </dataBar>
      <extLst>
        <ext xmlns:x14="http://schemas.microsoft.com/office/spreadsheetml/2009/9/main" uri="{B025F937-C7B1-47D3-B67F-A62EFF666E3E}">
          <x14:id>{9415988E-382C-4883-9906-39256AF6FA99}</x14:id>
        </ext>
      </extLst>
    </cfRule>
  </conditionalFormatting>
  <conditionalFormatting sqref="C33:D33">
    <cfRule type="dataBar" priority="17">
      <dataBar>
        <cfvo type="min"/>
        <cfvo type="max"/>
        <color rgb="FF008AEF"/>
      </dataBar>
      <extLst>
        <ext xmlns:x14="http://schemas.microsoft.com/office/spreadsheetml/2009/9/main" uri="{B025F937-C7B1-47D3-B67F-A62EFF666E3E}">
          <x14:id>{8E8060A0-EA2C-4F4B-BCC2-8DB6BA3777B4}</x14:id>
        </ext>
      </extLst>
    </cfRule>
  </conditionalFormatting>
  <conditionalFormatting sqref="C34:D34">
    <cfRule type="dataBar" priority="16">
      <dataBar>
        <cfvo type="min"/>
        <cfvo type="max"/>
        <color rgb="FF008AEF"/>
      </dataBar>
      <extLst>
        <ext xmlns:x14="http://schemas.microsoft.com/office/spreadsheetml/2009/9/main" uri="{B025F937-C7B1-47D3-B67F-A62EFF666E3E}">
          <x14:id>{0D8ABFCE-0EFD-413A-BF19-101C9EFCADBE}</x14:id>
        </ext>
      </extLst>
    </cfRule>
  </conditionalFormatting>
  <conditionalFormatting sqref="C35:D35">
    <cfRule type="dataBar" priority="15">
      <dataBar>
        <cfvo type="min"/>
        <cfvo type="max"/>
        <color rgb="FF008AEF"/>
      </dataBar>
      <extLst>
        <ext xmlns:x14="http://schemas.microsoft.com/office/spreadsheetml/2009/9/main" uri="{B025F937-C7B1-47D3-B67F-A62EFF666E3E}">
          <x14:id>{F7A220B2-6D12-4946-8A9A-CE88468E7947}</x14:id>
        </ext>
      </extLst>
    </cfRule>
  </conditionalFormatting>
  <conditionalFormatting sqref="C36:D36">
    <cfRule type="dataBar" priority="14">
      <dataBar>
        <cfvo type="min"/>
        <cfvo type="max"/>
        <color rgb="FF008AEF"/>
      </dataBar>
      <extLst>
        <ext xmlns:x14="http://schemas.microsoft.com/office/spreadsheetml/2009/9/main" uri="{B025F937-C7B1-47D3-B67F-A62EFF666E3E}">
          <x14:id>{4908D714-5E29-41EA-8E65-F070F7E90180}</x14:id>
        </ext>
      </extLst>
    </cfRule>
  </conditionalFormatting>
  <conditionalFormatting sqref="G9:O32">
    <cfRule type="cellIs" dxfId="12" priority="12" operator="greaterThan">
      <formula>0</formula>
    </cfRule>
  </conditionalFormatting>
  <conditionalFormatting sqref="G3:P6 E3:F32 H7:P7 G8:P8 E33:O36">
    <cfRule type="cellIs" dxfId="11" priority="3"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D144A1B4-B55F-482D-A8DB-B10C1C0FFF56}">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3AC293F1-E787-4AC0-A2E6-EB0893534FE8}">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DDAA475F-381A-49DA-A56E-185B9E0C2210}">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E048211D-7592-44A5-B118-11D0AABA3A19}">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28190F34-8AD5-4CD9-86FF-BDE06361E49A}">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D9F963EC-8C0A-4535-A83C-4D2E189AD6F7}">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8FD4D97F-43A5-43E9-9295-505290A1A4B7}">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BD54EF46-BCB2-4C88-859B-9E5B837B617D}">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90FB523A-A1BE-43F1-A6A1-6FDF24CB20B8}">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4748D2F7-F2C1-4B44-A132-AFA84BB007D9}">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9750C90D-D23B-4B96-A9D3-E133DBC0ADCF}">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3488F369-3C76-4409-B9AC-44E2FB8CB304}">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251F5884-D8CB-42F9-95C6-5BB1573DF7CE}">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666DF854-86D6-4C6E-A9A9-3532559B72E7}">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EAA2AB9D-B9C0-4F39-BEBC-C31A39355804}">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82C59764-1D4D-41BE-90D3-890C9F6DE5E8}">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224E1018-76D5-43F2-8B1F-A222F922BA10}">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093B99BE-32B9-4D2E-A5CB-E69D20C08482}">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B69CAD36-5FD6-431A-BE09-5A80D6E30347}">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19D85E21-93A7-48D0-8B00-DCDD9E1D6ADB}">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D72C9AF2-E0D3-4A99-AEDC-4DE102B879A8}">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3DB94BB2-AF23-4186-A552-5F99C6204E26}">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30E082FC-4C06-4F82-8561-F4A3FF016C75}">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0C479F93-E944-48CD-8FEB-3A6B4A500606}">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D009F7B2-A170-4BBA-AC1A-C5CD4E14F005}">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6600738D-5B61-4B47-885C-BCF309D8A213}">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E6874B78-3C9C-4B43-B548-11B0B6B7BA5B}">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C3CC0E0E-A0A1-4699-904C-AEA3333C8E53}">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3CBA54C3-E0C1-4280-A75D-27A29088044E}">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9415988E-382C-4883-9906-39256AF6FA99}">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8E8060A0-EA2C-4F4B-BCC2-8DB6BA3777B4}">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0D8ABFCE-0EFD-413A-BF19-101C9EFCADBE}">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F7A220B2-6D12-4946-8A9A-CE88468E7947}">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4908D714-5E29-41EA-8E65-F070F7E90180}">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P40"/>
  <sheetViews>
    <sheetView zoomScale="70" zoomScaleNormal="70" workbookViewId="0">
      <selection activeCell="J30" sqref="J30"/>
    </sheetView>
  </sheetViews>
  <sheetFormatPr baseColWidth="10" defaultColWidth="11.42578125" defaultRowHeight="15" x14ac:dyDescent="0.25"/>
  <cols>
    <col min="1" max="1" width="6.7109375" style="2" customWidth="1"/>
    <col min="2" max="2" width="106.5703125" style="2" customWidth="1"/>
    <col min="3" max="3" width="11.42578125" style="2"/>
    <col min="4" max="4" width="22.42578125" style="2" customWidth="1"/>
    <col min="5" max="9" width="17.28515625" style="2" customWidth="1"/>
    <col min="10" max="16384" width="11.42578125" style="2"/>
  </cols>
  <sheetData>
    <row r="1" spans="1:16" ht="61.5" customHeight="1" x14ac:dyDescent="0.25">
      <c r="A1" s="46" t="s">
        <v>1</v>
      </c>
      <c r="B1" s="26" t="s">
        <v>43</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7"/>
      <c r="B2" s="26"/>
      <c r="C2" s="3">
        <v>2026</v>
      </c>
      <c r="D2" s="3" t="s">
        <v>16</v>
      </c>
      <c r="E2" s="27"/>
      <c r="F2" s="27"/>
      <c r="G2" s="27"/>
      <c r="H2" s="27"/>
      <c r="I2" s="27"/>
      <c r="J2" s="27"/>
      <c r="K2" s="27"/>
      <c r="L2" s="27"/>
      <c r="M2" s="27"/>
      <c r="N2" s="27"/>
      <c r="O2" s="27"/>
      <c r="P2" s="27"/>
    </row>
    <row r="3" spans="1:16" ht="81" customHeight="1" x14ac:dyDescent="0.25">
      <c r="A3" s="28" t="s">
        <v>18</v>
      </c>
      <c r="B3" s="11" t="s">
        <v>17</v>
      </c>
      <c r="C3" s="6">
        <v>2</v>
      </c>
      <c r="D3" s="24">
        <f t="shared" ref="D3:D10" si="0">SUM(E3:P3)</f>
        <v>1</v>
      </c>
      <c r="E3" s="29"/>
      <c r="F3" s="29"/>
      <c r="G3" s="29"/>
      <c r="H3" s="29">
        <v>1</v>
      </c>
      <c r="I3" s="29"/>
      <c r="J3" s="29"/>
      <c r="K3" s="29"/>
      <c r="L3" s="29"/>
      <c r="M3" s="29"/>
      <c r="N3" s="29"/>
      <c r="O3" s="29"/>
      <c r="P3" s="29"/>
    </row>
    <row r="4" spans="1:16" ht="81" customHeight="1" x14ac:dyDescent="0.25">
      <c r="A4" s="30" t="s">
        <v>20</v>
      </c>
      <c r="B4" s="16" t="s">
        <v>19</v>
      </c>
      <c r="C4" s="31">
        <v>2</v>
      </c>
      <c r="D4" s="24">
        <f t="shared" si="0"/>
        <v>0</v>
      </c>
      <c r="E4" s="29">
        <v>0</v>
      </c>
      <c r="F4" s="29">
        <v>0</v>
      </c>
      <c r="G4" s="29">
        <v>0</v>
      </c>
      <c r="H4" s="29">
        <v>0</v>
      </c>
      <c r="I4" s="29"/>
      <c r="J4" s="29"/>
      <c r="K4" s="29"/>
      <c r="L4" s="29"/>
      <c r="M4" s="29"/>
      <c r="N4" s="29"/>
      <c r="O4" s="29"/>
      <c r="P4" s="29"/>
    </row>
    <row r="5" spans="1:16" ht="81" customHeight="1" x14ac:dyDescent="0.25">
      <c r="A5" s="32" t="s">
        <v>22</v>
      </c>
      <c r="B5" s="14" t="s">
        <v>37</v>
      </c>
      <c r="C5" s="33">
        <v>2</v>
      </c>
      <c r="D5" s="24">
        <f t="shared" si="0"/>
        <v>1</v>
      </c>
      <c r="E5" s="29">
        <v>0</v>
      </c>
      <c r="F5" s="29">
        <v>0</v>
      </c>
      <c r="G5" s="29">
        <v>0</v>
      </c>
      <c r="H5" s="29">
        <v>1</v>
      </c>
      <c r="I5" s="29"/>
      <c r="J5" s="29"/>
      <c r="K5" s="29"/>
      <c r="L5" s="29"/>
      <c r="M5" s="29"/>
      <c r="N5" s="29"/>
      <c r="O5" s="29"/>
      <c r="P5" s="29"/>
    </row>
    <row r="6" spans="1:16" ht="81" customHeight="1" x14ac:dyDescent="0.25">
      <c r="A6" s="28" t="s">
        <v>18</v>
      </c>
      <c r="B6" s="11" t="s">
        <v>30</v>
      </c>
      <c r="C6" s="34">
        <v>2</v>
      </c>
      <c r="D6" s="24">
        <f t="shared" si="0"/>
        <v>0</v>
      </c>
      <c r="E6" s="29"/>
      <c r="F6" s="29"/>
      <c r="G6" s="29"/>
      <c r="H6" s="29"/>
      <c r="I6" s="29"/>
      <c r="J6" s="29"/>
      <c r="K6" s="29"/>
      <c r="L6" s="29"/>
      <c r="M6" s="29"/>
      <c r="N6" s="29"/>
      <c r="O6" s="29"/>
      <c r="P6" s="29"/>
    </row>
    <row r="7" spans="1:16" ht="81" customHeight="1" x14ac:dyDescent="0.25">
      <c r="A7" s="28" t="s">
        <v>18</v>
      </c>
      <c r="B7" s="11" t="s">
        <v>31</v>
      </c>
      <c r="C7" s="34">
        <v>2</v>
      </c>
      <c r="D7" s="24">
        <f t="shared" si="0"/>
        <v>1</v>
      </c>
      <c r="E7" s="29"/>
      <c r="F7" s="29">
        <v>1</v>
      </c>
      <c r="G7" s="29"/>
      <c r="H7" s="29"/>
      <c r="I7" s="29"/>
      <c r="J7" s="29"/>
      <c r="K7" s="29"/>
      <c r="L7" s="29"/>
      <c r="M7" s="29"/>
      <c r="N7" s="29"/>
      <c r="O7" s="29"/>
      <c r="P7" s="29"/>
    </row>
    <row r="8" spans="1:16" ht="81" customHeight="1" x14ac:dyDescent="0.25">
      <c r="A8" s="28" t="s">
        <v>18</v>
      </c>
      <c r="B8" s="11" t="s">
        <v>24</v>
      </c>
      <c r="C8" s="34">
        <v>1</v>
      </c>
      <c r="D8" s="24">
        <f t="shared" si="0"/>
        <v>1</v>
      </c>
      <c r="E8" s="29"/>
      <c r="F8" s="29">
        <v>1</v>
      </c>
      <c r="G8" s="29"/>
      <c r="H8" s="29"/>
      <c r="I8" s="29"/>
      <c r="J8" s="29"/>
      <c r="K8" s="29"/>
      <c r="L8" s="29"/>
      <c r="M8" s="29"/>
      <c r="N8" s="29"/>
      <c r="O8" s="29"/>
      <c r="P8" s="29"/>
    </row>
    <row r="9" spans="1:16" ht="81" customHeight="1" x14ac:dyDescent="0.25">
      <c r="A9" s="28" t="s">
        <v>18</v>
      </c>
      <c r="B9" s="11" t="s">
        <v>27</v>
      </c>
      <c r="C9" s="34">
        <v>1</v>
      </c>
      <c r="D9" s="24">
        <f t="shared" si="0"/>
        <v>1</v>
      </c>
      <c r="E9" s="29"/>
      <c r="F9" s="29"/>
      <c r="G9" s="29"/>
      <c r="H9" s="29"/>
      <c r="I9" s="29"/>
      <c r="J9" s="29">
        <v>1</v>
      </c>
      <c r="K9" s="29"/>
      <c r="L9" s="29"/>
      <c r="M9" s="29"/>
      <c r="N9" s="29"/>
      <c r="O9" s="29"/>
      <c r="P9" s="29"/>
    </row>
    <row r="10" spans="1:16" ht="81" customHeight="1" x14ac:dyDescent="0.25">
      <c r="A10" s="28" t="s">
        <v>18</v>
      </c>
      <c r="B10" s="11" t="s">
        <v>28</v>
      </c>
      <c r="C10" s="34">
        <v>1</v>
      </c>
      <c r="D10" s="24">
        <f t="shared" si="0"/>
        <v>0</v>
      </c>
      <c r="E10" s="29"/>
      <c r="F10" s="29"/>
      <c r="G10" s="29"/>
      <c r="H10" s="29"/>
      <c r="I10" s="29"/>
      <c r="J10" s="29"/>
      <c r="K10" s="29"/>
      <c r="L10" s="29"/>
      <c r="M10" s="29"/>
      <c r="N10" s="29"/>
      <c r="O10" s="29"/>
      <c r="P10" s="29"/>
    </row>
    <row r="11" spans="1:16" ht="28.5" customHeight="1" x14ac:dyDescent="0.25">
      <c r="A11" s="48" t="s">
        <v>75</v>
      </c>
      <c r="B11" s="35" t="s">
        <v>76</v>
      </c>
      <c r="C11" s="34">
        <v>3</v>
      </c>
      <c r="D11" s="24">
        <f t="shared" ref="D11:D38" si="1">SUM(E11:O11)</f>
        <v>1</v>
      </c>
      <c r="E11" s="29"/>
      <c r="F11" s="29"/>
      <c r="G11" s="29"/>
      <c r="H11" s="29">
        <v>1</v>
      </c>
      <c r="I11" s="29"/>
      <c r="J11" s="29"/>
      <c r="K11" s="29"/>
      <c r="L11" s="29"/>
      <c r="M11" s="29"/>
      <c r="N11" s="29"/>
      <c r="O11" s="29"/>
      <c r="P11" s="36"/>
    </row>
    <row r="12" spans="1:16" ht="28.5" customHeight="1" x14ac:dyDescent="0.25">
      <c r="A12" s="49"/>
      <c r="B12" s="35" t="s">
        <v>77</v>
      </c>
      <c r="C12" s="34">
        <v>3</v>
      </c>
      <c r="D12" s="24">
        <f t="shared" si="1"/>
        <v>0</v>
      </c>
      <c r="E12" s="29"/>
      <c r="F12" s="29"/>
      <c r="G12" s="29"/>
      <c r="H12" s="29"/>
      <c r="I12" s="29"/>
      <c r="J12" s="29"/>
      <c r="K12" s="29"/>
      <c r="L12" s="29"/>
      <c r="M12" s="29"/>
      <c r="N12" s="29"/>
      <c r="O12" s="29"/>
      <c r="P12" s="36"/>
    </row>
    <row r="13" spans="1:16" ht="28.5" customHeight="1" x14ac:dyDescent="0.25">
      <c r="A13" s="49"/>
      <c r="B13" s="35" t="s">
        <v>78</v>
      </c>
      <c r="C13" s="34">
        <v>28</v>
      </c>
      <c r="D13" s="24">
        <f t="shared" si="1"/>
        <v>8</v>
      </c>
      <c r="E13" s="29"/>
      <c r="F13" s="29">
        <v>3</v>
      </c>
      <c r="G13" s="29">
        <v>2</v>
      </c>
      <c r="H13" s="29"/>
      <c r="I13" s="29">
        <v>2</v>
      </c>
      <c r="J13" s="29">
        <v>1</v>
      </c>
      <c r="K13" s="29"/>
      <c r="L13" s="29"/>
      <c r="M13" s="29"/>
      <c r="N13" s="29"/>
      <c r="O13" s="29"/>
      <c r="P13" s="36"/>
    </row>
    <row r="14" spans="1:16" ht="28.5" customHeight="1" x14ac:dyDescent="0.25">
      <c r="A14" s="49"/>
      <c r="B14" s="35" t="s">
        <v>79</v>
      </c>
      <c r="C14" s="34">
        <v>14</v>
      </c>
      <c r="D14" s="24">
        <f t="shared" si="1"/>
        <v>7</v>
      </c>
      <c r="E14" s="29"/>
      <c r="F14" s="29"/>
      <c r="G14" s="29">
        <v>7</v>
      </c>
      <c r="H14" s="29"/>
      <c r="I14" s="29"/>
      <c r="J14" s="29"/>
      <c r="K14" s="29"/>
      <c r="L14" s="29"/>
      <c r="M14" s="29"/>
      <c r="N14" s="29"/>
      <c r="O14" s="29"/>
      <c r="P14" s="36"/>
    </row>
    <row r="15" spans="1:16" ht="28.5" customHeight="1" x14ac:dyDescent="0.25">
      <c r="A15" s="49"/>
      <c r="B15" s="35" t="s">
        <v>80</v>
      </c>
      <c r="C15" s="34">
        <v>0</v>
      </c>
      <c r="D15" s="24">
        <f t="shared" si="1"/>
        <v>0</v>
      </c>
      <c r="E15" s="29"/>
      <c r="F15" s="29"/>
      <c r="G15" s="29"/>
      <c r="H15" s="29"/>
      <c r="I15" s="29"/>
      <c r="J15" s="29"/>
      <c r="K15" s="29"/>
      <c r="L15" s="29"/>
      <c r="M15" s="29"/>
      <c r="N15" s="29"/>
      <c r="O15" s="29"/>
      <c r="P15" s="36"/>
    </row>
    <row r="16" spans="1:16" ht="28.5" customHeight="1" x14ac:dyDescent="0.25">
      <c r="A16" s="49"/>
      <c r="B16" s="35" t="s">
        <v>81</v>
      </c>
      <c r="C16" s="34">
        <v>7</v>
      </c>
      <c r="D16" s="24">
        <f t="shared" si="1"/>
        <v>4</v>
      </c>
      <c r="E16" s="29"/>
      <c r="F16" s="29"/>
      <c r="G16" s="29"/>
      <c r="H16" s="29">
        <v>3</v>
      </c>
      <c r="I16" s="29"/>
      <c r="J16" s="29">
        <v>1</v>
      </c>
      <c r="K16" s="29"/>
      <c r="L16" s="29"/>
      <c r="M16" s="29"/>
      <c r="N16" s="29"/>
      <c r="O16" s="29"/>
      <c r="P16" s="36"/>
    </row>
    <row r="17" spans="1:16" ht="28.5" customHeight="1" x14ac:dyDescent="0.25">
      <c r="A17" s="49"/>
      <c r="B17" s="35" t="s">
        <v>82</v>
      </c>
      <c r="C17" s="34">
        <v>0</v>
      </c>
      <c r="D17" s="24">
        <f t="shared" si="1"/>
        <v>0</v>
      </c>
      <c r="E17" s="29"/>
      <c r="F17" s="29"/>
      <c r="G17" s="29"/>
      <c r="H17" s="29"/>
      <c r="I17" s="29"/>
      <c r="J17" s="29"/>
      <c r="K17" s="29"/>
      <c r="L17" s="29"/>
      <c r="M17" s="29"/>
      <c r="N17" s="29"/>
      <c r="O17" s="29"/>
      <c r="P17" s="36"/>
    </row>
    <row r="18" spans="1:16" ht="28.5" customHeight="1" x14ac:dyDescent="0.25">
      <c r="A18" s="49"/>
      <c r="B18" s="35" t="s">
        <v>83</v>
      </c>
      <c r="C18" s="34">
        <v>0</v>
      </c>
      <c r="D18" s="24">
        <f t="shared" si="1"/>
        <v>0</v>
      </c>
      <c r="E18" s="29"/>
      <c r="F18" s="29"/>
      <c r="G18" s="29"/>
      <c r="H18" s="29"/>
      <c r="I18" s="29"/>
      <c r="J18" s="29"/>
      <c r="K18" s="29"/>
      <c r="L18" s="29"/>
      <c r="M18" s="29"/>
      <c r="N18" s="29"/>
      <c r="O18" s="29"/>
      <c r="P18" s="36"/>
    </row>
    <row r="19" spans="1:16" ht="28.5" customHeight="1" x14ac:dyDescent="0.25">
      <c r="A19" s="49"/>
      <c r="B19" s="35" t="s">
        <v>84</v>
      </c>
      <c r="C19" s="34">
        <v>2</v>
      </c>
      <c r="D19" s="24">
        <f t="shared" si="1"/>
        <v>1</v>
      </c>
      <c r="E19" s="29"/>
      <c r="F19" s="29"/>
      <c r="G19" s="29"/>
      <c r="H19" s="29">
        <v>1</v>
      </c>
      <c r="I19" s="29"/>
      <c r="J19" s="29"/>
      <c r="K19" s="29"/>
      <c r="L19" s="29"/>
      <c r="M19" s="29"/>
      <c r="N19" s="29"/>
      <c r="O19" s="29"/>
      <c r="P19" s="36"/>
    </row>
    <row r="20" spans="1:16" ht="28.5" customHeight="1" x14ac:dyDescent="0.25">
      <c r="A20" s="49"/>
      <c r="B20" s="35" t="s">
        <v>85</v>
      </c>
      <c r="C20" s="34">
        <v>0</v>
      </c>
      <c r="D20" s="24">
        <f t="shared" si="1"/>
        <v>0</v>
      </c>
      <c r="E20" s="29"/>
      <c r="F20" s="29"/>
      <c r="G20" s="29"/>
      <c r="H20" s="29"/>
      <c r="I20" s="29"/>
      <c r="J20" s="29"/>
      <c r="K20" s="29"/>
      <c r="L20" s="29"/>
      <c r="M20" s="29"/>
      <c r="N20" s="29"/>
      <c r="O20" s="29"/>
      <c r="P20" s="36"/>
    </row>
    <row r="21" spans="1:16" ht="28.5" customHeight="1" x14ac:dyDescent="0.25">
      <c r="A21" s="49"/>
      <c r="B21" s="35" t="s">
        <v>86</v>
      </c>
      <c r="C21" s="34">
        <v>3</v>
      </c>
      <c r="D21" s="24">
        <f t="shared" si="1"/>
        <v>0</v>
      </c>
      <c r="E21" s="29"/>
      <c r="F21" s="29"/>
      <c r="G21" s="29"/>
      <c r="H21" s="29"/>
      <c r="I21" s="29"/>
      <c r="J21" s="29"/>
      <c r="K21" s="29"/>
      <c r="L21" s="29"/>
      <c r="M21" s="29"/>
      <c r="N21" s="29"/>
      <c r="O21" s="29"/>
      <c r="P21" s="36"/>
    </row>
    <row r="22" spans="1:16" ht="28.5" customHeight="1" x14ac:dyDescent="0.25">
      <c r="A22" s="49"/>
      <c r="B22" s="35" t="s">
        <v>87</v>
      </c>
      <c r="C22" s="34">
        <v>0</v>
      </c>
      <c r="D22" s="24">
        <f t="shared" si="1"/>
        <v>0</v>
      </c>
      <c r="E22" s="29"/>
      <c r="F22" s="29"/>
      <c r="G22" s="29"/>
      <c r="H22" s="29"/>
      <c r="I22" s="29"/>
      <c r="J22" s="29"/>
      <c r="K22" s="29"/>
      <c r="L22" s="29"/>
      <c r="M22" s="29"/>
      <c r="N22" s="29"/>
      <c r="O22" s="29"/>
      <c r="P22" s="36"/>
    </row>
    <row r="23" spans="1:16" ht="28.5" customHeight="1" x14ac:dyDescent="0.25">
      <c r="A23" s="49"/>
      <c r="B23" s="35" t="s">
        <v>88</v>
      </c>
      <c r="C23" s="34">
        <v>0</v>
      </c>
      <c r="D23" s="24">
        <f t="shared" si="1"/>
        <v>0</v>
      </c>
      <c r="E23" s="29"/>
      <c r="F23" s="29"/>
      <c r="G23" s="29"/>
      <c r="H23" s="29"/>
      <c r="I23" s="29"/>
      <c r="J23" s="29"/>
      <c r="K23" s="29"/>
      <c r="L23" s="29"/>
      <c r="M23" s="29"/>
      <c r="N23" s="29"/>
      <c r="O23" s="29"/>
      <c r="P23" s="36"/>
    </row>
    <row r="24" spans="1:16" ht="28.5" customHeight="1" x14ac:dyDescent="0.25">
      <c r="A24" s="49"/>
      <c r="B24" s="35" t="s">
        <v>89</v>
      </c>
      <c r="C24" s="34">
        <v>0</v>
      </c>
      <c r="D24" s="24">
        <f t="shared" si="1"/>
        <v>0</v>
      </c>
      <c r="E24" s="29"/>
      <c r="F24" s="29"/>
      <c r="G24" s="29"/>
      <c r="H24" s="29"/>
      <c r="I24" s="29"/>
      <c r="J24" s="29"/>
      <c r="K24" s="29"/>
      <c r="L24" s="29"/>
      <c r="M24" s="29"/>
      <c r="N24" s="29"/>
      <c r="O24" s="29"/>
      <c r="P24" s="36"/>
    </row>
    <row r="25" spans="1:16" ht="28.5" customHeight="1" x14ac:dyDescent="0.25">
      <c r="A25" s="49"/>
      <c r="B25" s="35" t="s">
        <v>90</v>
      </c>
      <c r="C25" s="34">
        <v>224</v>
      </c>
      <c r="D25" s="24">
        <f t="shared" si="1"/>
        <v>113</v>
      </c>
      <c r="E25" s="29">
        <v>56</v>
      </c>
      <c r="F25" s="29"/>
      <c r="G25" s="29"/>
      <c r="H25" s="29">
        <v>56</v>
      </c>
      <c r="I25" s="29"/>
      <c r="J25" s="29">
        <v>1</v>
      </c>
      <c r="K25" s="29"/>
      <c r="L25" s="29"/>
      <c r="M25" s="29"/>
      <c r="N25" s="29"/>
      <c r="O25" s="29"/>
      <c r="P25" s="36"/>
    </row>
    <row r="26" spans="1:16" ht="28.5" customHeight="1" x14ac:dyDescent="0.25">
      <c r="A26" s="49"/>
      <c r="B26" s="35" t="s">
        <v>91</v>
      </c>
      <c r="C26" s="34">
        <v>2</v>
      </c>
      <c r="D26" s="24">
        <f t="shared" si="1"/>
        <v>2</v>
      </c>
      <c r="E26" s="29"/>
      <c r="F26" s="29"/>
      <c r="G26" s="29"/>
      <c r="H26" s="29">
        <v>1</v>
      </c>
      <c r="I26" s="29"/>
      <c r="J26" s="29">
        <v>1</v>
      </c>
      <c r="K26" s="29"/>
      <c r="L26" s="29"/>
      <c r="M26" s="29"/>
      <c r="N26" s="29"/>
      <c r="O26" s="29"/>
      <c r="P26" s="36"/>
    </row>
    <row r="27" spans="1:16" ht="24" customHeight="1" x14ac:dyDescent="0.25">
      <c r="A27" s="49"/>
      <c r="B27" s="37" t="s">
        <v>92</v>
      </c>
      <c r="C27" s="34">
        <v>3</v>
      </c>
      <c r="D27" s="24">
        <f t="shared" si="1"/>
        <v>3</v>
      </c>
      <c r="E27" s="29"/>
      <c r="F27" s="29"/>
      <c r="G27" s="29">
        <v>3</v>
      </c>
      <c r="H27" s="29"/>
      <c r="I27" s="29"/>
      <c r="J27" s="29"/>
      <c r="K27" s="29"/>
      <c r="L27" s="29"/>
      <c r="M27" s="29"/>
      <c r="N27" s="29"/>
      <c r="O27" s="29"/>
      <c r="P27" s="36"/>
    </row>
    <row r="28" spans="1:16" ht="24" customHeight="1" x14ac:dyDescent="0.25">
      <c r="A28" s="49"/>
      <c r="B28" s="37" t="s">
        <v>93</v>
      </c>
      <c r="C28" s="34">
        <v>3</v>
      </c>
      <c r="D28" s="24">
        <f t="shared" si="1"/>
        <v>3</v>
      </c>
      <c r="E28" s="29"/>
      <c r="F28" s="29"/>
      <c r="G28" s="29"/>
      <c r="H28" s="29">
        <v>1</v>
      </c>
      <c r="I28" s="29"/>
      <c r="J28" s="29">
        <v>2</v>
      </c>
      <c r="K28" s="29"/>
      <c r="L28" s="29"/>
      <c r="M28" s="29"/>
      <c r="N28" s="29"/>
      <c r="O28" s="29"/>
      <c r="P28" s="36"/>
    </row>
    <row r="29" spans="1:16" ht="24" customHeight="1" x14ac:dyDescent="0.25">
      <c r="A29" s="49"/>
      <c r="B29" s="37" t="s">
        <v>94</v>
      </c>
      <c r="C29" s="34">
        <v>3</v>
      </c>
      <c r="D29" s="24">
        <f t="shared" si="1"/>
        <v>3</v>
      </c>
      <c r="E29" s="29"/>
      <c r="F29" s="29"/>
      <c r="G29" s="29"/>
      <c r="H29" s="29">
        <v>1</v>
      </c>
      <c r="I29" s="29"/>
      <c r="J29" s="29">
        <v>2</v>
      </c>
      <c r="K29" s="29"/>
      <c r="L29" s="29"/>
      <c r="M29" s="29"/>
      <c r="N29" s="29"/>
      <c r="O29" s="29"/>
      <c r="P29" s="36"/>
    </row>
    <row r="30" spans="1:16" ht="24" customHeight="1" x14ac:dyDescent="0.25">
      <c r="A30" s="49"/>
      <c r="B30" s="37" t="s">
        <v>95</v>
      </c>
      <c r="C30" s="34">
        <v>3</v>
      </c>
      <c r="D30" s="24">
        <f t="shared" si="1"/>
        <v>0</v>
      </c>
      <c r="E30" s="29"/>
      <c r="F30" s="29"/>
      <c r="G30" s="29"/>
      <c r="H30" s="29"/>
      <c r="I30" s="29"/>
      <c r="J30" s="29"/>
      <c r="K30" s="29"/>
      <c r="L30" s="29"/>
      <c r="M30" s="29"/>
      <c r="N30" s="29"/>
      <c r="O30" s="29"/>
      <c r="P30" s="36"/>
    </row>
    <row r="31" spans="1:16" ht="24" customHeight="1" x14ac:dyDescent="0.25">
      <c r="A31" s="49"/>
      <c r="B31" s="37" t="s">
        <v>96</v>
      </c>
      <c r="C31" s="34">
        <v>3</v>
      </c>
      <c r="D31" s="24">
        <f t="shared" si="1"/>
        <v>0</v>
      </c>
      <c r="E31" s="29"/>
      <c r="F31" s="29"/>
      <c r="G31" s="29"/>
      <c r="H31" s="29"/>
      <c r="I31" s="29"/>
      <c r="J31" s="29"/>
      <c r="K31" s="29"/>
      <c r="L31" s="29"/>
      <c r="M31" s="29"/>
      <c r="N31" s="29"/>
      <c r="O31" s="29"/>
      <c r="P31" s="36"/>
    </row>
    <row r="32" spans="1:16" ht="24" customHeight="1" x14ac:dyDescent="0.25">
      <c r="A32" s="49"/>
      <c r="B32" s="37" t="s">
        <v>97</v>
      </c>
      <c r="C32" s="34">
        <v>1</v>
      </c>
      <c r="D32" s="24">
        <f t="shared" si="1"/>
        <v>0</v>
      </c>
      <c r="E32" s="29"/>
      <c r="F32" s="29"/>
      <c r="G32" s="29"/>
      <c r="H32" s="29"/>
      <c r="I32" s="29"/>
      <c r="J32" s="29"/>
      <c r="K32" s="29"/>
      <c r="L32" s="29"/>
      <c r="M32" s="29"/>
      <c r="N32" s="29"/>
      <c r="O32" s="29"/>
      <c r="P32" s="36"/>
    </row>
    <row r="33" spans="1:16" ht="24" customHeight="1" x14ac:dyDescent="0.25">
      <c r="A33" s="49"/>
      <c r="B33" s="37" t="s">
        <v>98</v>
      </c>
      <c r="C33" s="34">
        <v>1</v>
      </c>
      <c r="D33" s="24">
        <f t="shared" si="1"/>
        <v>0</v>
      </c>
      <c r="E33" s="29"/>
      <c r="F33" s="29"/>
      <c r="G33" s="29"/>
      <c r="H33" s="29"/>
      <c r="I33" s="29"/>
      <c r="J33" s="29"/>
      <c r="K33" s="29"/>
      <c r="L33" s="29"/>
      <c r="M33" s="29"/>
      <c r="N33" s="29"/>
      <c r="O33" s="29"/>
      <c r="P33" s="36"/>
    </row>
    <row r="34" spans="1:16" ht="24" customHeight="1" x14ac:dyDescent="0.25">
      <c r="A34" s="49"/>
      <c r="B34" s="37" t="s">
        <v>99</v>
      </c>
      <c r="C34" s="34">
        <v>1</v>
      </c>
      <c r="D34" s="24">
        <f t="shared" si="1"/>
        <v>0</v>
      </c>
      <c r="E34" s="29"/>
      <c r="F34" s="29"/>
      <c r="G34" s="29"/>
      <c r="H34" s="29"/>
      <c r="I34" s="29"/>
      <c r="J34" s="29"/>
      <c r="K34" s="29"/>
      <c r="L34" s="29"/>
      <c r="M34" s="29"/>
      <c r="N34" s="29"/>
      <c r="O34" s="29"/>
      <c r="P34" s="36"/>
    </row>
    <row r="35" spans="1:16" ht="24" customHeight="1" x14ac:dyDescent="0.25">
      <c r="A35" s="49"/>
      <c r="B35" s="37" t="s">
        <v>100</v>
      </c>
      <c r="C35" s="34">
        <v>1</v>
      </c>
      <c r="D35" s="24">
        <f t="shared" si="1"/>
        <v>0</v>
      </c>
      <c r="E35" s="29"/>
      <c r="F35" s="29"/>
      <c r="G35" s="29"/>
      <c r="H35" s="29"/>
      <c r="I35" s="29"/>
      <c r="J35" s="29"/>
      <c r="K35" s="29"/>
      <c r="L35" s="29"/>
      <c r="M35" s="29"/>
      <c r="N35" s="29"/>
      <c r="O35" s="29"/>
      <c r="P35" s="36"/>
    </row>
    <row r="36" spans="1:16" ht="24" customHeight="1" x14ac:dyDescent="0.25">
      <c r="A36" s="49"/>
      <c r="B36" s="37" t="s">
        <v>101</v>
      </c>
      <c r="C36" s="34">
        <v>1</v>
      </c>
      <c r="D36" s="24">
        <f t="shared" si="1"/>
        <v>0</v>
      </c>
      <c r="E36" s="29"/>
      <c r="F36" s="29"/>
      <c r="G36" s="29"/>
      <c r="H36" s="29"/>
      <c r="I36" s="29"/>
      <c r="J36" s="29"/>
      <c r="K36" s="29"/>
      <c r="L36" s="29"/>
      <c r="M36" s="29"/>
      <c r="N36" s="29"/>
      <c r="O36" s="29"/>
      <c r="P36" s="36"/>
    </row>
    <row r="37" spans="1:16" ht="24" customHeight="1" x14ac:dyDescent="0.25">
      <c r="A37" s="49"/>
      <c r="B37" s="37" t="s">
        <v>102</v>
      </c>
      <c r="C37" s="34">
        <v>1</v>
      </c>
      <c r="D37" s="24">
        <f t="shared" si="1"/>
        <v>0</v>
      </c>
      <c r="E37" s="29"/>
      <c r="F37" s="29"/>
      <c r="G37" s="29"/>
      <c r="H37" s="29"/>
      <c r="I37" s="29"/>
      <c r="J37" s="29"/>
      <c r="K37" s="29"/>
      <c r="L37" s="29"/>
      <c r="M37" s="29"/>
      <c r="N37" s="29"/>
      <c r="O37" s="29"/>
      <c r="P37" s="36"/>
    </row>
    <row r="38" spans="1:16" ht="24" customHeight="1" thickBot="1" x14ac:dyDescent="0.3">
      <c r="A38" s="50"/>
      <c r="B38" s="38" t="s">
        <v>103</v>
      </c>
      <c r="C38" s="34">
        <v>1</v>
      </c>
      <c r="D38" s="24">
        <f t="shared" si="1"/>
        <v>0</v>
      </c>
      <c r="E38" s="29"/>
      <c r="F38" s="29"/>
      <c r="G38" s="29"/>
      <c r="H38" s="29"/>
      <c r="I38" s="29"/>
      <c r="J38" s="29"/>
      <c r="K38" s="29"/>
      <c r="L38" s="29"/>
      <c r="M38" s="29"/>
      <c r="N38" s="29"/>
      <c r="O38" s="29"/>
      <c r="P38" s="36"/>
    </row>
    <row r="39" spans="1:16" x14ac:dyDescent="0.25">
      <c r="C39" s="39">
        <f>SUM(C3:C38)</f>
        <v>321</v>
      </c>
      <c r="D39" s="40">
        <f>SUM(D3:D38)</f>
        <v>150</v>
      </c>
    </row>
    <row r="40" spans="1:16" x14ac:dyDescent="0.25">
      <c r="C40" s="17"/>
      <c r="D40" s="41">
        <f>D39/C39</f>
        <v>0.46728971962616822</v>
      </c>
    </row>
  </sheetData>
  <sheetProtection algorithmName="SHA-512" hashValue="4dlqL2noR0KjTfOfcvT1upAqRbez3VgiAc1tk6w9oAkjdnu7FFMmCl4AEtbHJx53Re3Uwf+R+B9Dz3E3xelFNw==" saltValue="ZuAG26LsFhwE/IeaSYyfaw==" spinCount="100000" sheet="1" objects="1" scenarios="1" autoFilter="0"/>
  <mergeCells count="2">
    <mergeCell ref="A1:A2"/>
    <mergeCell ref="A11:A38"/>
  </mergeCells>
  <conditionalFormatting sqref="C10">
    <cfRule type="dataBar" priority="2">
      <dataBar>
        <cfvo type="min"/>
        <cfvo type="max"/>
        <color rgb="FF008AEF"/>
      </dataBar>
      <extLst>
        <ext xmlns:x14="http://schemas.microsoft.com/office/spreadsheetml/2009/9/main" uri="{B025F937-C7B1-47D3-B67F-A62EFF666E3E}">
          <x14:id>{332511AA-5EAC-4D39-BB5A-F44E78D77779}</x14:id>
        </ext>
      </extLst>
    </cfRule>
  </conditionalFormatting>
  <conditionalFormatting sqref="C3:D3 D4:D10">
    <cfRule type="dataBar" priority="56">
      <dataBar>
        <cfvo type="min"/>
        <cfvo type="max"/>
        <color rgb="FF008AEF"/>
      </dataBar>
      <extLst>
        <ext xmlns:x14="http://schemas.microsoft.com/office/spreadsheetml/2009/9/main" uri="{B025F937-C7B1-47D3-B67F-A62EFF666E3E}">
          <x14:id>{0474BDF6-6CF2-48E2-BF35-CE1C4D761CC3}</x14:id>
        </ext>
      </extLst>
    </cfRule>
  </conditionalFormatting>
  <conditionalFormatting sqref="C4:D4">
    <cfRule type="dataBar" priority="6">
      <dataBar>
        <cfvo type="min"/>
        <cfvo type="max"/>
        <color rgb="FF008AEF"/>
      </dataBar>
      <extLst>
        <ext xmlns:x14="http://schemas.microsoft.com/office/spreadsheetml/2009/9/main" uri="{B025F937-C7B1-47D3-B67F-A62EFF666E3E}">
          <x14:id>{1B88B641-08B2-41E9-B88B-2F4C4C2B46F0}</x14:id>
        </ext>
      </extLst>
    </cfRule>
  </conditionalFormatting>
  <conditionalFormatting sqref="C5:D5">
    <cfRule type="dataBar" priority="7">
      <dataBar>
        <cfvo type="min"/>
        <cfvo type="max"/>
        <color rgb="FF008AEF"/>
      </dataBar>
      <extLst>
        <ext xmlns:x14="http://schemas.microsoft.com/office/spreadsheetml/2009/9/main" uri="{B025F937-C7B1-47D3-B67F-A62EFF666E3E}">
          <x14:id>{0D7999E8-D923-4E84-9C5B-8BD00F8BD0DB}</x14:id>
        </ext>
      </extLst>
    </cfRule>
  </conditionalFormatting>
  <conditionalFormatting sqref="C6:D6">
    <cfRule type="dataBar" priority="8">
      <dataBar>
        <cfvo type="min"/>
        <cfvo type="max"/>
        <color rgb="FF008AEF"/>
      </dataBar>
      <extLst>
        <ext xmlns:x14="http://schemas.microsoft.com/office/spreadsheetml/2009/9/main" uri="{B025F937-C7B1-47D3-B67F-A62EFF666E3E}">
          <x14:id>{64D82556-A7BF-4480-AD43-5A32D50110CF}</x14:id>
        </ext>
      </extLst>
    </cfRule>
  </conditionalFormatting>
  <conditionalFormatting sqref="C7:D7">
    <cfRule type="dataBar" priority="9">
      <dataBar>
        <cfvo type="min"/>
        <cfvo type="max"/>
        <color rgb="FF008AEF"/>
      </dataBar>
      <extLst>
        <ext xmlns:x14="http://schemas.microsoft.com/office/spreadsheetml/2009/9/main" uri="{B025F937-C7B1-47D3-B67F-A62EFF666E3E}">
          <x14:id>{7FA0C264-9751-42DA-A141-451460C6A055}</x14:id>
        </ext>
      </extLst>
    </cfRule>
  </conditionalFormatting>
  <conditionalFormatting sqref="C8:D8">
    <cfRule type="dataBar" priority="10">
      <dataBar>
        <cfvo type="min"/>
        <cfvo type="max"/>
        <color rgb="FF008AEF"/>
      </dataBar>
      <extLst>
        <ext xmlns:x14="http://schemas.microsoft.com/office/spreadsheetml/2009/9/main" uri="{B025F937-C7B1-47D3-B67F-A62EFF666E3E}">
          <x14:id>{8B0D4F57-B4E7-48F9-90FD-0FAA91105918}</x14:id>
        </ext>
      </extLst>
    </cfRule>
  </conditionalFormatting>
  <conditionalFormatting sqref="C9:D9">
    <cfRule type="dataBar" priority="11">
      <dataBar>
        <cfvo type="min"/>
        <cfvo type="max"/>
        <color rgb="FF008AEF"/>
      </dataBar>
      <extLst>
        <ext xmlns:x14="http://schemas.microsoft.com/office/spreadsheetml/2009/9/main" uri="{B025F937-C7B1-47D3-B67F-A62EFF666E3E}">
          <x14:id>{1B556A7D-EBF8-45C8-8805-F0B7E1934B5A}</x14:id>
        </ext>
      </extLst>
    </cfRule>
  </conditionalFormatting>
  <conditionalFormatting sqref="C11:D11">
    <cfRule type="dataBar" priority="13">
      <dataBar>
        <cfvo type="min"/>
        <cfvo type="max"/>
        <color rgb="FF008AEF"/>
      </dataBar>
      <extLst>
        <ext xmlns:x14="http://schemas.microsoft.com/office/spreadsheetml/2009/9/main" uri="{B025F937-C7B1-47D3-B67F-A62EFF666E3E}">
          <x14:id>{5A30C1BB-E350-429A-A586-41098C6DFDCB}</x14:id>
        </ext>
      </extLst>
    </cfRule>
  </conditionalFormatting>
  <conditionalFormatting sqref="C12:D12">
    <cfRule type="dataBar" priority="40">
      <dataBar>
        <cfvo type="min"/>
        <cfvo type="max"/>
        <color rgb="FF008AEF"/>
      </dataBar>
      <extLst>
        <ext xmlns:x14="http://schemas.microsoft.com/office/spreadsheetml/2009/9/main" uri="{B025F937-C7B1-47D3-B67F-A62EFF666E3E}">
          <x14:id>{7A7F3FD7-BBA1-426C-B7DB-792537415DF9}</x14:id>
        </ext>
      </extLst>
    </cfRule>
  </conditionalFormatting>
  <conditionalFormatting sqref="C13:D13">
    <cfRule type="dataBar" priority="39">
      <dataBar>
        <cfvo type="min"/>
        <cfvo type="max"/>
        <color rgb="FF008AEF"/>
      </dataBar>
      <extLst>
        <ext xmlns:x14="http://schemas.microsoft.com/office/spreadsheetml/2009/9/main" uri="{B025F937-C7B1-47D3-B67F-A62EFF666E3E}">
          <x14:id>{BE4EA92D-DEA3-476F-9A3D-F0960A7D7DF8}</x14:id>
        </ext>
      </extLst>
    </cfRule>
  </conditionalFormatting>
  <conditionalFormatting sqref="C14:D14">
    <cfRule type="dataBar" priority="38">
      <dataBar>
        <cfvo type="min"/>
        <cfvo type="max"/>
        <color rgb="FF008AEF"/>
      </dataBar>
      <extLst>
        <ext xmlns:x14="http://schemas.microsoft.com/office/spreadsheetml/2009/9/main" uri="{B025F937-C7B1-47D3-B67F-A62EFF666E3E}">
          <x14:id>{A62850BD-4E10-4CBC-B5EF-F09B3AC6DB34}</x14:id>
        </ext>
      </extLst>
    </cfRule>
  </conditionalFormatting>
  <conditionalFormatting sqref="C15:D15">
    <cfRule type="dataBar" priority="37">
      <dataBar>
        <cfvo type="min"/>
        <cfvo type="max"/>
        <color rgb="FF008AEF"/>
      </dataBar>
      <extLst>
        <ext xmlns:x14="http://schemas.microsoft.com/office/spreadsheetml/2009/9/main" uri="{B025F937-C7B1-47D3-B67F-A62EFF666E3E}">
          <x14:id>{044B223E-921F-4B2F-9D31-5CF14F3B5320}</x14:id>
        </ext>
      </extLst>
    </cfRule>
  </conditionalFormatting>
  <conditionalFormatting sqref="C16:D16">
    <cfRule type="dataBar" priority="36">
      <dataBar>
        <cfvo type="min"/>
        <cfvo type="max"/>
        <color rgb="FF008AEF"/>
      </dataBar>
      <extLst>
        <ext xmlns:x14="http://schemas.microsoft.com/office/spreadsheetml/2009/9/main" uri="{B025F937-C7B1-47D3-B67F-A62EFF666E3E}">
          <x14:id>{728EAACB-96DD-4D93-8EC6-AA139A935C30}</x14:id>
        </ext>
      </extLst>
    </cfRule>
  </conditionalFormatting>
  <conditionalFormatting sqref="C17:D17">
    <cfRule type="dataBar" priority="35">
      <dataBar>
        <cfvo type="min"/>
        <cfvo type="max"/>
        <color rgb="FF008AEF"/>
      </dataBar>
      <extLst>
        <ext xmlns:x14="http://schemas.microsoft.com/office/spreadsheetml/2009/9/main" uri="{B025F937-C7B1-47D3-B67F-A62EFF666E3E}">
          <x14:id>{2E46A6D7-C491-4E83-A930-A6CC0D0DD617}</x14:id>
        </ext>
      </extLst>
    </cfRule>
  </conditionalFormatting>
  <conditionalFormatting sqref="C18:D18">
    <cfRule type="dataBar" priority="34">
      <dataBar>
        <cfvo type="min"/>
        <cfvo type="max"/>
        <color rgb="FF008AEF"/>
      </dataBar>
      <extLst>
        <ext xmlns:x14="http://schemas.microsoft.com/office/spreadsheetml/2009/9/main" uri="{B025F937-C7B1-47D3-B67F-A62EFF666E3E}">
          <x14:id>{7791DF36-2A4B-4DBC-BB84-13E98DF65789}</x14:id>
        </ext>
      </extLst>
    </cfRule>
  </conditionalFormatting>
  <conditionalFormatting sqref="C19:D19">
    <cfRule type="dataBar" priority="33">
      <dataBar>
        <cfvo type="min"/>
        <cfvo type="max"/>
        <color rgb="FF008AEF"/>
      </dataBar>
      <extLst>
        <ext xmlns:x14="http://schemas.microsoft.com/office/spreadsheetml/2009/9/main" uri="{B025F937-C7B1-47D3-B67F-A62EFF666E3E}">
          <x14:id>{864FB1E6-D459-4A49-B217-1761F10C7CBC}</x14:id>
        </ext>
      </extLst>
    </cfRule>
  </conditionalFormatting>
  <conditionalFormatting sqref="C20:D20">
    <cfRule type="dataBar" priority="32">
      <dataBar>
        <cfvo type="min"/>
        <cfvo type="max"/>
        <color rgb="FF008AEF"/>
      </dataBar>
      <extLst>
        <ext xmlns:x14="http://schemas.microsoft.com/office/spreadsheetml/2009/9/main" uri="{B025F937-C7B1-47D3-B67F-A62EFF666E3E}">
          <x14:id>{5964A61B-425E-41C6-8E6D-FFD1BF52A0A4}</x14:id>
        </ext>
      </extLst>
    </cfRule>
  </conditionalFormatting>
  <conditionalFormatting sqref="C21:D21">
    <cfRule type="dataBar" priority="31">
      <dataBar>
        <cfvo type="min"/>
        <cfvo type="max"/>
        <color rgb="FF008AEF"/>
      </dataBar>
      <extLst>
        <ext xmlns:x14="http://schemas.microsoft.com/office/spreadsheetml/2009/9/main" uri="{B025F937-C7B1-47D3-B67F-A62EFF666E3E}">
          <x14:id>{06F20F6A-E41D-466D-BC05-E292009775E7}</x14:id>
        </ext>
      </extLst>
    </cfRule>
  </conditionalFormatting>
  <conditionalFormatting sqref="C22:D22">
    <cfRule type="dataBar" priority="30">
      <dataBar>
        <cfvo type="min"/>
        <cfvo type="max"/>
        <color rgb="FF008AEF"/>
      </dataBar>
      <extLst>
        <ext xmlns:x14="http://schemas.microsoft.com/office/spreadsheetml/2009/9/main" uri="{B025F937-C7B1-47D3-B67F-A62EFF666E3E}">
          <x14:id>{7C6E7C77-2A08-4039-965E-ED7DC4FAB48A}</x14:id>
        </ext>
      </extLst>
    </cfRule>
  </conditionalFormatting>
  <conditionalFormatting sqref="C23:D23">
    <cfRule type="dataBar" priority="29">
      <dataBar>
        <cfvo type="min"/>
        <cfvo type="max"/>
        <color rgb="FF008AEF"/>
      </dataBar>
      <extLst>
        <ext xmlns:x14="http://schemas.microsoft.com/office/spreadsheetml/2009/9/main" uri="{B025F937-C7B1-47D3-B67F-A62EFF666E3E}">
          <x14:id>{6F09D86B-7259-4D4A-A693-ABB04915E1D1}</x14:id>
        </ext>
      </extLst>
    </cfRule>
  </conditionalFormatting>
  <conditionalFormatting sqref="C24:D24">
    <cfRule type="dataBar" priority="28">
      <dataBar>
        <cfvo type="min"/>
        <cfvo type="max"/>
        <color rgb="FF008AEF"/>
      </dataBar>
      <extLst>
        <ext xmlns:x14="http://schemas.microsoft.com/office/spreadsheetml/2009/9/main" uri="{B025F937-C7B1-47D3-B67F-A62EFF666E3E}">
          <x14:id>{7A531D8C-F2DC-465A-8492-746373C9F542}</x14:id>
        </ext>
      </extLst>
    </cfRule>
  </conditionalFormatting>
  <conditionalFormatting sqref="C25:D25">
    <cfRule type="dataBar" priority="27">
      <dataBar>
        <cfvo type="min"/>
        <cfvo type="max"/>
        <color rgb="FF008AEF"/>
      </dataBar>
      <extLst>
        <ext xmlns:x14="http://schemas.microsoft.com/office/spreadsheetml/2009/9/main" uri="{B025F937-C7B1-47D3-B67F-A62EFF666E3E}">
          <x14:id>{DA10DACD-F610-4E47-9A99-B03FEF0B4E71}</x14:id>
        </ext>
      </extLst>
    </cfRule>
  </conditionalFormatting>
  <conditionalFormatting sqref="C26:D26">
    <cfRule type="dataBar" priority="26">
      <dataBar>
        <cfvo type="min"/>
        <cfvo type="max"/>
        <color rgb="FF008AEF"/>
      </dataBar>
      <extLst>
        <ext xmlns:x14="http://schemas.microsoft.com/office/spreadsheetml/2009/9/main" uri="{B025F937-C7B1-47D3-B67F-A62EFF666E3E}">
          <x14:id>{BB7E5FCB-4AA2-493A-9963-0FA90287FAAD}</x14:id>
        </ext>
      </extLst>
    </cfRule>
  </conditionalFormatting>
  <conditionalFormatting sqref="C27:D27">
    <cfRule type="dataBar" priority="25">
      <dataBar>
        <cfvo type="min"/>
        <cfvo type="max"/>
        <color rgb="FF008AEF"/>
      </dataBar>
      <extLst>
        <ext xmlns:x14="http://schemas.microsoft.com/office/spreadsheetml/2009/9/main" uri="{B025F937-C7B1-47D3-B67F-A62EFF666E3E}">
          <x14:id>{0560E378-E4F9-45E8-9177-94211F5D91F1}</x14:id>
        </ext>
      </extLst>
    </cfRule>
  </conditionalFormatting>
  <conditionalFormatting sqref="C28:D28">
    <cfRule type="dataBar" priority="24">
      <dataBar>
        <cfvo type="min"/>
        <cfvo type="max"/>
        <color rgb="FF008AEF"/>
      </dataBar>
      <extLst>
        <ext xmlns:x14="http://schemas.microsoft.com/office/spreadsheetml/2009/9/main" uri="{B025F937-C7B1-47D3-B67F-A62EFF666E3E}">
          <x14:id>{2C61E93D-146A-446F-88BE-FD602F8884E6}</x14:id>
        </ext>
      </extLst>
    </cfRule>
  </conditionalFormatting>
  <conditionalFormatting sqref="C29:D29">
    <cfRule type="dataBar" priority="23">
      <dataBar>
        <cfvo type="min"/>
        <cfvo type="max"/>
        <color rgb="FF008AEF"/>
      </dataBar>
      <extLst>
        <ext xmlns:x14="http://schemas.microsoft.com/office/spreadsheetml/2009/9/main" uri="{B025F937-C7B1-47D3-B67F-A62EFF666E3E}">
          <x14:id>{7BCF35BF-DD73-4009-B048-31295B9CDA55}</x14:id>
        </ext>
      </extLst>
    </cfRule>
  </conditionalFormatting>
  <conditionalFormatting sqref="C30:D30">
    <cfRule type="dataBar" priority="22">
      <dataBar>
        <cfvo type="min"/>
        <cfvo type="max"/>
        <color rgb="FF008AEF"/>
      </dataBar>
      <extLst>
        <ext xmlns:x14="http://schemas.microsoft.com/office/spreadsheetml/2009/9/main" uri="{B025F937-C7B1-47D3-B67F-A62EFF666E3E}">
          <x14:id>{A170F621-6455-4A32-B1E0-A795A90FE7F6}</x14:id>
        </ext>
      </extLst>
    </cfRule>
  </conditionalFormatting>
  <conditionalFormatting sqref="C31:D31">
    <cfRule type="dataBar" priority="21">
      <dataBar>
        <cfvo type="min"/>
        <cfvo type="max"/>
        <color rgb="FF008AEF"/>
      </dataBar>
      <extLst>
        <ext xmlns:x14="http://schemas.microsoft.com/office/spreadsheetml/2009/9/main" uri="{B025F937-C7B1-47D3-B67F-A62EFF666E3E}">
          <x14:id>{69711847-809D-4EE2-BA05-4504F8B52706}</x14:id>
        </ext>
      </extLst>
    </cfRule>
  </conditionalFormatting>
  <conditionalFormatting sqref="C32:D32">
    <cfRule type="dataBar" priority="20">
      <dataBar>
        <cfvo type="min"/>
        <cfvo type="max"/>
        <color rgb="FF008AEF"/>
      </dataBar>
      <extLst>
        <ext xmlns:x14="http://schemas.microsoft.com/office/spreadsheetml/2009/9/main" uri="{B025F937-C7B1-47D3-B67F-A62EFF666E3E}">
          <x14:id>{939DE7A3-C4FA-4822-9C65-D86F87962678}</x14:id>
        </ext>
      </extLst>
    </cfRule>
  </conditionalFormatting>
  <conditionalFormatting sqref="C33:D33">
    <cfRule type="dataBar" priority="19">
      <dataBar>
        <cfvo type="min"/>
        <cfvo type="max"/>
        <color rgb="FF008AEF"/>
      </dataBar>
      <extLst>
        <ext xmlns:x14="http://schemas.microsoft.com/office/spreadsheetml/2009/9/main" uri="{B025F937-C7B1-47D3-B67F-A62EFF666E3E}">
          <x14:id>{5BD137C3-2ABB-4D0C-B32B-3ED13E0517BF}</x14:id>
        </ext>
      </extLst>
    </cfRule>
  </conditionalFormatting>
  <conditionalFormatting sqref="C34:D34">
    <cfRule type="dataBar" priority="18">
      <dataBar>
        <cfvo type="min"/>
        <cfvo type="max"/>
        <color rgb="FF008AEF"/>
      </dataBar>
      <extLst>
        <ext xmlns:x14="http://schemas.microsoft.com/office/spreadsheetml/2009/9/main" uri="{B025F937-C7B1-47D3-B67F-A62EFF666E3E}">
          <x14:id>{4805ECC6-C519-4EB8-AC76-241674D31D01}</x14:id>
        </ext>
      </extLst>
    </cfRule>
  </conditionalFormatting>
  <conditionalFormatting sqref="C35:D35">
    <cfRule type="dataBar" priority="17">
      <dataBar>
        <cfvo type="min"/>
        <cfvo type="max"/>
        <color rgb="FF008AEF"/>
      </dataBar>
      <extLst>
        <ext xmlns:x14="http://schemas.microsoft.com/office/spreadsheetml/2009/9/main" uri="{B025F937-C7B1-47D3-B67F-A62EFF666E3E}">
          <x14:id>{DDC65297-B85A-44F7-A4F1-91977D51CB63}</x14:id>
        </ext>
      </extLst>
    </cfRule>
  </conditionalFormatting>
  <conditionalFormatting sqref="C36:D36">
    <cfRule type="dataBar" priority="16">
      <dataBar>
        <cfvo type="min"/>
        <cfvo type="max"/>
        <color rgb="FF008AEF"/>
      </dataBar>
      <extLst>
        <ext xmlns:x14="http://schemas.microsoft.com/office/spreadsheetml/2009/9/main" uri="{B025F937-C7B1-47D3-B67F-A62EFF666E3E}">
          <x14:id>{D6A7791D-CDF6-4F3F-86A4-503EA4C16F2D}</x14:id>
        </ext>
      </extLst>
    </cfRule>
  </conditionalFormatting>
  <conditionalFormatting sqref="C37:D37">
    <cfRule type="dataBar" priority="15">
      <dataBar>
        <cfvo type="min"/>
        <cfvo type="max"/>
        <color rgb="FF008AEF"/>
      </dataBar>
      <extLst>
        <ext xmlns:x14="http://schemas.microsoft.com/office/spreadsheetml/2009/9/main" uri="{B025F937-C7B1-47D3-B67F-A62EFF666E3E}">
          <x14:id>{41B65A08-BBA7-4FE4-B4E3-BCA021A91237}</x14:id>
        </ext>
      </extLst>
    </cfRule>
  </conditionalFormatting>
  <conditionalFormatting sqref="C38:D38">
    <cfRule type="dataBar" priority="14">
      <dataBar>
        <cfvo type="min"/>
        <cfvo type="max"/>
        <color rgb="FF008AEF"/>
      </dataBar>
      <extLst>
        <ext xmlns:x14="http://schemas.microsoft.com/office/spreadsheetml/2009/9/main" uri="{B025F937-C7B1-47D3-B67F-A62EFF666E3E}">
          <x14:id>{9EB109CC-289C-4EF4-9A17-53CA96659BEC}</x14:id>
        </ext>
      </extLst>
    </cfRule>
  </conditionalFormatting>
  <conditionalFormatting sqref="E3:F34 E35:O38">
    <cfRule type="cellIs" dxfId="10" priority="3" operator="greaterThan">
      <formula>0</formula>
    </cfRule>
  </conditionalFormatting>
  <conditionalFormatting sqref="G11:O34">
    <cfRule type="cellIs" dxfId="9" priority="12" operator="greaterThan">
      <formula>0</formula>
    </cfRule>
  </conditionalFormatting>
  <conditionalFormatting sqref="G3:P10">
    <cfRule type="cellIs" dxfId="8" priority="4"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332511AA-5EAC-4D39-BB5A-F44E78D77779}">
            <x14:dataBar minLength="0" maxLength="100" gradient="0">
              <x14:cfvo type="autoMin"/>
              <x14:cfvo type="autoMax"/>
              <x14:negativeFillColor rgb="FFFF0000"/>
              <x14:axisColor rgb="FF000000"/>
            </x14:dataBar>
          </x14:cfRule>
          <xm:sqref>C10</xm:sqref>
        </x14:conditionalFormatting>
        <x14:conditionalFormatting xmlns:xm="http://schemas.microsoft.com/office/excel/2006/main">
          <x14:cfRule type="dataBar" id="{0474BDF6-6CF2-48E2-BF35-CE1C4D761CC3}">
            <x14:dataBar minLength="0" maxLength="100" gradient="0">
              <x14:cfvo type="autoMin"/>
              <x14:cfvo type="autoMax"/>
              <x14:negativeFillColor rgb="FFFF0000"/>
              <x14:axisColor rgb="FF000000"/>
            </x14:dataBar>
          </x14:cfRule>
          <xm:sqref>C3:D3 D4:D10</xm:sqref>
        </x14:conditionalFormatting>
        <x14:conditionalFormatting xmlns:xm="http://schemas.microsoft.com/office/excel/2006/main">
          <x14:cfRule type="dataBar" id="{1B88B641-08B2-41E9-B88B-2F4C4C2B46F0}">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0D7999E8-D923-4E84-9C5B-8BD00F8BD0DB}">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64D82556-A7BF-4480-AD43-5A32D50110CF}">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7FA0C264-9751-42DA-A141-451460C6A055}">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8B0D4F57-B4E7-48F9-90FD-0FAA91105918}">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1B556A7D-EBF8-45C8-8805-F0B7E1934B5A}">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5A30C1BB-E350-429A-A586-41098C6DFDCB}">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7A7F3FD7-BBA1-426C-B7DB-792537415DF9}">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BE4EA92D-DEA3-476F-9A3D-F0960A7D7DF8}">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A62850BD-4E10-4CBC-B5EF-F09B3AC6DB34}">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044B223E-921F-4B2F-9D31-5CF14F3B5320}">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728EAACB-96DD-4D93-8EC6-AA139A935C30}">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2E46A6D7-C491-4E83-A930-A6CC0D0DD617}">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7791DF36-2A4B-4DBC-BB84-13E98DF65789}">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864FB1E6-D459-4A49-B217-1761F10C7CBC}">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5964A61B-425E-41C6-8E6D-FFD1BF52A0A4}">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06F20F6A-E41D-466D-BC05-E292009775E7}">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7C6E7C77-2A08-4039-965E-ED7DC4FAB48A}">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6F09D86B-7259-4D4A-A693-ABB04915E1D1}">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7A531D8C-F2DC-465A-8492-746373C9F542}">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DA10DACD-F610-4E47-9A99-B03FEF0B4E71}">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BB7E5FCB-4AA2-493A-9963-0FA90287FAAD}">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0560E378-E4F9-45E8-9177-94211F5D91F1}">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2C61E93D-146A-446F-88BE-FD602F8884E6}">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7BCF35BF-DD73-4009-B048-31295B9CDA55}">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A170F621-6455-4A32-B1E0-A795A90FE7F6}">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69711847-809D-4EE2-BA05-4504F8B52706}">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939DE7A3-C4FA-4822-9C65-D86F87962678}">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5BD137C3-2ABB-4D0C-B32B-3ED13E0517BF}">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4805ECC6-C519-4EB8-AC76-241674D31D01}">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DDC65297-B85A-44F7-A4F1-91977D51CB63}">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D6A7791D-CDF6-4F3F-86A4-503EA4C16F2D}">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41B65A08-BBA7-4FE4-B4E3-BCA021A91237}">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9EB109CC-289C-4EF4-9A17-53CA96659BEC}">
            <x14:dataBar minLength="0" maxLength="100" gradient="0">
              <x14:cfvo type="autoMin"/>
              <x14:cfvo type="autoMax"/>
              <x14:negativeFillColor rgb="FFFF0000"/>
              <x14:axisColor rgb="FF000000"/>
            </x14:dataBar>
          </x14:cfRule>
          <xm:sqref>C38:D38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P40"/>
  <sheetViews>
    <sheetView topLeftCell="B16" zoomScale="80" zoomScaleNormal="80" workbookViewId="0">
      <selection activeCell="H35" sqref="H35"/>
    </sheetView>
  </sheetViews>
  <sheetFormatPr baseColWidth="10" defaultColWidth="11.42578125" defaultRowHeight="15" x14ac:dyDescent="0.25"/>
  <cols>
    <col min="1" max="1" width="9.140625" style="2" customWidth="1"/>
    <col min="2" max="2" width="89.85546875" style="2" customWidth="1"/>
    <col min="3" max="3" width="11.42578125" style="2"/>
    <col min="4" max="4" width="22.42578125" style="2" customWidth="1"/>
    <col min="5" max="9" width="17.28515625" style="2" customWidth="1"/>
    <col min="10" max="16384" width="11.42578125" style="2"/>
  </cols>
  <sheetData>
    <row r="1" spans="1:16" ht="61.5" customHeight="1" x14ac:dyDescent="0.25">
      <c r="A1" s="46" t="s">
        <v>1</v>
      </c>
      <c r="B1" s="26" t="s">
        <v>44</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7"/>
      <c r="B2" s="26"/>
      <c r="C2" s="3">
        <v>2026</v>
      </c>
      <c r="D2" s="3" t="s">
        <v>16</v>
      </c>
      <c r="E2" s="27"/>
      <c r="F2" s="27"/>
      <c r="G2" s="27"/>
      <c r="H2" s="27"/>
      <c r="I2" s="27"/>
      <c r="J2" s="27"/>
      <c r="K2" s="27"/>
      <c r="L2" s="27"/>
      <c r="M2" s="27"/>
      <c r="N2" s="27"/>
      <c r="O2" s="27"/>
      <c r="P2" s="27"/>
    </row>
    <row r="3" spans="1:16" ht="81" customHeight="1" x14ac:dyDescent="0.25">
      <c r="A3" s="43" t="s">
        <v>20</v>
      </c>
      <c r="B3" s="15" t="s">
        <v>19</v>
      </c>
      <c r="C3" s="6">
        <v>2</v>
      </c>
      <c r="D3" s="24">
        <f t="shared" ref="D3:D10" si="0">SUM(E3:P3)</f>
        <v>0</v>
      </c>
      <c r="E3" s="29">
        <v>0</v>
      </c>
      <c r="F3" s="29">
        <v>0</v>
      </c>
      <c r="G3" s="29">
        <v>0</v>
      </c>
      <c r="H3" s="29">
        <v>0</v>
      </c>
      <c r="I3" s="29"/>
      <c r="J3" s="29"/>
      <c r="K3" s="29"/>
      <c r="L3" s="29"/>
      <c r="M3" s="29"/>
      <c r="N3" s="29"/>
      <c r="O3" s="29"/>
      <c r="P3" s="29"/>
    </row>
    <row r="4" spans="1:16" ht="81" customHeight="1" x14ac:dyDescent="0.25">
      <c r="A4" s="42" t="s">
        <v>18</v>
      </c>
      <c r="B4" s="12" t="s">
        <v>36</v>
      </c>
      <c r="C4" s="31">
        <v>1</v>
      </c>
      <c r="D4" s="24">
        <f t="shared" si="0"/>
        <v>1</v>
      </c>
      <c r="E4" s="29">
        <v>1</v>
      </c>
      <c r="F4" s="29"/>
      <c r="G4" s="29"/>
      <c r="H4" s="29"/>
      <c r="I4" s="29"/>
      <c r="J4" s="29"/>
      <c r="K4" s="29"/>
      <c r="L4" s="29"/>
      <c r="M4" s="29"/>
      <c r="N4" s="29"/>
      <c r="O4" s="29"/>
      <c r="P4" s="29"/>
    </row>
    <row r="5" spans="1:16" ht="81" customHeight="1" x14ac:dyDescent="0.25">
      <c r="A5" s="44" t="s">
        <v>22</v>
      </c>
      <c r="B5" s="14" t="s">
        <v>45</v>
      </c>
      <c r="C5" s="33">
        <v>2</v>
      </c>
      <c r="D5" s="24">
        <f t="shared" si="0"/>
        <v>1</v>
      </c>
      <c r="E5" s="29">
        <v>0</v>
      </c>
      <c r="F5" s="29">
        <v>0</v>
      </c>
      <c r="G5" s="29">
        <v>0</v>
      </c>
      <c r="H5" s="29">
        <v>1</v>
      </c>
      <c r="I5" s="29"/>
      <c r="J5" s="29"/>
      <c r="K5" s="29"/>
      <c r="L5" s="29"/>
      <c r="M5" s="29"/>
      <c r="N5" s="29"/>
      <c r="O5" s="29"/>
      <c r="P5" s="29"/>
    </row>
    <row r="6" spans="1:16" ht="81" customHeight="1" x14ac:dyDescent="0.25">
      <c r="A6" s="42" t="s">
        <v>18</v>
      </c>
      <c r="B6" s="12" t="s">
        <v>27</v>
      </c>
      <c r="C6" s="34">
        <v>1</v>
      </c>
      <c r="D6" s="24">
        <f t="shared" si="0"/>
        <v>0</v>
      </c>
      <c r="E6" s="29"/>
      <c r="F6" s="29"/>
      <c r="G6" s="29"/>
      <c r="H6" s="29"/>
      <c r="I6" s="29"/>
      <c r="J6" s="29"/>
      <c r="K6" s="29"/>
      <c r="L6" s="29"/>
      <c r="M6" s="29"/>
      <c r="N6" s="29"/>
      <c r="O6" s="29"/>
      <c r="P6" s="29"/>
    </row>
    <row r="7" spans="1:16" ht="81" customHeight="1" x14ac:dyDescent="0.25">
      <c r="A7" s="42" t="s">
        <v>18</v>
      </c>
      <c r="B7" s="12" t="s">
        <v>28</v>
      </c>
      <c r="C7" s="34">
        <v>1</v>
      </c>
      <c r="D7" s="24">
        <f t="shared" si="0"/>
        <v>1</v>
      </c>
      <c r="E7" s="29">
        <v>1</v>
      </c>
      <c r="F7" s="29"/>
      <c r="G7" s="29"/>
      <c r="H7" s="29"/>
      <c r="I7" s="29"/>
      <c r="J7" s="29"/>
      <c r="K7" s="29"/>
      <c r="L7" s="29"/>
      <c r="M7" s="29"/>
      <c r="N7" s="29"/>
      <c r="O7" s="29"/>
      <c r="P7" s="29"/>
    </row>
    <row r="8" spans="1:16" ht="81" customHeight="1" x14ac:dyDescent="0.25">
      <c r="A8" s="42" t="s">
        <v>18</v>
      </c>
      <c r="B8" s="12" t="s">
        <v>46</v>
      </c>
      <c r="C8" s="34">
        <v>1</v>
      </c>
      <c r="D8" s="24">
        <f>SUM(E8:P8)</f>
        <v>1</v>
      </c>
      <c r="E8" s="29"/>
      <c r="F8" s="29"/>
      <c r="G8" s="29">
        <v>1</v>
      </c>
      <c r="H8" s="29"/>
      <c r="I8" s="29"/>
      <c r="J8" s="29"/>
      <c r="K8" s="29"/>
      <c r="L8" s="29"/>
      <c r="M8" s="29"/>
      <c r="N8" s="29"/>
      <c r="O8" s="29"/>
      <c r="P8" s="29"/>
    </row>
    <row r="9" spans="1:16" ht="81" customHeight="1" x14ac:dyDescent="0.25">
      <c r="A9" s="42" t="s">
        <v>18</v>
      </c>
      <c r="B9" s="12" t="s">
        <v>47</v>
      </c>
      <c r="C9" s="34">
        <v>2</v>
      </c>
      <c r="D9" s="24">
        <f t="shared" si="0"/>
        <v>0</v>
      </c>
      <c r="E9" s="29"/>
      <c r="F9" s="29"/>
      <c r="G9" s="29"/>
      <c r="H9" s="29"/>
      <c r="I9" s="29"/>
      <c r="J9" s="29"/>
      <c r="K9" s="29"/>
      <c r="L9" s="29"/>
      <c r="M9" s="29"/>
      <c r="N9" s="29"/>
      <c r="O9" s="29"/>
      <c r="P9" s="29"/>
    </row>
    <row r="10" spans="1:16" ht="81" customHeight="1" x14ac:dyDescent="0.25">
      <c r="A10" s="42" t="s">
        <v>18</v>
      </c>
      <c r="B10" s="12" t="s">
        <v>48</v>
      </c>
      <c r="C10" s="34">
        <v>2</v>
      </c>
      <c r="D10" s="24">
        <f t="shared" si="0"/>
        <v>1</v>
      </c>
      <c r="E10" s="29"/>
      <c r="F10" s="29"/>
      <c r="G10" s="29"/>
      <c r="H10" s="29">
        <v>1</v>
      </c>
      <c r="I10" s="29"/>
      <c r="J10" s="29"/>
      <c r="K10" s="29"/>
      <c r="L10" s="29"/>
      <c r="M10" s="29"/>
      <c r="N10" s="29"/>
      <c r="O10" s="29"/>
      <c r="P10" s="29"/>
    </row>
    <row r="11" spans="1:16" ht="28.5" customHeight="1" x14ac:dyDescent="0.25">
      <c r="A11" s="48" t="s">
        <v>75</v>
      </c>
      <c r="B11" s="35" t="s">
        <v>76</v>
      </c>
      <c r="C11" s="34">
        <v>1</v>
      </c>
      <c r="D11" s="24">
        <f t="shared" ref="D11:D38" si="1">SUM(E11:O11)</f>
        <v>0</v>
      </c>
      <c r="E11" s="29"/>
      <c r="F11" s="29"/>
      <c r="G11" s="29"/>
      <c r="H11" s="29"/>
      <c r="I11" s="29"/>
      <c r="J11" s="29"/>
      <c r="K11" s="29"/>
      <c r="L11" s="29"/>
      <c r="M11" s="29"/>
      <c r="N11" s="29"/>
      <c r="O11" s="29"/>
      <c r="P11" s="36"/>
    </row>
    <row r="12" spans="1:16" ht="28.5" customHeight="1" x14ac:dyDescent="0.25">
      <c r="A12" s="49"/>
      <c r="B12" s="35" t="s">
        <v>77</v>
      </c>
      <c r="C12" s="34">
        <v>3</v>
      </c>
      <c r="D12" s="24">
        <f t="shared" si="1"/>
        <v>0</v>
      </c>
      <c r="E12" s="29"/>
      <c r="F12" s="29"/>
      <c r="G12" s="29"/>
      <c r="H12" s="29"/>
      <c r="I12" s="29"/>
      <c r="J12" s="29"/>
      <c r="K12" s="29"/>
      <c r="L12" s="29"/>
      <c r="M12" s="29"/>
      <c r="N12" s="29"/>
      <c r="O12" s="29"/>
      <c r="P12" s="36"/>
    </row>
    <row r="13" spans="1:16" ht="28.5" customHeight="1" x14ac:dyDescent="0.25">
      <c r="A13" s="49"/>
      <c r="B13" s="35" t="s">
        <v>78</v>
      </c>
      <c r="C13" s="34">
        <v>60</v>
      </c>
      <c r="D13" s="24">
        <f t="shared" si="1"/>
        <v>23</v>
      </c>
      <c r="E13" s="29">
        <v>3</v>
      </c>
      <c r="F13" s="29">
        <v>8</v>
      </c>
      <c r="G13" s="29">
        <v>4</v>
      </c>
      <c r="H13" s="29">
        <v>8</v>
      </c>
      <c r="I13" s="29"/>
      <c r="J13" s="29"/>
      <c r="K13" s="29"/>
      <c r="L13" s="29"/>
      <c r="M13" s="29"/>
      <c r="N13" s="29"/>
      <c r="O13" s="29"/>
      <c r="P13" s="36"/>
    </row>
    <row r="14" spans="1:16" ht="28.5" customHeight="1" x14ac:dyDescent="0.25">
      <c r="A14" s="49"/>
      <c r="B14" s="35" t="s">
        <v>79</v>
      </c>
      <c r="C14" s="34">
        <v>60</v>
      </c>
      <c r="D14" s="24">
        <f t="shared" si="1"/>
        <v>15</v>
      </c>
      <c r="E14" s="29"/>
      <c r="F14" s="29"/>
      <c r="G14" s="29">
        <v>15</v>
      </c>
      <c r="H14" s="29"/>
      <c r="I14" s="29"/>
      <c r="J14" s="29"/>
      <c r="K14" s="29"/>
      <c r="L14" s="29"/>
      <c r="M14" s="29"/>
      <c r="N14" s="29"/>
      <c r="O14" s="29"/>
      <c r="P14" s="36"/>
    </row>
    <row r="15" spans="1:16" ht="28.5" customHeight="1" x14ac:dyDescent="0.25">
      <c r="A15" s="49"/>
      <c r="B15" s="35" t="s">
        <v>80</v>
      </c>
      <c r="C15" s="34">
        <v>0</v>
      </c>
      <c r="D15" s="24">
        <f t="shared" si="1"/>
        <v>0</v>
      </c>
      <c r="E15" s="29"/>
      <c r="F15" s="29"/>
      <c r="G15" s="29"/>
      <c r="H15" s="29"/>
      <c r="I15" s="29"/>
      <c r="J15" s="29"/>
      <c r="K15" s="29"/>
      <c r="L15" s="29"/>
      <c r="M15" s="29"/>
      <c r="N15" s="29"/>
      <c r="O15" s="29"/>
      <c r="P15" s="36"/>
    </row>
    <row r="16" spans="1:16" ht="28.5" customHeight="1" x14ac:dyDescent="0.25">
      <c r="A16" s="49"/>
      <c r="B16" s="35" t="s">
        <v>81</v>
      </c>
      <c r="C16" s="34">
        <v>0</v>
      </c>
      <c r="D16" s="24">
        <f t="shared" si="1"/>
        <v>0</v>
      </c>
      <c r="E16" s="29"/>
      <c r="F16" s="29"/>
      <c r="G16" s="29"/>
      <c r="H16" s="29"/>
      <c r="I16" s="29"/>
      <c r="J16" s="29"/>
      <c r="K16" s="29"/>
      <c r="L16" s="29"/>
      <c r="M16" s="29"/>
      <c r="N16" s="29"/>
      <c r="O16" s="29"/>
      <c r="P16" s="36"/>
    </row>
    <row r="17" spans="1:16" ht="28.5" customHeight="1" x14ac:dyDescent="0.25">
      <c r="A17" s="49"/>
      <c r="B17" s="35" t="s">
        <v>82</v>
      </c>
      <c r="C17" s="34">
        <v>0</v>
      </c>
      <c r="D17" s="24">
        <f t="shared" si="1"/>
        <v>0</v>
      </c>
      <c r="E17" s="29"/>
      <c r="F17" s="29"/>
      <c r="G17" s="29"/>
      <c r="H17" s="29"/>
      <c r="I17" s="29"/>
      <c r="J17" s="29"/>
      <c r="K17" s="29"/>
      <c r="L17" s="29"/>
      <c r="M17" s="29"/>
      <c r="N17" s="29"/>
      <c r="O17" s="29"/>
      <c r="P17" s="36"/>
    </row>
    <row r="18" spans="1:16" ht="28.5" customHeight="1" x14ac:dyDescent="0.25">
      <c r="A18" s="49"/>
      <c r="B18" s="35" t="s">
        <v>83</v>
      </c>
      <c r="C18" s="34">
        <v>0</v>
      </c>
      <c r="D18" s="24">
        <f t="shared" si="1"/>
        <v>0</v>
      </c>
      <c r="E18" s="29"/>
      <c r="F18" s="29"/>
      <c r="G18" s="29"/>
      <c r="H18" s="29"/>
      <c r="I18" s="29"/>
      <c r="J18" s="29"/>
      <c r="K18" s="29"/>
      <c r="L18" s="29"/>
      <c r="M18" s="29"/>
      <c r="N18" s="29"/>
      <c r="O18" s="29"/>
      <c r="P18" s="36"/>
    </row>
    <row r="19" spans="1:16" ht="28.5" customHeight="1" x14ac:dyDescent="0.25">
      <c r="A19" s="49"/>
      <c r="B19" s="35" t="s">
        <v>84</v>
      </c>
      <c r="C19" s="34">
        <v>0</v>
      </c>
      <c r="D19" s="24">
        <f t="shared" si="1"/>
        <v>0</v>
      </c>
      <c r="E19" s="29"/>
      <c r="F19" s="29"/>
      <c r="G19" s="29"/>
      <c r="H19" s="29"/>
      <c r="I19" s="29"/>
      <c r="J19" s="29"/>
      <c r="K19" s="29"/>
      <c r="L19" s="29"/>
      <c r="M19" s="29"/>
      <c r="N19" s="29"/>
      <c r="O19" s="29"/>
      <c r="P19" s="36"/>
    </row>
    <row r="20" spans="1:16" ht="28.5" customHeight="1" x14ac:dyDescent="0.25">
      <c r="A20" s="49"/>
      <c r="B20" s="35" t="s">
        <v>85</v>
      </c>
      <c r="C20" s="34">
        <v>0</v>
      </c>
      <c r="D20" s="24">
        <f t="shared" si="1"/>
        <v>0</v>
      </c>
      <c r="E20" s="29"/>
      <c r="F20" s="29"/>
      <c r="G20" s="29"/>
      <c r="H20" s="29"/>
      <c r="I20" s="29"/>
      <c r="J20" s="29"/>
      <c r="K20" s="29"/>
      <c r="L20" s="29"/>
      <c r="M20" s="29"/>
      <c r="N20" s="29"/>
      <c r="O20" s="29"/>
      <c r="P20" s="36"/>
    </row>
    <row r="21" spans="1:16" ht="28.5" customHeight="1" x14ac:dyDescent="0.25">
      <c r="A21" s="49"/>
      <c r="B21" s="35" t="s">
        <v>86</v>
      </c>
      <c r="C21" s="34">
        <v>0</v>
      </c>
      <c r="D21" s="24">
        <f t="shared" si="1"/>
        <v>0</v>
      </c>
      <c r="E21" s="29"/>
      <c r="F21" s="29"/>
      <c r="G21" s="29"/>
      <c r="H21" s="29"/>
      <c r="I21" s="29"/>
      <c r="J21" s="29"/>
      <c r="K21" s="29"/>
      <c r="L21" s="29"/>
      <c r="M21" s="29"/>
      <c r="N21" s="29"/>
      <c r="O21" s="29"/>
      <c r="P21" s="36"/>
    </row>
    <row r="22" spans="1:16" ht="28.5" customHeight="1" x14ac:dyDescent="0.25">
      <c r="A22" s="49"/>
      <c r="B22" s="35" t="s">
        <v>87</v>
      </c>
      <c r="C22" s="34">
        <v>0</v>
      </c>
      <c r="D22" s="24">
        <f t="shared" si="1"/>
        <v>0</v>
      </c>
      <c r="E22" s="29"/>
      <c r="F22" s="29"/>
      <c r="G22" s="29"/>
      <c r="H22" s="29"/>
      <c r="I22" s="29"/>
      <c r="J22" s="29"/>
      <c r="K22" s="29"/>
      <c r="L22" s="29"/>
      <c r="M22" s="29"/>
      <c r="N22" s="29"/>
      <c r="O22" s="29"/>
      <c r="P22" s="36"/>
    </row>
    <row r="23" spans="1:16" ht="28.5" customHeight="1" x14ac:dyDescent="0.25">
      <c r="A23" s="49"/>
      <c r="B23" s="35" t="s">
        <v>88</v>
      </c>
      <c r="C23" s="34">
        <v>0</v>
      </c>
      <c r="D23" s="24">
        <f t="shared" si="1"/>
        <v>0</v>
      </c>
      <c r="E23" s="29"/>
      <c r="F23" s="29"/>
      <c r="G23" s="29"/>
      <c r="H23" s="29"/>
      <c r="I23" s="29"/>
      <c r="J23" s="29"/>
      <c r="K23" s="29"/>
      <c r="L23" s="29"/>
      <c r="M23" s="29"/>
      <c r="N23" s="29"/>
      <c r="O23" s="29"/>
      <c r="P23" s="36"/>
    </row>
    <row r="24" spans="1:16" ht="28.5" customHeight="1" x14ac:dyDescent="0.25">
      <c r="A24" s="49"/>
      <c r="B24" s="35" t="s">
        <v>89</v>
      </c>
      <c r="C24" s="34">
        <v>0</v>
      </c>
      <c r="D24" s="24">
        <f t="shared" si="1"/>
        <v>0</v>
      </c>
      <c r="E24" s="29"/>
      <c r="F24" s="29"/>
      <c r="G24" s="29"/>
      <c r="H24" s="29"/>
      <c r="I24" s="29"/>
      <c r="J24" s="29"/>
      <c r="K24" s="29"/>
      <c r="L24" s="29"/>
      <c r="M24" s="29"/>
      <c r="N24" s="29"/>
      <c r="O24" s="29"/>
      <c r="P24" s="36"/>
    </row>
    <row r="25" spans="1:16" ht="28.5" customHeight="1" x14ac:dyDescent="0.25">
      <c r="A25" s="49"/>
      <c r="B25" s="35" t="s">
        <v>90</v>
      </c>
      <c r="C25" s="34">
        <v>96</v>
      </c>
      <c r="D25" s="24">
        <f t="shared" si="1"/>
        <v>43</v>
      </c>
      <c r="E25" s="29">
        <v>7</v>
      </c>
      <c r="F25" s="29">
        <v>12</v>
      </c>
      <c r="G25" s="29">
        <v>5</v>
      </c>
      <c r="H25" s="29">
        <v>7</v>
      </c>
      <c r="I25" s="29">
        <v>12</v>
      </c>
      <c r="J25" s="29"/>
      <c r="K25" s="29"/>
      <c r="L25" s="29"/>
      <c r="M25" s="29"/>
      <c r="N25" s="29"/>
      <c r="O25" s="29"/>
      <c r="P25" s="36"/>
    </row>
    <row r="26" spans="1:16" ht="28.5" customHeight="1" x14ac:dyDescent="0.25">
      <c r="A26" s="49"/>
      <c r="B26" s="35" t="s">
        <v>91</v>
      </c>
      <c r="C26" s="34">
        <v>0</v>
      </c>
      <c r="D26" s="24">
        <f t="shared" si="1"/>
        <v>0</v>
      </c>
      <c r="E26" s="29"/>
      <c r="F26" s="29"/>
      <c r="G26" s="29"/>
      <c r="H26" s="29"/>
      <c r="I26" s="29"/>
      <c r="J26" s="29"/>
      <c r="K26" s="29"/>
      <c r="L26" s="29"/>
      <c r="M26" s="29"/>
      <c r="N26" s="29"/>
      <c r="O26" s="29"/>
      <c r="P26" s="36"/>
    </row>
    <row r="27" spans="1:16" ht="24" customHeight="1" x14ac:dyDescent="0.25">
      <c r="A27" s="49"/>
      <c r="B27" s="37" t="s">
        <v>92</v>
      </c>
      <c r="C27" s="34">
        <v>3</v>
      </c>
      <c r="D27" s="24">
        <f t="shared" si="1"/>
        <v>3</v>
      </c>
      <c r="E27" s="29"/>
      <c r="F27" s="29"/>
      <c r="G27" s="29">
        <v>3</v>
      </c>
      <c r="H27" s="29"/>
      <c r="I27" s="29"/>
      <c r="J27" s="29"/>
      <c r="K27" s="29"/>
      <c r="L27" s="29"/>
      <c r="M27" s="29"/>
      <c r="N27" s="29"/>
      <c r="O27" s="29"/>
      <c r="P27" s="36"/>
    </row>
    <row r="28" spans="1:16" ht="24" customHeight="1" x14ac:dyDescent="0.25">
      <c r="A28" s="49"/>
      <c r="B28" s="37" t="s">
        <v>93</v>
      </c>
      <c r="C28" s="34">
        <v>3</v>
      </c>
      <c r="D28" s="24">
        <f t="shared" si="1"/>
        <v>3</v>
      </c>
      <c r="E28" s="29"/>
      <c r="F28" s="29"/>
      <c r="G28" s="29"/>
      <c r="H28" s="29">
        <v>3</v>
      </c>
      <c r="I28" s="29"/>
      <c r="J28" s="29"/>
      <c r="K28" s="29"/>
      <c r="L28" s="29"/>
      <c r="M28" s="29"/>
      <c r="N28" s="29"/>
      <c r="O28" s="29"/>
      <c r="P28" s="36"/>
    </row>
    <row r="29" spans="1:16" ht="24" customHeight="1" x14ac:dyDescent="0.25">
      <c r="A29" s="49"/>
      <c r="B29" s="37" t="s">
        <v>94</v>
      </c>
      <c r="C29" s="34">
        <v>3</v>
      </c>
      <c r="D29" s="24">
        <f t="shared" si="1"/>
        <v>2</v>
      </c>
      <c r="E29" s="29"/>
      <c r="F29" s="29"/>
      <c r="G29" s="29"/>
      <c r="H29" s="29"/>
      <c r="I29" s="29">
        <v>2</v>
      </c>
      <c r="J29" s="29"/>
      <c r="K29" s="29"/>
      <c r="L29" s="29"/>
      <c r="M29" s="29"/>
      <c r="N29" s="29"/>
      <c r="O29" s="29"/>
      <c r="P29" s="36"/>
    </row>
    <row r="30" spans="1:16" ht="24" customHeight="1" x14ac:dyDescent="0.25">
      <c r="A30" s="49"/>
      <c r="B30" s="37" t="s">
        <v>95</v>
      </c>
      <c r="C30" s="34">
        <v>3</v>
      </c>
      <c r="D30" s="24">
        <f t="shared" si="1"/>
        <v>0</v>
      </c>
      <c r="E30" s="29"/>
      <c r="F30" s="29"/>
      <c r="G30" s="29"/>
      <c r="H30" s="29"/>
      <c r="I30" s="29"/>
      <c r="J30" s="29"/>
      <c r="K30" s="29"/>
      <c r="L30" s="29"/>
      <c r="M30" s="29"/>
      <c r="N30" s="29"/>
      <c r="O30" s="29"/>
      <c r="P30" s="36"/>
    </row>
    <row r="31" spans="1:16" ht="24" customHeight="1" x14ac:dyDescent="0.25">
      <c r="A31" s="49"/>
      <c r="B31" s="37" t="s">
        <v>96</v>
      </c>
      <c r="C31" s="34">
        <v>3</v>
      </c>
      <c r="D31" s="24">
        <f t="shared" si="1"/>
        <v>0</v>
      </c>
      <c r="E31" s="29"/>
      <c r="F31" s="29"/>
      <c r="G31" s="29"/>
      <c r="H31" s="29"/>
      <c r="I31" s="29"/>
      <c r="J31" s="29"/>
      <c r="K31" s="29"/>
      <c r="L31" s="29"/>
      <c r="M31" s="29"/>
      <c r="N31" s="29"/>
      <c r="O31" s="29"/>
      <c r="P31" s="36"/>
    </row>
    <row r="32" spans="1:16" ht="24" customHeight="1" x14ac:dyDescent="0.25">
      <c r="A32" s="49"/>
      <c r="B32" s="37" t="s">
        <v>97</v>
      </c>
      <c r="C32" s="34">
        <v>0</v>
      </c>
      <c r="D32" s="24">
        <f t="shared" si="1"/>
        <v>0</v>
      </c>
      <c r="E32" s="29"/>
      <c r="F32" s="29"/>
      <c r="G32" s="29"/>
      <c r="H32" s="29"/>
      <c r="I32" s="29"/>
      <c r="J32" s="29"/>
      <c r="K32" s="29"/>
      <c r="L32" s="29"/>
      <c r="M32" s="29"/>
      <c r="N32" s="29"/>
      <c r="O32" s="29"/>
      <c r="P32" s="36"/>
    </row>
    <row r="33" spans="1:16" ht="24" customHeight="1" x14ac:dyDescent="0.25">
      <c r="A33" s="49"/>
      <c r="B33" s="37" t="s">
        <v>98</v>
      </c>
      <c r="C33" s="34">
        <v>0</v>
      </c>
      <c r="D33" s="24">
        <f t="shared" si="1"/>
        <v>0</v>
      </c>
      <c r="E33" s="29"/>
      <c r="F33" s="29"/>
      <c r="G33" s="29"/>
      <c r="H33" s="29"/>
      <c r="I33" s="29"/>
      <c r="J33" s="29"/>
      <c r="K33" s="29"/>
      <c r="L33" s="29"/>
      <c r="M33" s="29"/>
      <c r="N33" s="29"/>
      <c r="O33" s="29"/>
      <c r="P33" s="36"/>
    </row>
    <row r="34" spans="1:16" ht="24" customHeight="1" x14ac:dyDescent="0.25">
      <c r="A34" s="49"/>
      <c r="B34" s="37" t="s">
        <v>99</v>
      </c>
      <c r="C34" s="34">
        <v>0</v>
      </c>
      <c r="D34" s="24">
        <f t="shared" si="1"/>
        <v>0</v>
      </c>
      <c r="E34" s="29"/>
      <c r="F34" s="29"/>
      <c r="G34" s="29"/>
      <c r="H34" s="29"/>
      <c r="I34" s="29"/>
      <c r="J34" s="29"/>
      <c r="K34" s="29"/>
      <c r="L34" s="29"/>
      <c r="M34" s="29"/>
      <c r="N34" s="29"/>
      <c r="O34" s="29"/>
      <c r="P34" s="36"/>
    </row>
    <row r="35" spans="1:16" ht="24" customHeight="1" x14ac:dyDescent="0.25">
      <c r="A35" s="49"/>
      <c r="B35" s="37" t="s">
        <v>100</v>
      </c>
      <c r="C35" s="34">
        <v>0</v>
      </c>
      <c r="D35" s="24">
        <f t="shared" si="1"/>
        <v>0</v>
      </c>
      <c r="E35" s="29"/>
      <c r="F35" s="29"/>
      <c r="G35" s="29"/>
      <c r="H35" s="29"/>
      <c r="I35" s="29"/>
      <c r="J35" s="29"/>
      <c r="K35" s="29"/>
      <c r="L35" s="29"/>
      <c r="M35" s="29"/>
      <c r="N35" s="29"/>
      <c r="O35" s="29"/>
      <c r="P35" s="36"/>
    </row>
    <row r="36" spans="1:16" ht="24" customHeight="1" x14ac:dyDescent="0.25">
      <c r="A36" s="49"/>
      <c r="B36" s="37" t="s">
        <v>101</v>
      </c>
      <c r="C36" s="34">
        <v>0</v>
      </c>
      <c r="D36" s="24">
        <f t="shared" si="1"/>
        <v>0</v>
      </c>
      <c r="E36" s="29"/>
      <c r="F36" s="29"/>
      <c r="G36" s="29"/>
      <c r="H36" s="29"/>
      <c r="I36" s="29"/>
      <c r="J36" s="29"/>
      <c r="K36" s="29"/>
      <c r="L36" s="29"/>
      <c r="M36" s="29"/>
      <c r="N36" s="29"/>
      <c r="O36" s="29"/>
      <c r="P36" s="36"/>
    </row>
    <row r="37" spans="1:16" ht="24" customHeight="1" x14ac:dyDescent="0.25">
      <c r="A37" s="49"/>
      <c r="B37" s="37" t="s">
        <v>102</v>
      </c>
      <c r="C37" s="34">
        <v>0</v>
      </c>
      <c r="D37" s="24">
        <f t="shared" si="1"/>
        <v>0</v>
      </c>
      <c r="E37" s="29"/>
      <c r="F37" s="29"/>
      <c r="G37" s="29"/>
      <c r="H37" s="29"/>
      <c r="I37" s="29"/>
      <c r="J37" s="29"/>
      <c r="K37" s="29"/>
      <c r="L37" s="29"/>
      <c r="M37" s="29"/>
      <c r="N37" s="29"/>
      <c r="O37" s="29"/>
      <c r="P37" s="36"/>
    </row>
    <row r="38" spans="1:16" ht="24" customHeight="1" thickBot="1" x14ac:dyDescent="0.3">
      <c r="A38" s="50"/>
      <c r="B38" s="38" t="s">
        <v>103</v>
      </c>
      <c r="C38" s="34">
        <v>0</v>
      </c>
      <c r="D38" s="24">
        <f t="shared" si="1"/>
        <v>0</v>
      </c>
      <c r="E38" s="29"/>
      <c r="F38" s="29"/>
      <c r="G38" s="29"/>
      <c r="H38" s="29"/>
      <c r="I38" s="29"/>
      <c r="J38" s="29"/>
      <c r="K38" s="29"/>
      <c r="L38" s="29"/>
      <c r="M38" s="29"/>
      <c r="N38" s="29"/>
      <c r="O38" s="29"/>
      <c r="P38" s="36"/>
    </row>
    <row r="39" spans="1:16" x14ac:dyDescent="0.25">
      <c r="C39" s="39">
        <f>SUM(C3:C38)</f>
        <v>247</v>
      </c>
      <c r="D39" s="40">
        <f>SUM(D3:D38)</f>
        <v>94</v>
      </c>
    </row>
    <row r="40" spans="1:16" x14ac:dyDescent="0.25">
      <c r="C40" s="17"/>
      <c r="D40" s="41">
        <f>D39/C39</f>
        <v>0.38056680161943318</v>
      </c>
    </row>
  </sheetData>
  <sheetProtection algorithmName="SHA-512" hashValue="T/H9hO9J+1bVniV0ar3u29i5PJRLHlSN4p8AUwGk3tht728qPZsHv+Yco41r0m2P7ejdPUgzYHBY9qyWhDMy2g==" saltValue="F4gBCDfKfs4lwDM0lpA/yw==" spinCount="100000" sheet="1" objects="1" scenarios="1" autoFilter="0"/>
  <mergeCells count="2">
    <mergeCell ref="A1:A2"/>
    <mergeCell ref="A11:A38"/>
  </mergeCells>
  <conditionalFormatting sqref="C10">
    <cfRule type="dataBar" priority="2">
      <dataBar>
        <cfvo type="min"/>
        <cfvo type="max"/>
        <color rgb="FF008AEF"/>
      </dataBar>
      <extLst>
        <ext xmlns:x14="http://schemas.microsoft.com/office/spreadsheetml/2009/9/main" uri="{B025F937-C7B1-47D3-B67F-A62EFF666E3E}">
          <x14:id>{EFF1DEE2-E29B-4208-A58F-3A279D77C6A5}</x14:id>
        </ext>
      </extLst>
    </cfRule>
  </conditionalFormatting>
  <conditionalFormatting sqref="C3:D3 D4:D10">
    <cfRule type="dataBar" priority="57">
      <dataBar>
        <cfvo type="min"/>
        <cfvo type="max"/>
        <color rgb="FF008AEF"/>
      </dataBar>
      <extLst>
        <ext xmlns:x14="http://schemas.microsoft.com/office/spreadsheetml/2009/9/main" uri="{B025F937-C7B1-47D3-B67F-A62EFF666E3E}">
          <x14:id>{BC9D5B26-F0CB-4190-B426-9D7F17D1D3E0}</x14:id>
        </ext>
      </extLst>
    </cfRule>
  </conditionalFormatting>
  <conditionalFormatting sqref="C4:D4">
    <cfRule type="dataBar" priority="6">
      <dataBar>
        <cfvo type="min"/>
        <cfvo type="max"/>
        <color rgb="FF008AEF"/>
      </dataBar>
      <extLst>
        <ext xmlns:x14="http://schemas.microsoft.com/office/spreadsheetml/2009/9/main" uri="{B025F937-C7B1-47D3-B67F-A62EFF666E3E}">
          <x14:id>{DAE394ED-8ABA-4795-80FE-57C546197A41}</x14:id>
        </ext>
      </extLst>
    </cfRule>
  </conditionalFormatting>
  <conditionalFormatting sqref="C5:D5">
    <cfRule type="dataBar" priority="7">
      <dataBar>
        <cfvo type="min"/>
        <cfvo type="max"/>
        <color rgb="FF008AEF"/>
      </dataBar>
      <extLst>
        <ext xmlns:x14="http://schemas.microsoft.com/office/spreadsheetml/2009/9/main" uri="{B025F937-C7B1-47D3-B67F-A62EFF666E3E}">
          <x14:id>{FFE87DE1-BCA7-4202-957A-C36704EB14ED}</x14:id>
        </ext>
      </extLst>
    </cfRule>
  </conditionalFormatting>
  <conditionalFormatting sqref="C6:D6">
    <cfRule type="dataBar" priority="8">
      <dataBar>
        <cfvo type="min"/>
        <cfvo type="max"/>
        <color rgb="FF008AEF"/>
      </dataBar>
      <extLst>
        <ext xmlns:x14="http://schemas.microsoft.com/office/spreadsheetml/2009/9/main" uri="{B025F937-C7B1-47D3-B67F-A62EFF666E3E}">
          <x14:id>{34D3A8C1-A903-4A52-9F71-37F3D383B3EB}</x14:id>
        </ext>
      </extLst>
    </cfRule>
  </conditionalFormatting>
  <conditionalFormatting sqref="C7:D7">
    <cfRule type="dataBar" priority="9">
      <dataBar>
        <cfvo type="min"/>
        <cfvo type="max"/>
        <color rgb="FF008AEF"/>
      </dataBar>
      <extLst>
        <ext xmlns:x14="http://schemas.microsoft.com/office/spreadsheetml/2009/9/main" uri="{B025F937-C7B1-47D3-B67F-A62EFF666E3E}">
          <x14:id>{2C286234-F5AC-4166-A5C6-DFAFDAA680D0}</x14:id>
        </ext>
      </extLst>
    </cfRule>
  </conditionalFormatting>
  <conditionalFormatting sqref="C8:D8">
    <cfRule type="dataBar" priority="10">
      <dataBar>
        <cfvo type="min"/>
        <cfvo type="max"/>
        <color rgb="FF008AEF"/>
      </dataBar>
      <extLst>
        <ext xmlns:x14="http://schemas.microsoft.com/office/spreadsheetml/2009/9/main" uri="{B025F937-C7B1-47D3-B67F-A62EFF666E3E}">
          <x14:id>{48107100-15D6-430B-AF7A-BCB87FBCB4B8}</x14:id>
        </ext>
      </extLst>
    </cfRule>
  </conditionalFormatting>
  <conditionalFormatting sqref="C9:D9">
    <cfRule type="dataBar" priority="11">
      <dataBar>
        <cfvo type="min"/>
        <cfvo type="max"/>
        <color rgb="FF008AEF"/>
      </dataBar>
      <extLst>
        <ext xmlns:x14="http://schemas.microsoft.com/office/spreadsheetml/2009/9/main" uri="{B025F937-C7B1-47D3-B67F-A62EFF666E3E}">
          <x14:id>{6A8677FE-D371-4ED6-8C0D-21EECBF978CF}</x14:id>
        </ext>
      </extLst>
    </cfRule>
  </conditionalFormatting>
  <conditionalFormatting sqref="C11:D11">
    <cfRule type="dataBar" priority="13">
      <dataBar>
        <cfvo type="min"/>
        <cfvo type="max"/>
        <color rgb="FF008AEF"/>
      </dataBar>
      <extLst>
        <ext xmlns:x14="http://schemas.microsoft.com/office/spreadsheetml/2009/9/main" uri="{B025F937-C7B1-47D3-B67F-A62EFF666E3E}">
          <x14:id>{E19743AF-7B19-4734-92D0-7F21FD543EAC}</x14:id>
        </ext>
      </extLst>
    </cfRule>
  </conditionalFormatting>
  <conditionalFormatting sqref="C12:D12">
    <cfRule type="dataBar" priority="40">
      <dataBar>
        <cfvo type="min"/>
        <cfvo type="max"/>
        <color rgb="FF008AEF"/>
      </dataBar>
      <extLst>
        <ext xmlns:x14="http://schemas.microsoft.com/office/spreadsheetml/2009/9/main" uri="{B025F937-C7B1-47D3-B67F-A62EFF666E3E}">
          <x14:id>{8F33A1C4-E528-493F-829D-5F11D2DE1E57}</x14:id>
        </ext>
      </extLst>
    </cfRule>
  </conditionalFormatting>
  <conditionalFormatting sqref="C13:D13">
    <cfRule type="dataBar" priority="39">
      <dataBar>
        <cfvo type="min"/>
        <cfvo type="max"/>
        <color rgb="FF008AEF"/>
      </dataBar>
      <extLst>
        <ext xmlns:x14="http://schemas.microsoft.com/office/spreadsheetml/2009/9/main" uri="{B025F937-C7B1-47D3-B67F-A62EFF666E3E}">
          <x14:id>{1BE24545-2D9C-403E-9943-64F388596DA9}</x14:id>
        </ext>
      </extLst>
    </cfRule>
  </conditionalFormatting>
  <conditionalFormatting sqref="C14:D14">
    <cfRule type="dataBar" priority="38">
      <dataBar>
        <cfvo type="min"/>
        <cfvo type="max"/>
        <color rgb="FF008AEF"/>
      </dataBar>
      <extLst>
        <ext xmlns:x14="http://schemas.microsoft.com/office/spreadsheetml/2009/9/main" uri="{B025F937-C7B1-47D3-B67F-A62EFF666E3E}">
          <x14:id>{CD8DB0E5-894D-4C96-B1CC-72EF452D5963}</x14:id>
        </ext>
      </extLst>
    </cfRule>
  </conditionalFormatting>
  <conditionalFormatting sqref="C15:D15">
    <cfRule type="dataBar" priority="37">
      <dataBar>
        <cfvo type="min"/>
        <cfvo type="max"/>
        <color rgb="FF008AEF"/>
      </dataBar>
      <extLst>
        <ext xmlns:x14="http://schemas.microsoft.com/office/spreadsheetml/2009/9/main" uri="{B025F937-C7B1-47D3-B67F-A62EFF666E3E}">
          <x14:id>{D6E0B7E5-DC69-4FC4-BB32-E6659A9E5D45}</x14:id>
        </ext>
      </extLst>
    </cfRule>
  </conditionalFormatting>
  <conditionalFormatting sqref="C16:D16">
    <cfRule type="dataBar" priority="36">
      <dataBar>
        <cfvo type="min"/>
        <cfvo type="max"/>
        <color rgb="FF008AEF"/>
      </dataBar>
      <extLst>
        <ext xmlns:x14="http://schemas.microsoft.com/office/spreadsheetml/2009/9/main" uri="{B025F937-C7B1-47D3-B67F-A62EFF666E3E}">
          <x14:id>{CE3C25DD-028F-4FA9-BDC9-B273030FE33C}</x14:id>
        </ext>
      </extLst>
    </cfRule>
  </conditionalFormatting>
  <conditionalFormatting sqref="C17:D17">
    <cfRule type="dataBar" priority="35">
      <dataBar>
        <cfvo type="min"/>
        <cfvo type="max"/>
        <color rgb="FF008AEF"/>
      </dataBar>
      <extLst>
        <ext xmlns:x14="http://schemas.microsoft.com/office/spreadsheetml/2009/9/main" uri="{B025F937-C7B1-47D3-B67F-A62EFF666E3E}">
          <x14:id>{42A6A531-B28E-4F16-ADB6-5711CECC804A}</x14:id>
        </ext>
      </extLst>
    </cfRule>
  </conditionalFormatting>
  <conditionalFormatting sqref="C18:D18">
    <cfRule type="dataBar" priority="34">
      <dataBar>
        <cfvo type="min"/>
        <cfvo type="max"/>
        <color rgb="FF008AEF"/>
      </dataBar>
      <extLst>
        <ext xmlns:x14="http://schemas.microsoft.com/office/spreadsheetml/2009/9/main" uri="{B025F937-C7B1-47D3-B67F-A62EFF666E3E}">
          <x14:id>{6F262203-8E30-452A-8FFA-CBD6694A3385}</x14:id>
        </ext>
      </extLst>
    </cfRule>
  </conditionalFormatting>
  <conditionalFormatting sqref="C19:D19">
    <cfRule type="dataBar" priority="33">
      <dataBar>
        <cfvo type="min"/>
        <cfvo type="max"/>
        <color rgb="FF008AEF"/>
      </dataBar>
      <extLst>
        <ext xmlns:x14="http://schemas.microsoft.com/office/spreadsheetml/2009/9/main" uri="{B025F937-C7B1-47D3-B67F-A62EFF666E3E}">
          <x14:id>{01B59CF1-F76D-4372-A02D-034A9796CB53}</x14:id>
        </ext>
      </extLst>
    </cfRule>
  </conditionalFormatting>
  <conditionalFormatting sqref="C20:D20">
    <cfRule type="dataBar" priority="32">
      <dataBar>
        <cfvo type="min"/>
        <cfvo type="max"/>
        <color rgb="FF008AEF"/>
      </dataBar>
      <extLst>
        <ext xmlns:x14="http://schemas.microsoft.com/office/spreadsheetml/2009/9/main" uri="{B025F937-C7B1-47D3-B67F-A62EFF666E3E}">
          <x14:id>{EED8B11C-86A8-4865-BBF9-B5902B1502AD}</x14:id>
        </ext>
      </extLst>
    </cfRule>
  </conditionalFormatting>
  <conditionalFormatting sqref="C21:D21">
    <cfRule type="dataBar" priority="31">
      <dataBar>
        <cfvo type="min"/>
        <cfvo type="max"/>
        <color rgb="FF008AEF"/>
      </dataBar>
      <extLst>
        <ext xmlns:x14="http://schemas.microsoft.com/office/spreadsheetml/2009/9/main" uri="{B025F937-C7B1-47D3-B67F-A62EFF666E3E}">
          <x14:id>{93D7A2E6-673E-4C89-9BDB-DEBB195DC891}</x14:id>
        </ext>
      </extLst>
    </cfRule>
  </conditionalFormatting>
  <conditionalFormatting sqref="C22:D22">
    <cfRule type="dataBar" priority="30">
      <dataBar>
        <cfvo type="min"/>
        <cfvo type="max"/>
        <color rgb="FF008AEF"/>
      </dataBar>
      <extLst>
        <ext xmlns:x14="http://schemas.microsoft.com/office/spreadsheetml/2009/9/main" uri="{B025F937-C7B1-47D3-B67F-A62EFF666E3E}">
          <x14:id>{15D42D71-5385-4ED5-A2C8-9963FE363BD2}</x14:id>
        </ext>
      </extLst>
    </cfRule>
  </conditionalFormatting>
  <conditionalFormatting sqref="C23:D23">
    <cfRule type="dataBar" priority="29">
      <dataBar>
        <cfvo type="min"/>
        <cfvo type="max"/>
        <color rgb="FF008AEF"/>
      </dataBar>
      <extLst>
        <ext xmlns:x14="http://schemas.microsoft.com/office/spreadsheetml/2009/9/main" uri="{B025F937-C7B1-47D3-B67F-A62EFF666E3E}">
          <x14:id>{F3BB9E85-C2AB-4039-924E-3639DDDB4CDA}</x14:id>
        </ext>
      </extLst>
    </cfRule>
  </conditionalFormatting>
  <conditionalFormatting sqref="C24:D24">
    <cfRule type="dataBar" priority="28">
      <dataBar>
        <cfvo type="min"/>
        <cfvo type="max"/>
        <color rgb="FF008AEF"/>
      </dataBar>
      <extLst>
        <ext xmlns:x14="http://schemas.microsoft.com/office/spreadsheetml/2009/9/main" uri="{B025F937-C7B1-47D3-B67F-A62EFF666E3E}">
          <x14:id>{053EAC5D-7B47-434A-8B69-E5272913526A}</x14:id>
        </ext>
      </extLst>
    </cfRule>
  </conditionalFormatting>
  <conditionalFormatting sqref="C25:D25">
    <cfRule type="dataBar" priority="27">
      <dataBar>
        <cfvo type="min"/>
        <cfvo type="max"/>
        <color rgb="FF008AEF"/>
      </dataBar>
      <extLst>
        <ext xmlns:x14="http://schemas.microsoft.com/office/spreadsheetml/2009/9/main" uri="{B025F937-C7B1-47D3-B67F-A62EFF666E3E}">
          <x14:id>{524DF44A-0825-423C-A00B-1C2E32541C56}</x14:id>
        </ext>
      </extLst>
    </cfRule>
  </conditionalFormatting>
  <conditionalFormatting sqref="C26:D26">
    <cfRule type="dataBar" priority="26">
      <dataBar>
        <cfvo type="min"/>
        <cfvo type="max"/>
        <color rgb="FF008AEF"/>
      </dataBar>
      <extLst>
        <ext xmlns:x14="http://schemas.microsoft.com/office/spreadsheetml/2009/9/main" uri="{B025F937-C7B1-47D3-B67F-A62EFF666E3E}">
          <x14:id>{E7B10448-7781-4EB7-86F3-E488CF75E331}</x14:id>
        </ext>
      </extLst>
    </cfRule>
  </conditionalFormatting>
  <conditionalFormatting sqref="C27:D27">
    <cfRule type="dataBar" priority="25">
      <dataBar>
        <cfvo type="min"/>
        <cfvo type="max"/>
        <color rgb="FF008AEF"/>
      </dataBar>
      <extLst>
        <ext xmlns:x14="http://schemas.microsoft.com/office/spreadsheetml/2009/9/main" uri="{B025F937-C7B1-47D3-B67F-A62EFF666E3E}">
          <x14:id>{E7FCC7C5-8A92-4B0F-82D8-517F0251E348}</x14:id>
        </ext>
      </extLst>
    </cfRule>
  </conditionalFormatting>
  <conditionalFormatting sqref="C28:D28">
    <cfRule type="dataBar" priority="24">
      <dataBar>
        <cfvo type="min"/>
        <cfvo type="max"/>
        <color rgb="FF008AEF"/>
      </dataBar>
      <extLst>
        <ext xmlns:x14="http://schemas.microsoft.com/office/spreadsheetml/2009/9/main" uri="{B025F937-C7B1-47D3-B67F-A62EFF666E3E}">
          <x14:id>{29059371-654C-42A2-8FFE-597B26215DD6}</x14:id>
        </ext>
      </extLst>
    </cfRule>
  </conditionalFormatting>
  <conditionalFormatting sqref="C29:D29">
    <cfRule type="dataBar" priority="23">
      <dataBar>
        <cfvo type="min"/>
        <cfvo type="max"/>
        <color rgb="FF008AEF"/>
      </dataBar>
      <extLst>
        <ext xmlns:x14="http://schemas.microsoft.com/office/spreadsheetml/2009/9/main" uri="{B025F937-C7B1-47D3-B67F-A62EFF666E3E}">
          <x14:id>{7D026440-85D4-42A0-B674-0E1DA57A4C08}</x14:id>
        </ext>
      </extLst>
    </cfRule>
  </conditionalFormatting>
  <conditionalFormatting sqref="C30:D30">
    <cfRule type="dataBar" priority="22">
      <dataBar>
        <cfvo type="min"/>
        <cfvo type="max"/>
        <color rgb="FF008AEF"/>
      </dataBar>
      <extLst>
        <ext xmlns:x14="http://schemas.microsoft.com/office/spreadsheetml/2009/9/main" uri="{B025F937-C7B1-47D3-B67F-A62EFF666E3E}">
          <x14:id>{82883857-A700-4596-97AA-D44149B0E7EA}</x14:id>
        </ext>
      </extLst>
    </cfRule>
  </conditionalFormatting>
  <conditionalFormatting sqref="C31:D31">
    <cfRule type="dataBar" priority="21">
      <dataBar>
        <cfvo type="min"/>
        <cfvo type="max"/>
        <color rgb="FF008AEF"/>
      </dataBar>
      <extLst>
        <ext xmlns:x14="http://schemas.microsoft.com/office/spreadsheetml/2009/9/main" uri="{B025F937-C7B1-47D3-B67F-A62EFF666E3E}">
          <x14:id>{333DC866-E964-49CE-9B2A-595E183440BF}</x14:id>
        </ext>
      </extLst>
    </cfRule>
  </conditionalFormatting>
  <conditionalFormatting sqref="C32:D32">
    <cfRule type="dataBar" priority="20">
      <dataBar>
        <cfvo type="min"/>
        <cfvo type="max"/>
        <color rgb="FF008AEF"/>
      </dataBar>
      <extLst>
        <ext xmlns:x14="http://schemas.microsoft.com/office/spreadsheetml/2009/9/main" uri="{B025F937-C7B1-47D3-B67F-A62EFF666E3E}">
          <x14:id>{37932045-EA71-4732-922C-667EEB4D4257}</x14:id>
        </ext>
      </extLst>
    </cfRule>
  </conditionalFormatting>
  <conditionalFormatting sqref="C33:D33">
    <cfRule type="dataBar" priority="19">
      <dataBar>
        <cfvo type="min"/>
        <cfvo type="max"/>
        <color rgb="FF008AEF"/>
      </dataBar>
      <extLst>
        <ext xmlns:x14="http://schemas.microsoft.com/office/spreadsheetml/2009/9/main" uri="{B025F937-C7B1-47D3-B67F-A62EFF666E3E}">
          <x14:id>{7B8F268E-4AF0-47E3-B824-707FE76EB1D6}</x14:id>
        </ext>
      </extLst>
    </cfRule>
  </conditionalFormatting>
  <conditionalFormatting sqref="C34:D34">
    <cfRule type="dataBar" priority="18">
      <dataBar>
        <cfvo type="min"/>
        <cfvo type="max"/>
        <color rgb="FF008AEF"/>
      </dataBar>
      <extLst>
        <ext xmlns:x14="http://schemas.microsoft.com/office/spreadsheetml/2009/9/main" uri="{B025F937-C7B1-47D3-B67F-A62EFF666E3E}">
          <x14:id>{614CD350-E23F-4F67-A159-A2B94882D7E1}</x14:id>
        </ext>
      </extLst>
    </cfRule>
  </conditionalFormatting>
  <conditionalFormatting sqref="C35:D35">
    <cfRule type="dataBar" priority="17">
      <dataBar>
        <cfvo type="min"/>
        <cfvo type="max"/>
        <color rgb="FF008AEF"/>
      </dataBar>
      <extLst>
        <ext xmlns:x14="http://schemas.microsoft.com/office/spreadsheetml/2009/9/main" uri="{B025F937-C7B1-47D3-B67F-A62EFF666E3E}">
          <x14:id>{271F5A5C-1801-42E9-BF65-115B97C9B820}</x14:id>
        </ext>
      </extLst>
    </cfRule>
  </conditionalFormatting>
  <conditionalFormatting sqref="C36:D36">
    <cfRule type="dataBar" priority="16">
      <dataBar>
        <cfvo type="min"/>
        <cfvo type="max"/>
        <color rgb="FF008AEF"/>
      </dataBar>
      <extLst>
        <ext xmlns:x14="http://schemas.microsoft.com/office/spreadsheetml/2009/9/main" uri="{B025F937-C7B1-47D3-B67F-A62EFF666E3E}">
          <x14:id>{BBAE6DBF-61C6-4AA5-B052-472E6234F26D}</x14:id>
        </ext>
      </extLst>
    </cfRule>
  </conditionalFormatting>
  <conditionalFormatting sqref="C37:D37">
    <cfRule type="dataBar" priority="15">
      <dataBar>
        <cfvo type="min"/>
        <cfvo type="max"/>
        <color rgb="FF008AEF"/>
      </dataBar>
      <extLst>
        <ext xmlns:x14="http://schemas.microsoft.com/office/spreadsheetml/2009/9/main" uri="{B025F937-C7B1-47D3-B67F-A62EFF666E3E}">
          <x14:id>{DBBB06DF-A52B-44B8-AB70-DD0BAB995A67}</x14:id>
        </ext>
      </extLst>
    </cfRule>
  </conditionalFormatting>
  <conditionalFormatting sqref="C38:D38">
    <cfRule type="dataBar" priority="14">
      <dataBar>
        <cfvo type="min"/>
        <cfvo type="max"/>
        <color rgb="FF008AEF"/>
      </dataBar>
      <extLst>
        <ext xmlns:x14="http://schemas.microsoft.com/office/spreadsheetml/2009/9/main" uri="{B025F937-C7B1-47D3-B67F-A62EFF666E3E}">
          <x14:id>{345534F3-2D31-4C22-AEB2-879471C3AE58}</x14:id>
        </ext>
      </extLst>
    </cfRule>
  </conditionalFormatting>
  <conditionalFormatting sqref="E3:F34 E35:O38">
    <cfRule type="cellIs" dxfId="7" priority="3" operator="greaterThan">
      <formula>0</formula>
    </cfRule>
  </conditionalFormatting>
  <conditionalFormatting sqref="G11:O34">
    <cfRule type="cellIs" dxfId="6" priority="12" operator="greaterThan">
      <formula>0</formula>
    </cfRule>
  </conditionalFormatting>
  <conditionalFormatting sqref="G3:P10">
    <cfRule type="cellIs" dxfId="5" priority="4"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FF1DEE2-E29B-4208-A58F-3A279D77C6A5}">
            <x14:dataBar minLength="0" maxLength="100" gradient="0">
              <x14:cfvo type="autoMin"/>
              <x14:cfvo type="autoMax"/>
              <x14:negativeFillColor rgb="FFFF0000"/>
              <x14:axisColor rgb="FF000000"/>
            </x14:dataBar>
          </x14:cfRule>
          <xm:sqref>C10</xm:sqref>
        </x14:conditionalFormatting>
        <x14:conditionalFormatting xmlns:xm="http://schemas.microsoft.com/office/excel/2006/main">
          <x14:cfRule type="dataBar" id="{BC9D5B26-F0CB-4190-B426-9D7F17D1D3E0}">
            <x14:dataBar minLength="0" maxLength="100" gradient="0">
              <x14:cfvo type="autoMin"/>
              <x14:cfvo type="autoMax"/>
              <x14:negativeFillColor rgb="FFFF0000"/>
              <x14:axisColor rgb="FF000000"/>
            </x14:dataBar>
          </x14:cfRule>
          <xm:sqref>C3:D3 D4:D10</xm:sqref>
        </x14:conditionalFormatting>
        <x14:conditionalFormatting xmlns:xm="http://schemas.microsoft.com/office/excel/2006/main">
          <x14:cfRule type="dataBar" id="{DAE394ED-8ABA-4795-80FE-57C546197A41}">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FFE87DE1-BCA7-4202-957A-C36704EB14ED}">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34D3A8C1-A903-4A52-9F71-37F3D383B3EB}">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2C286234-F5AC-4166-A5C6-DFAFDAA680D0}">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48107100-15D6-430B-AF7A-BCB87FBCB4B8}">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6A8677FE-D371-4ED6-8C0D-21EECBF978CF}">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E19743AF-7B19-4734-92D0-7F21FD543EAC}">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8F33A1C4-E528-493F-829D-5F11D2DE1E57}">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1BE24545-2D9C-403E-9943-64F388596DA9}">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CD8DB0E5-894D-4C96-B1CC-72EF452D5963}">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D6E0B7E5-DC69-4FC4-BB32-E6659A9E5D45}">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CE3C25DD-028F-4FA9-BDC9-B273030FE33C}">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42A6A531-B28E-4F16-ADB6-5711CECC804A}">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6F262203-8E30-452A-8FFA-CBD6694A3385}">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01B59CF1-F76D-4372-A02D-034A9796CB53}">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EED8B11C-86A8-4865-BBF9-B5902B1502AD}">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93D7A2E6-673E-4C89-9BDB-DEBB195DC891}">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15D42D71-5385-4ED5-A2C8-9963FE363BD2}">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F3BB9E85-C2AB-4039-924E-3639DDDB4CDA}">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053EAC5D-7B47-434A-8B69-E5272913526A}">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524DF44A-0825-423C-A00B-1C2E32541C56}">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E7B10448-7781-4EB7-86F3-E488CF75E331}">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E7FCC7C5-8A92-4B0F-82D8-517F0251E348}">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29059371-654C-42A2-8FFE-597B26215DD6}">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7D026440-85D4-42A0-B674-0E1DA57A4C08}">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82883857-A700-4596-97AA-D44149B0E7EA}">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333DC866-E964-49CE-9B2A-595E183440BF}">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37932045-EA71-4732-922C-667EEB4D4257}">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7B8F268E-4AF0-47E3-B824-707FE76EB1D6}">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614CD350-E23F-4F67-A159-A2B94882D7E1}">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271F5A5C-1801-42E9-BF65-115B97C9B820}">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BBAE6DBF-61C6-4AA5-B052-472E6234F26D}">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DBBB06DF-A52B-44B8-AB70-DD0BAB995A67}">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345534F3-2D31-4C22-AEB2-879471C3AE58}">
            <x14:dataBar minLength="0" maxLength="100" gradient="0">
              <x14:cfvo type="autoMin"/>
              <x14:cfvo type="autoMax"/>
              <x14:negativeFillColor rgb="FFFF0000"/>
              <x14:axisColor rgb="FF000000"/>
            </x14:dataBar>
          </x14:cfRule>
          <xm:sqref>C38:D38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2:P46"/>
  <sheetViews>
    <sheetView topLeftCell="B3" zoomScale="70" zoomScaleNormal="70" workbookViewId="0">
      <selection activeCell="H8" sqref="H8"/>
    </sheetView>
  </sheetViews>
  <sheetFormatPr baseColWidth="10" defaultColWidth="11.28515625" defaultRowHeight="15" x14ac:dyDescent="0.25"/>
  <cols>
    <col min="1" max="1" width="10.28515625" style="2" customWidth="1"/>
    <col min="2" max="2" width="110.140625" style="2" customWidth="1"/>
    <col min="3" max="3" width="11.28515625" style="2"/>
    <col min="4" max="4" width="22.42578125" style="2" customWidth="1"/>
    <col min="5" max="9" width="17.28515625" style="2" customWidth="1"/>
    <col min="10" max="16384" width="11.28515625" style="2"/>
  </cols>
  <sheetData>
    <row r="2" spans="1:16" ht="15.75" thickBot="1" x14ac:dyDescent="0.3"/>
    <row r="3" spans="1:16" ht="61.5" customHeight="1" x14ac:dyDescent="0.25">
      <c r="A3" s="46" t="s">
        <v>1</v>
      </c>
      <c r="B3" s="26" t="s">
        <v>49</v>
      </c>
      <c r="C3" s="1" t="s">
        <v>2</v>
      </c>
      <c r="D3" s="1" t="s">
        <v>3</v>
      </c>
      <c r="E3" s="1" t="s">
        <v>4</v>
      </c>
      <c r="F3" s="1" t="s">
        <v>5</v>
      </c>
      <c r="G3" s="1" t="s">
        <v>6</v>
      </c>
      <c r="H3" s="1" t="s">
        <v>7</v>
      </c>
      <c r="I3" s="1" t="s">
        <v>8</v>
      </c>
      <c r="J3" s="1" t="s">
        <v>9</v>
      </c>
      <c r="K3" s="1" t="s">
        <v>10</v>
      </c>
      <c r="L3" s="1" t="s">
        <v>11</v>
      </c>
      <c r="M3" s="1" t="s">
        <v>12</v>
      </c>
      <c r="N3" s="1" t="s">
        <v>13</v>
      </c>
      <c r="O3" s="1" t="s">
        <v>14</v>
      </c>
      <c r="P3" s="1" t="s">
        <v>15</v>
      </c>
    </row>
    <row r="4" spans="1:16" s="4" customFormat="1" ht="15.75" thickBot="1" x14ac:dyDescent="0.3">
      <c r="A4" s="47"/>
      <c r="B4" s="26" t="s">
        <v>50</v>
      </c>
      <c r="C4" s="3">
        <v>2026</v>
      </c>
      <c r="D4" s="3" t="s">
        <v>16</v>
      </c>
      <c r="E4" s="27"/>
      <c r="F4" s="27"/>
      <c r="G4" s="27"/>
      <c r="H4" s="27"/>
      <c r="I4" s="27"/>
      <c r="J4" s="27"/>
      <c r="K4" s="27"/>
      <c r="L4" s="27"/>
      <c r="M4" s="27"/>
      <c r="N4" s="27"/>
      <c r="O4" s="27"/>
      <c r="P4" s="27"/>
    </row>
    <row r="5" spans="1:16" ht="81" customHeight="1" x14ac:dyDescent="0.25">
      <c r="A5" s="28" t="s">
        <v>18</v>
      </c>
      <c r="B5" s="12" t="s">
        <v>35</v>
      </c>
      <c r="C5" s="6">
        <v>1</v>
      </c>
      <c r="D5" s="24">
        <f t="shared" ref="D5:D12" si="0">SUM(E5:P5)</f>
        <v>1</v>
      </c>
      <c r="E5" s="29"/>
      <c r="F5" s="29"/>
      <c r="G5" s="29"/>
      <c r="H5" s="29"/>
      <c r="I5" s="29">
        <v>1</v>
      </c>
      <c r="J5" s="29"/>
      <c r="K5" s="29"/>
      <c r="L5" s="29"/>
      <c r="M5" s="29"/>
      <c r="N5" s="29"/>
      <c r="O5" s="29"/>
      <c r="P5" s="29"/>
    </row>
    <row r="6" spans="1:16" ht="81" customHeight="1" x14ac:dyDescent="0.25">
      <c r="A6" s="30" t="s">
        <v>20</v>
      </c>
      <c r="B6" s="15" t="s">
        <v>51</v>
      </c>
      <c r="C6" s="31">
        <v>1</v>
      </c>
      <c r="D6" s="24">
        <f t="shared" si="0"/>
        <v>0</v>
      </c>
      <c r="E6" s="29">
        <v>0</v>
      </c>
      <c r="F6" s="29">
        <v>0</v>
      </c>
      <c r="G6" s="29">
        <v>0</v>
      </c>
      <c r="H6" s="29">
        <v>0</v>
      </c>
      <c r="I6" s="29"/>
      <c r="J6" s="29"/>
      <c r="K6" s="29"/>
      <c r="L6" s="29"/>
      <c r="M6" s="29"/>
      <c r="N6" s="29"/>
      <c r="O6" s="29"/>
      <c r="P6" s="29"/>
    </row>
    <row r="7" spans="1:16" ht="81" customHeight="1" x14ac:dyDescent="0.25">
      <c r="A7" s="28" t="s">
        <v>18</v>
      </c>
      <c r="B7" s="12" t="s">
        <v>52</v>
      </c>
      <c r="C7" s="33">
        <v>1</v>
      </c>
      <c r="D7" s="24">
        <f t="shared" si="0"/>
        <v>1</v>
      </c>
      <c r="E7" s="29">
        <v>0</v>
      </c>
      <c r="F7" s="29">
        <v>0</v>
      </c>
      <c r="G7" s="29">
        <v>0</v>
      </c>
      <c r="H7" s="29">
        <v>0</v>
      </c>
      <c r="I7" s="29">
        <v>1</v>
      </c>
      <c r="J7" s="29"/>
      <c r="K7" s="29"/>
      <c r="L7" s="29"/>
      <c r="M7" s="29"/>
      <c r="N7" s="29"/>
      <c r="O7" s="29"/>
      <c r="P7" s="29"/>
    </row>
    <row r="8" spans="1:16" ht="81" customHeight="1" x14ac:dyDescent="0.25">
      <c r="A8" s="32" t="s">
        <v>22</v>
      </c>
      <c r="B8" s="14" t="s">
        <v>37</v>
      </c>
      <c r="C8" s="34">
        <v>1</v>
      </c>
      <c r="D8" s="24">
        <f t="shared" si="0"/>
        <v>0</v>
      </c>
      <c r="E8" s="29"/>
      <c r="F8" s="29"/>
      <c r="G8" s="29"/>
      <c r="H8" s="29"/>
      <c r="I8" s="29"/>
      <c r="J8" s="29"/>
      <c r="K8" s="29"/>
      <c r="L8" s="29"/>
      <c r="M8" s="29"/>
      <c r="N8" s="29"/>
      <c r="O8" s="29"/>
      <c r="P8" s="29"/>
    </row>
    <row r="9" spans="1:16" ht="81" customHeight="1" x14ac:dyDescent="0.25">
      <c r="A9" s="28" t="s">
        <v>18</v>
      </c>
      <c r="B9" s="12" t="s">
        <v>27</v>
      </c>
      <c r="C9" s="34">
        <v>1</v>
      </c>
      <c r="D9" s="24">
        <f t="shared" si="0"/>
        <v>0</v>
      </c>
      <c r="E9" s="29"/>
      <c r="F9" s="29"/>
      <c r="G9" s="29"/>
      <c r="H9" s="29"/>
      <c r="I9" s="29"/>
      <c r="J9" s="29"/>
      <c r="K9" s="29"/>
      <c r="L9" s="29"/>
      <c r="M9" s="29"/>
      <c r="N9" s="29"/>
      <c r="O9" s="29"/>
      <c r="P9" s="29"/>
    </row>
    <row r="10" spans="1:16" ht="81" customHeight="1" x14ac:dyDescent="0.25">
      <c r="A10" s="28" t="s">
        <v>18</v>
      </c>
      <c r="B10" s="12" t="s">
        <v>28</v>
      </c>
      <c r="C10" s="34">
        <v>1</v>
      </c>
      <c r="D10" s="24">
        <f t="shared" si="0"/>
        <v>0</v>
      </c>
      <c r="E10" s="29"/>
      <c r="F10" s="29"/>
      <c r="G10" s="29"/>
      <c r="H10" s="29"/>
      <c r="I10" s="29"/>
      <c r="J10" s="29"/>
      <c r="K10" s="29"/>
      <c r="L10" s="29"/>
      <c r="M10" s="29"/>
      <c r="N10" s="29"/>
      <c r="O10" s="29"/>
      <c r="P10" s="29"/>
    </row>
    <row r="11" spans="1:16" ht="81" customHeight="1" x14ac:dyDescent="0.25">
      <c r="A11" s="28" t="s">
        <v>18</v>
      </c>
      <c r="B11" s="12" t="s">
        <v>53</v>
      </c>
      <c r="C11" s="34">
        <v>1</v>
      </c>
      <c r="D11" s="24">
        <f t="shared" si="0"/>
        <v>0</v>
      </c>
      <c r="E11" s="29"/>
      <c r="F11" s="29"/>
      <c r="G11" s="29"/>
      <c r="H11" s="29"/>
      <c r="I11" s="29"/>
      <c r="J11" s="29"/>
      <c r="K11" s="29"/>
      <c r="L11" s="29"/>
      <c r="M11" s="29"/>
      <c r="N11" s="29"/>
      <c r="O11" s="29"/>
      <c r="P11" s="29"/>
    </row>
    <row r="12" spans="1:16" ht="81" customHeight="1" x14ac:dyDescent="0.25">
      <c r="A12" s="28" t="s">
        <v>18</v>
      </c>
      <c r="B12" s="12" t="s">
        <v>54</v>
      </c>
      <c r="C12" s="34">
        <v>1</v>
      </c>
      <c r="D12" s="24">
        <f t="shared" si="0"/>
        <v>0</v>
      </c>
      <c r="E12" s="29"/>
      <c r="F12" s="29"/>
      <c r="G12" s="29"/>
      <c r="H12" s="29"/>
      <c r="I12" s="29"/>
      <c r="J12" s="29"/>
      <c r="K12" s="29"/>
      <c r="L12" s="29"/>
      <c r="M12" s="29"/>
      <c r="N12" s="29"/>
      <c r="O12" s="29"/>
      <c r="P12" s="29"/>
    </row>
    <row r="13" spans="1:16" ht="24" customHeight="1" x14ac:dyDescent="0.25">
      <c r="A13" s="51" t="s">
        <v>55</v>
      </c>
      <c r="B13" s="51"/>
      <c r="C13" s="51"/>
      <c r="D13" s="51"/>
      <c r="E13" s="51"/>
      <c r="F13" s="51"/>
      <c r="G13" s="51"/>
      <c r="H13" s="51"/>
      <c r="I13" s="51"/>
      <c r="J13" s="51"/>
      <c r="K13" s="51"/>
      <c r="L13" s="51"/>
      <c r="M13" s="51"/>
      <c r="N13" s="51"/>
      <c r="O13" s="51"/>
      <c r="P13" s="52"/>
    </row>
    <row r="14" spans="1:16" ht="81" customHeight="1" x14ac:dyDescent="0.25">
      <c r="A14" s="28" t="s">
        <v>18</v>
      </c>
      <c r="B14" s="12" t="s">
        <v>35</v>
      </c>
      <c r="C14" s="34">
        <v>1</v>
      </c>
      <c r="D14" s="24">
        <f>SUM(E14:P14)</f>
        <v>0</v>
      </c>
      <c r="E14" s="29"/>
      <c r="F14" s="29"/>
      <c r="G14" s="29"/>
      <c r="H14" s="29"/>
      <c r="I14" s="29"/>
      <c r="J14" s="29"/>
      <c r="K14" s="29"/>
      <c r="L14" s="29"/>
      <c r="M14" s="29"/>
      <c r="N14" s="29"/>
      <c r="O14" s="29"/>
      <c r="P14" s="29"/>
    </row>
    <row r="15" spans="1:16" ht="81" customHeight="1" x14ac:dyDescent="0.25">
      <c r="A15" s="30" t="s">
        <v>20</v>
      </c>
      <c r="B15" s="15" t="s">
        <v>51</v>
      </c>
      <c r="C15" s="34">
        <v>1</v>
      </c>
      <c r="D15" s="24">
        <f t="shared" ref="D15:D16" si="1">SUM(E15:P15)</f>
        <v>0</v>
      </c>
      <c r="E15" s="29"/>
      <c r="F15" s="29"/>
      <c r="G15" s="29"/>
      <c r="H15" s="29"/>
      <c r="I15" s="29"/>
      <c r="J15" s="29"/>
      <c r="K15" s="29"/>
      <c r="L15" s="29"/>
      <c r="M15" s="29"/>
      <c r="N15" s="29"/>
      <c r="O15" s="29"/>
      <c r="P15" s="29"/>
    </row>
    <row r="16" spans="1:16" ht="81" customHeight="1" x14ac:dyDescent="0.25">
      <c r="A16" s="28" t="s">
        <v>18</v>
      </c>
      <c r="B16" s="12" t="s">
        <v>52</v>
      </c>
      <c r="C16" s="34">
        <v>1</v>
      </c>
      <c r="D16" s="24">
        <f t="shared" si="1"/>
        <v>0</v>
      </c>
      <c r="E16" s="29"/>
      <c r="F16" s="29"/>
      <c r="G16" s="29"/>
      <c r="H16" s="29"/>
      <c r="I16" s="29"/>
      <c r="J16" s="29"/>
      <c r="K16" s="29"/>
      <c r="L16" s="29"/>
      <c r="M16" s="29"/>
      <c r="N16" s="29"/>
      <c r="O16" s="29"/>
      <c r="P16" s="29"/>
    </row>
    <row r="17" spans="1:16" ht="28.5" customHeight="1" x14ac:dyDescent="0.25">
      <c r="A17" s="48" t="s">
        <v>75</v>
      </c>
      <c r="B17" s="35" t="s">
        <v>76</v>
      </c>
      <c r="C17" s="34">
        <v>3</v>
      </c>
      <c r="D17" s="24">
        <f t="shared" ref="D17:D44" si="2">SUM(E17:O17)</f>
        <v>0</v>
      </c>
      <c r="E17" s="29"/>
      <c r="F17" s="29"/>
      <c r="G17" s="29"/>
      <c r="H17" s="29"/>
      <c r="I17" s="29"/>
      <c r="J17" s="29"/>
      <c r="K17" s="29"/>
      <c r="L17" s="29"/>
      <c r="M17" s="29"/>
      <c r="N17" s="29"/>
      <c r="O17" s="29"/>
      <c r="P17" s="36"/>
    </row>
    <row r="18" spans="1:16" ht="28.5" customHeight="1" x14ac:dyDescent="0.25">
      <c r="A18" s="49"/>
      <c r="B18" s="35" t="s">
        <v>77</v>
      </c>
      <c r="C18" s="34">
        <v>3</v>
      </c>
      <c r="D18" s="24">
        <f t="shared" si="2"/>
        <v>0</v>
      </c>
      <c r="E18" s="29"/>
      <c r="F18" s="29"/>
      <c r="G18" s="29"/>
      <c r="H18" s="29"/>
      <c r="I18" s="29"/>
      <c r="J18" s="29"/>
      <c r="K18" s="29"/>
      <c r="L18" s="29"/>
      <c r="M18" s="29"/>
      <c r="N18" s="29"/>
      <c r="O18" s="29"/>
      <c r="P18" s="36"/>
    </row>
    <row r="19" spans="1:16" ht="28.5" customHeight="1" x14ac:dyDescent="0.25">
      <c r="A19" s="49"/>
      <c r="B19" s="35" t="s">
        <v>78</v>
      </c>
      <c r="C19" s="34">
        <v>44</v>
      </c>
      <c r="D19" s="24">
        <f t="shared" si="2"/>
        <v>22</v>
      </c>
      <c r="E19" s="29">
        <v>11</v>
      </c>
      <c r="F19" s="29"/>
      <c r="G19" s="29"/>
      <c r="H19" s="29">
        <v>11</v>
      </c>
      <c r="I19" s="29"/>
      <c r="J19" s="29"/>
      <c r="K19" s="29"/>
      <c r="L19" s="29"/>
      <c r="M19" s="29"/>
      <c r="N19" s="29"/>
      <c r="O19" s="29"/>
      <c r="P19" s="36"/>
    </row>
    <row r="20" spans="1:16" ht="28.5" customHeight="1" x14ac:dyDescent="0.25">
      <c r="A20" s="49"/>
      <c r="B20" s="35" t="s">
        <v>79</v>
      </c>
      <c r="C20" s="34">
        <v>78</v>
      </c>
      <c r="D20" s="24">
        <f t="shared" si="2"/>
        <v>31</v>
      </c>
      <c r="E20" s="29"/>
      <c r="F20" s="29"/>
      <c r="G20" s="29">
        <v>11</v>
      </c>
      <c r="H20" s="29">
        <v>20</v>
      </c>
      <c r="I20" s="29"/>
      <c r="J20" s="29"/>
      <c r="K20" s="29"/>
      <c r="L20" s="29"/>
      <c r="M20" s="29"/>
      <c r="N20" s="29"/>
      <c r="O20" s="29"/>
      <c r="P20" s="36"/>
    </row>
    <row r="21" spans="1:16" ht="28.5" customHeight="1" x14ac:dyDescent="0.25">
      <c r="A21" s="49"/>
      <c r="B21" s="35" t="s">
        <v>80</v>
      </c>
      <c r="C21" s="34">
        <v>0</v>
      </c>
      <c r="D21" s="24">
        <f t="shared" si="2"/>
        <v>0</v>
      </c>
      <c r="E21" s="29"/>
      <c r="F21" s="29"/>
      <c r="G21" s="29"/>
      <c r="H21" s="29"/>
      <c r="I21" s="29"/>
      <c r="J21" s="29"/>
      <c r="K21" s="29"/>
      <c r="L21" s="29"/>
      <c r="M21" s="29"/>
      <c r="N21" s="29"/>
      <c r="O21" s="29"/>
      <c r="P21" s="36"/>
    </row>
    <row r="22" spans="1:16" ht="28.5" customHeight="1" x14ac:dyDescent="0.25">
      <c r="A22" s="49"/>
      <c r="B22" s="35" t="s">
        <v>81</v>
      </c>
      <c r="C22" s="34">
        <v>11</v>
      </c>
      <c r="D22" s="24">
        <f t="shared" si="2"/>
        <v>0</v>
      </c>
      <c r="E22" s="29"/>
      <c r="F22" s="29"/>
      <c r="G22" s="29"/>
      <c r="H22" s="29"/>
      <c r="I22" s="29"/>
      <c r="J22" s="29"/>
      <c r="K22" s="29"/>
      <c r="L22" s="29"/>
      <c r="M22" s="29"/>
      <c r="N22" s="29"/>
      <c r="O22" s="29"/>
      <c r="P22" s="36"/>
    </row>
    <row r="23" spans="1:16" ht="28.5" customHeight="1" x14ac:dyDescent="0.25">
      <c r="A23" s="49"/>
      <c r="B23" s="35" t="s">
        <v>82</v>
      </c>
      <c r="C23" s="34">
        <v>0</v>
      </c>
      <c r="D23" s="24">
        <f t="shared" si="2"/>
        <v>0</v>
      </c>
      <c r="E23" s="29"/>
      <c r="F23" s="29"/>
      <c r="G23" s="29"/>
      <c r="H23" s="29"/>
      <c r="I23" s="29"/>
      <c r="J23" s="29"/>
      <c r="K23" s="29"/>
      <c r="L23" s="29"/>
      <c r="M23" s="29"/>
      <c r="N23" s="29"/>
      <c r="O23" s="29"/>
      <c r="P23" s="36"/>
    </row>
    <row r="24" spans="1:16" ht="28.5" customHeight="1" x14ac:dyDescent="0.25">
      <c r="A24" s="49"/>
      <c r="B24" s="35" t="s">
        <v>83</v>
      </c>
      <c r="C24" s="34">
        <v>0</v>
      </c>
      <c r="D24" s="24">
        <f t="shared" si="2"/>
        <v>0</v>
      </c>
      <c r="E24" s="29"/>
      <c r="F24" s="29"/>
      <c r="G24" s="29"/>
      <c r="H24" s="29"/>
      <c r="I24" s="29"/>
      <c r="J24" s="29"/>
      <c r="K24" s="29"/>
      <c r="L24" s="29"/>
      <c r="M24" s="29"/>
      <c r="N24" s="29"/>
      <c r="O24" s="29"/>
      <c r="P24" s="36"/>
    </row>
    <row r="25" spans="1:16" ht="28.5" customHeight="1" x14ac:dyDescent="0.25">
      <c r="A25" s="49"/>
      <c r="B25" s="35" t="s">
        <v>84</v>
      </c>
      <c r="C25" s="34">
        <v>0</v>
      </c>
      <c r="D25" s="24">
        <f t="shared" si="2"/>
        <v>0</v>
      </c>
      <c r="E25" s="29"/>
      <c r="F25" s="29"/>
      <c r="G25" s="29"/>
      <c r="H25" s="29"/>
      <c r="I25" s="29"/>
      <c r="J25" s="29"/>
      <c r="K25" s="29"/>
      <c r="L25" s="29"/>
      <c r="M25" s="29"/>
      <c r="N25" s="29"/>
      <c r="O25" s="29"/>
      <c r="P25" s="36"/>
    </row>
    <row r="26" spans="1:16" ht="28.5" customHeight="1" x14ac:dyDescent="0.25">
      <c r="A26" s="49"/>
      <c r="B26" s="35" t="s">
        <v>85</v>
      </c>
      <c r="C26" s="34">
        <v>0</v>
      </c>
      <c r="D26" s="24">
        <f t="shared" si="2"/>
        <v>0</v>
      </c>
      <c r="E26" s="29"/>
      <c r="F26" s="29"/>
      <c r="G26" s="29"/>
      <c r="H26" s="29"/>
      <c r="I26" s="29"/>
      <c r="J26" s="29"/>
      <c r="K26" s="29"/>
      <c r="L26" s="29"/>
      <c r="M26" s="29"/>
      <c r="N26" s="29"/>
      <c r="O26" s="29"/>
      <c r="P26" s="36"/>
    </row>
    <row r="27" spans="1:16" ht="28.5" customHeight="1" x14ac:dyDescent="0.25">
      <c r="A27" s="49"/>
      <c r="B27" s="35" t="s">
        <v>86</v>
      </c>
      <c r="C27" s="34">
        <v>0</v>
      </c>
      <c r="D27" s="24">
        <f t="shared" si="2"/>
        <v>0</v>
      </c>
      <c r="E27" s="29"/>
      <c r="F27" s="29"/>
      <c r="G27" s="29"/>
      <c r="H27" s="29"/>
      <c r="I27" s="29"/>
      <c r="J27" s="29"/>
      <c r="K27" s="29"/>
      <c r="L27" s="29"/>
      <c r="M27" s="29"/>
      <c r="N27" s="29"/>
      <c r="O27" s="29"/>
      <c r="P27" s="36"/>
    </row>
    <row r="28" spans="1:16" ht="28.5" customHeight="1" x14ac:dyDescent="0.25">
      <c r="A28" s="49"/>
      <c r="B28" s="35" t="s">
        <v>87</v>
      </c>
      <c r="C28" s="34">
        <v>0</v>
      </c>
      <c r="D28" s="24">
        <f t="shared" si="2"/>
        <v>0</v>
      </c>
      <c r="E28" s="29"/>
      <c r="F28" s="29"/>
      <c r="G28" s="29"/>
      <c r="H28" s="29"/>
      <c r="I28" s="29"/>
      <c r="J28" s="29"/>
      <c r="K28" s="29"/>
      <c r="L28" s="29"/>
      <c r="M28" s="29"/>
      <c r="N28" s="29"/>
      <c r="O28" s="29"/>
      <c r="P28" s="36"/>
    </row>
    <row r="29" spans="1:16" ht="28.5" customHeight="1" x14ac:dyDescent="0.25">
      <c r="A29" s="49"/>
      <c r="B29" s="35" t="s">
        <v>88</v>
      </c>
      <c r="C29" s="34">
        <v>0</v>
      </c>
      <c r="D29" s="24">
        <f t="shared" si="2"/>
        <v>0</v>
      </c>
      <c r="E29" s="29"/>
      <c r="F29" s="29"/>
      <c r="G29" s="29"/>
      <c r="H29" s="29"/>
      <c r="I29" s="29"/>
      <c r="J29" s="29"/>
      <c r="K29" s="29"/>
      <c r="L29" s="29"/>
      <c r="M29" s="29"/>
      <c r="N29" s="29"/>
      <c r="O29" s="29"/>
      <c r="P29" s="36"/>
    </row>
    <row r="30" spans="1:16" ht="28.5" customHeight="1" x14ac:dyDescent="0.25">
      <c r="A30" s="49"/>
      <c r="B30" s="35" t="s">
        <v>89</v>
      </c>
      <c r="C30" s="34">
        <v>8</v>
      </c>
      <c r="D30" s="24">
        <f t="shared" si="2"/>
        <v>0</v>
      </c>
      <c r="E30" s="29"/>
      <c r="F30" s="29"/>
      <c r="G30" s="29"/>
      <c r="H30" s="29"/>
      <c r="I30" s="29"/>
      <c r="J30" s="29"/>
      <c r="K30" s="29"/>
      <c r="L30" s="29"/>
      <c r="M30" s="29"/>
      <c r="N30" s="29"/>
      <c r="O30" s="29"/>
      <c r="P30" s="36"/>
    </row>
    <row r="31" spans="1:16" ht="28.5" customHeight="1" x14ac:dyDescent="0.25">
      <c r="A31" s="49"/>
      <c r="B31" s="35" t="s">
        <v>90</v>
      </c>
      <c r="C31" s="34">
        <v>56</v>
      </c>
      <c r="D31" s="24">
        <f t="shared" si="2"/>
        <v>28</v>
      </c>
      <c r="E31" s="29">
        <v>28</v>
      </c>
      <c r="F31" s="29"/>
      <c r="G31" s="29"/>
      <c r="H31" s="29"/>
      <c r="I31" s="29"/>
      <c r="J31" s="29"/>
      <c r="K31" s="29"/>
      <c r="L31" s="29"/>
      <c r="M31" s="29"/>
      <c r="N31" s="29"/>
      <c r="O31" s="29"/>
      <c r="P31" s="36"/>
    </row>
    <row r="32" spans="1:16" ht="28.5" customHeight="1" x14ac:dyDescent="0.25">
      <c r="A32" s="49"/>
      <c r="B32" s="35" t="s">
        <v>91</v>
      </c>
      <c r="C32" s="34">
        <v>3</v>
      </c>
      <c r="D32" s="24">
        <f t="shared" si="2"/>
        <v>2</v>
      </c>
      <c r="E32" s="29"/>
      <c r="F32" s="29"/>
      <c r="G32" s="29"/>
      <c r="H32" s="29"/>
      <c r="I32" s="29">
        <v>2</v>
      </c>
      <c r="J32" s="29"/>
      <c r="K32" s="29"/>
      <c r="L32" s="29"/>
      <c r="M32" s="29"/>
      <c r="N32" s="29"/>
      <c r="O32" s="29"/>
      <c r="P32" s="36"/>
    </row>
    <row r="33" spans="1:16" ht="24" customHeight="1" x14ac:dyDescent="0.25">
      <c r="A33" s="49"/>
      <c r="B33" s="37" t="s">
        <v>92</v>
      </c>
      <c r="C33" s="34">
        <v>7</v>
      </c>
      <c r="D33" s="24">
        <f t="shared" si="2"/>
        <v>7</v>
      </c>
      <c r="E33" s="29"/>
      <c r="F33" s="29"/>
      <c r="G33" s="29">
        <v>7</v>
      </c>
      <c r="H33" s="29"/>
      <c r="I33" s="29"/>
      <c r="J33" s="29"/>
      <c r="K33" s="29"/>
      <c r="L33" s="29"/>
      <c r="M33" s="29"/>
      <c r="N33" s="29"/>
      <c r="O33" s="29"/>
      <c r="P33" s="36"/>
    </row>
    <row r="34" spans="1:16" ht="24" customHeight="1" x14ac:dyDescent="0.25">
      <c r="A34" s="49"/>
      <c r="B34" s="37" t="s">
        <v>93</v>
      </c>
      <c r="C34" s="34">
        <v>7</v>
      </c>
      <c r="D34" s="24">
        <f t="shared" si="2"/>
        <v>7</v>
      </c>
      <c r="E34" s="29"/>
      <c r="F34" s="29"/>
      <c r="G34" s="29"/>
      <c r="H34" s="29">
        <v>7</v>
      </c>
      <c r="I34" s="29"/>
      <c r="J34" s="29"/>
      <c r="K34" s="29"/>
      <c r="L34" s="29"/>
      <c r="M34" s="29"/>
      <c r="N34" s="29"/>
      <c r="O34" s="29"/>
      <c r="P34" s="36"/>
    </row>
    <row r="35" spans="1:16" ht="24" customHeight="1" x14ac:dyDescent="0.25">
      <c r="A35" s="49"/>
      <c r="B35" s="37" t="s">
        <v>94</v>
      </c>
      <c r="C35" s="34">
        <v>7</v>
      </c>
      <c r="D35" s="24">
        <f t="shared" si="2"/>
        <v>7</v>
      </c>
      <c r="E35" s="29"/>
      <c r="F35" s="29"/>
      <c r="G35" s="29"/>
      <c r="H35" s="29"/>
      <c r="I35" s="29">
        <v>7</v>
      </c>
      <c r="J35" s="29"/>
      <c r="K35" s="29"/>
      <c r="L35" s="29"/>
      <c r="M35" s="29"/>
      <c r="N35" s="29"/>
      <c r="O35" s="29"/>
      <c r="P35" s="36"/>
    </row>
    <row r="36" spans="1:16" ht="24" customHeight="1" x14ac:dyDescent="0.25">
      <c r="A36" s="49"/>
      <c r="B36" s="37" t="s">
        <v>95</v>
      </c>
      <c r="C36" s="34">
        <v>7</v>
      </c>
      <c r="D36" s="24">
        <f t="shared" si="2"/>
        <v>0</v>
      </c>
      <c r="E36" s="29"/>
      <c r="F36" s="29"/>
      <c r="G36" s="29"/>
      <c r="H36" s="29"/>
      <c r="I36" s="29"/>
      <c r="J36" s="29"/>
      <c r="K36" s="29"/>
      <c r="L36" s="29"/>
      <c r="M36" s="29"/>
      <c r="N36" s="29"/>
      <c r="O36" s="29"/>
      <c r="P36" s="36"/>
    </row>
    <row r="37" spans="1:16" ht="24" customHeight="1" x14ac:dyDescent="0.25">
      <c r="A37" s="49"/>
      <c r="B37" s="37" t="s">
        <v>96</v>
      </c>
      <c r="C37" s="34">
        <v>7</v>
      </c>
      <c r="D37" s="24">
        <f t="shared" si="2"/>
        <v>0</v>
      </c>
      <c r="E37" s="29"/>
      <c r="F37" s="29"/>
      <c r="G37" s="29"/>
      <c r="H37" s="29"/>
      <c r="I37" s="29"/>
      <c r="J37" s="29"/>
      <c r="K37" s="29"/>
      <c r="L37" s="29"/>
      <c r="M37" s="29"/>
      <c r="N37" s="29"/>
      <c r="O37" s="29"/>
      <c r="P37" s="36"/>
    </row>
    <row r="38" spans="1:16" ht="24" customHeight="1" x14ac:dyDescent="0.25">
      <c r="A38" s="49"/>
      <c r="B38" s="37" t="s">
        <v>97</v>
      </c>
      <c r="C38" s="34">
        <v>2</v>
      </c>
      <c r="D38" s="24">
        <f t="shared" si="2"/>
        <v>0</v>
      </c>
      <c r="E38" s="29"/>
      <c r="F38" s="29"/>
      <c r="G38" s="29"/>
      <c r="H38" s="29"/>
      <c r="I38" s="29"/>
      <c r="J38" s="29"/>
      <c r="K38" s="29"/>
      <c r="L38" s="29"/>
      <c r="M38" s="29"/>
      <c r="N38" s="29"/>
      <c r="O38" s="29"/>
      <c r="P38" s="36"/>
    </row>
    <row r="39" spans="1:16" ht="24" customHeight="1" x14ac:dyDescent="0.25">
      <c r="A39" s="49"/>
      <c r="B39" s="37" t="s">
        <v>98</v>
      </c>
      <c r="C39" s="34">
        <v>2</v>
      </c>
      <c r="D39" s="24">
        <f t="shared" si="2"/>
        <v>0</v>
      </c>
      <c r="E39" s="29"/>
      <c r="F39" s="29"/>
      <c r="G39" s="29"/>
      <c r="H39" s="29"/>
      <c r="I39" s="29"/>
      <c r="J39" s="29"/>
      <c r="K39" s="29"/>
      <c r="L39" s="29"/>
      <c r="M39" s="29"/>
      <c r="N39" s="29"/>
      <c r="O39" s="29"/>
      <c r="P39" s="36"/>
    </row>
    <row r="40" spans="1:16" ht="24" customHeight="1" x14ac:dyDescent="0.25">
      <c r="A40" s="49"/>
      <c r="B40" s="37" t="s">
        <v>99</v>
      </c>
      <c r="C40" s="34">
        <v>2</v>
      </c>
      <c r="D40" s="24">
        <f t="shared" si="2"/>
        <v>0</v>
      </c>
      <c r="E40" s="29"/>
      <c r="F40" s="29"/>
      <c r="G40" s="29"/>
      <c r="H40" s="29"/>
      <c r="I40" s="29"/>
      <c r="J40" s="29"/>
      <c r="K40" s="29"/>
      <c r="L40" s="29"/>
      <c r="M40" s="29"/>
      <c r="N40" s="29"/>
      <c r="O40" s="29"/>
      <c r="P40" s="36"/>
    </row>
    <row r="41" spans="1:16" ht="24" customHeight="1" x14ac:dyDescent="0.25">
      <c r="A41" s="49"/>
      <c r="B41" s="37" t="s">
        <v>100</v>
      </c>
      <c r="C41" s="34">
        <v>2</v>
      </c>
      <c r="D41" s="24">
        <f t="shared" si="2"/>
        <v>0</v>
      </c>
      <c r="E41" s="29"/>
      <c r="F41" s="29"/>
      <c r="G41" s="29"/>
      <c r="H41" s="29"/>
      <c r="I41" s="29"/>
      <c r="J41" s="29"/>
      <c r="K41" s="29"/>
      <c r="L41" s="29"/>
      <c r="M41" s="29"/>
      <c r="N41" s="29"/>
      <c r="O41" s="29"/>
      <c r="P41" s="36"/>
    </row>
    <row r="42" spans="1:16" ht="24" customHeight="1" x14ac:dyDescent="0.25">
      <c r="A42" s="49"/>
      <c r="B42" s="37" t="s">
        <v>101</v>
      </c>
      <c r="C42" s="34">
        <v>2</v>
      </c>
      <c r="D42" s="24">
        <f t="shared" si="2"/>
        <v>0</v>
      </c>
      <c r="E42" s="29"/>
      <c r="F42" s="29"/>
      <c r="G42" s="29"/>
      <c r="H42" s="29"/>
      <c r="I42" s="29"/>
      <c r="J42" s="29"/>
      <c r="K42" s="29"/>
      <c r="L42" s="29"/>
      <c r="M42" s="29"/>
      <c r="N42" s="29"/>
      <c r="O42" s="29"/>
      <c r="P42" s="36"/>
    </row>
    <row r="43" spans="1:16" ht="24" customHeight="1" x14ac:dyDescent="0.25">
      <c r="A43" s="49"/>
      <c r="B43" s="37" t="s">
        <v>102</v>
      </c>
      <c r="C43" s="34">
        <v>2</v>
      </c>
      <c r="D43" s="24">
        <f t="shared" si="2"/>
        <v>0</v>
      </c>
      <c r="E43" s="29"/>
      <c r="F43" s="29"/>
      <c r="G43" s="29"/>
      <c r="H43" s="29"/>
      <c r="I43" s="29"/>
      <c r="J43" s="29"/>
      <c r="K43" s="29"/>
      <c r="L43" s="29"/>
      <c r="M43" s="29"/>
      <c r="N43" s="29"/>
      <c r="O43" s="29"/>
      <c r="P43" s="36"/>
    </row>
    <row r="44" spans="1:16" ht="24" customHeight="1" thickBot="1" x14ac:dyDescent="0.3">
      <c r="A44" s="50"/>
      <c r="B44" s="38" t="s">
        <v>103</v>
      </c>
      <c r="C44" s="34">
        <v>2</v>
      </c>
      <c r="D44" s="24">
        <f t="shared" si="2"/>
        <v>0</v>
      </c>
      <c r="E44" s="29"/>
      <c r="F44" s="29"/>
      <c r="G44" s="29"/>
      <c r="H44" s="29"/>
      <c r="I44" s="29"/>
      <c r="J44" s="29"/>
      <c r="K44" s="29"/>
      <c r="L44" s="29"/>
      <c r="M44" s="29"/>
      <c r="N44" s="29"/>
      <c r="O44" s="29"/>
      <c r="P44" s="36"/>
    </row>
    <row r="45" spans="1:16" x14ac:dyDescent="0.25">
      <c r="C45" s="39">
        <f>SUM(C5:C12,C14:C44)</f>
        <v>266</v>
      </c>
      <c r="D45" s="39">
        <f>SUM(D5:D12,D14:D44)</f>
        <v>106</v>
      </c>
    </row>
    <row r="46" spans="1:16" x14ac:dyDescent="0.25">
      <c r="C46" s="17"/>
      <c r="D46" s="41">
        <f>D45/C45</f>
        <v>0.39849624060150374</v>
      </c>
    </row>
  </sheetData>
  <sheetProtection algorithmName="SHA-512" hashValue="zrtXn+byJK0GtvjeK2IISNiEKN2UUwUm1Ehruv0qZLHmXbm0UThm0RjmkwBbY86EfDAVCdyZJs0DwVWsl7AJDg==" saltValue="GWaiheakvTsRzwBw6jLUTA==" spinCount="100000" sheet="1" objects="1" scenarios="1" autoFilter="0"/>
  <mergeCells count="3">
    <mergeCell ref="A3:A4"/>
    <mergeCell ref="A17:A44"/>
    <mergeCell ref="A13:P13"/>
  </mergeCells>
  <conditionalFormatting sqref="C6:D6">
    <cfRule type="dataBar" priority="10">
      <dataBar>
        <cfvo type="min"/>
        <cfvo type="max"/>
        <color rgb="FF008AEF"/>
      </dataBar>
      <extLst>
        <ext xmlns:x14="http://schemas.microsoft.com/office/spreadsheetml/2009/9/main" uri="{B025F937-C7B1-47D3-B67F-A62EFF666E3E}">
          <x14:id>{ABB30C82-BF40-4E05-91E0-E1E8663845B3}</x14:id>
        </ext>
      </extLst>
    </cfRule>
  </conditionalFormatting>
  <conditionalFormatting sqref="C7:D7">
    <cfRule type="dataBar" priority="11">
      <dataBar>
        <cfvo type="min"/>
        <cfvo type="max"/>
        <color rgb="FF008AEF"/>
      </dataBar>
      <extLst>
        <ext xmlns:x14="http://schemas.microsoft.com/office/spreadsheetml/2009/9/main" uri="{B025F937-C7B1-47D3-B67F-A62EFF666E3E}">
          <x14:id>{F00543EF-C3D0-40A6-A768-A40A8365B6E8}</x14:id>
        </ext>
      </extLst>
    </cfRule>
  </conditionalFormatting>
  <conditionalFormatting sqref="C8:D8">
    <cfRule type="dataBar" priority="12">
      <dataBar>
        <cfvo type="min"/>
        <cfvo type="max"/>
        <color rgb="FF008AEF"/>
      </dataBar>
      <extLst>
        <ext xmlns:x14="http://schemas.microsoft.com/office/spreadsheetml/2009/9/main" uri="{B025F937-C7B1-47D3-B67F-A62EFF666E3E}">
          <x14:id>{FD3FE741-7E88-4A47-807C-100C49388C63}</x14:id>
        </ext>
      </extLst>
    </cfRule>
  </conditionalFormatting>
  <conditionalFormatting sqref="C9:D9">
    <cfRule type="dataBar" priority="13">
      <dataBar>
        <cfvo type="min"/>
        <cfvo type="max"/>
        <color rgb="FF008AEF"/>
      </dataBar>
      <extLst>
        <ext xmlns:x14="http://schemas.microsoft.com/office/spreadsheetml/2009/9/main" uri="{B025F937-C7B1-47D3-B67F-A62EFF666E3E}">
          <x14:id>{1B61E637-3F64-428D-8CB0-57B2FBDACE3C}</x14:id>
        </ext>
      </extLst>
    </cfRule>
  </conditionalFormatting>
  <conditionalFormatting sqref="C10:D10">
    <cfRule type="dataBar" priority="14">
      <dataBar>
        <cfvo type="min"/>
        <cfvo type="max"/>
        <color rgb="FF008AEF"/>
      </dataBar>
      <extLst>
        <ext xmlns:x14="http://schemas.microsoft.com/office/spreadsheetml/2009/9/main" uri="{B025F937-C7B1-47D3-B67F-A62EFF666E3E}">
          <x14:id>{6F080F8D-6E66-4B0A-9F0E-F3B27F1E3012}</x14:id>
        </ext>
      </extLst>
    </cfRule>
  </conditionalFormatting>
  <conditionalFormatting sqref="C11:D11">
    <cfRule type="dataBar" priority="15">
      <dataBar>
        <cfvo type="min"/>
        <cfvo type="max"/>
        <color rgb="FF008AEF"/>
      </dataBar>
      <extLst>
        <ext xmlns:x14="http://schemas.microsoft.com/office/spreadsheetml/2009/9/main" uri="{B025F937-C7B1-47D3-B67F-A62EFF666E3E}">
          <x14:id>{0334548E-4A64-49D1-8394-44C6AD47298E}</x14:id>
        </ext>
      </extLst>
    </cfRule>
  </conditionalFormatting>
  <conditionalFormatting sqref="C12:D12">
    <cfRule type="dataBar" priority="4">
      <dataBar>
        <cfvo type="min"/>
        <cfvo type="max"/>
        <color rgb="FF008AEF"/>
      </dataBar>
      <extLst>
        <ext xmlns:x14="http://schemas.microsoft.com/office/spreadsheetml/2009/9/main" uri="{B025F937-C7B1-47D3-B67F-A62EFF666E3E}">
          <x14:id>{DACA0C11-4749-46A5-A729-4A98A90FA49F}</x14:id>
        </ext>
      </extLst>
    </cfRule>
  </conditionalFormatting>
  <conditionalFormatting sqref="C14:D14">
    <cfRule type="dataBar" priority="3">
      <dataBar>
        <cfvo type="min"/>
        <cfvo type="max"/>
        <color rgb="FF008AEF"/>
      </dataBar>
      <extLst>
        <ext xmlns:x14="http://schemas.microsoft.com/office/spreadsheetml/2009/9/main" uri="{B025F937-C7B1-47D3-B67F-A62EFF666E3E}">
          <x14:id>{D384A2A9-C5C6-463D-93C3-7E54E7780C92}</x14:id>
        </ext>
      </extLst>
    </cfRule>
  </conditionalFormatting>
  <conditionalFormatting sqref="C15:D15">
    <cfRule type="dataBar" priority="2">
      <dataBar>
        <cfvo type="min"/>
        <cfvo type="max"/>
        <color rgb="FF008AEF"/>
      </dataBar>
      <extLst>
        <ext xmlns:x14="http://schemas.microsoft.com/office/spreadsheetml/2009/9/main" uri="{B025F937-C7B1-47D3-B67F-A62EFF666E3E}">
          <x14:id>{432084A9-EA58-46BD-8E00-CB977FA7B5A4}</x14:id>
        </ext>
      </extLst>
    </cfRule>
  </conditionalFormatting>
  <conditionalFormatting sqref="C16:D16">
    <cfRule type="dataBar" priority="1">
      <dataBar>
        <cfvo type="min"/>
        <cfvo type="max"/>
        <color rgb="FF008AEF"/>
      </dataBar>
      <extLst>
        <ext xmlns:x14="http://schemas.microsoft.com/office/spreadsheetml/2009/9/main" uri="{B025F937-C7B1-47D3-B67F-A62EFF666E3E}">
          <x14:id>{AEFADBD4-7FFC-4C5C-B175-A06F5C152186}</x14:id>
        </ext>
      </extLst>
    </cfRule>
  </conditionalFormatting>
  <conditionalFormatting sqref="C17:D17">
    <cfRule type="dataBar" priority="17">
      <dataBar>
        <cfvo type="min"/>
        <cfvo type="max"/>
        <color rgb="FF008AEF"/>
      </dataBar>
      <extLst>
        <ext xmlns:x14="http://schemas.microsoft.com/office/spreadsheetml/2009/9/main" uri="{B025F937-C7B1-47D3-B67F-A62EFF666E3E}">
          <x14:id>{CB10AF20-4FC9-46A0-964D-D17F435AACC3}</x14:id>
        </ext>
      </extLst>
    </cfRule>
  </conditionalFormatting>
  <conditionalFormatting sqref="C18:D18">
    <cfRule type="dataBar" priority="44">
      <dataBar>
        <cfvo type="min"/>
        <cfvo type="max"/>
        <color rgb="FF008AEF"/>
      </dataBar>
      <extLst>
        <ext xmlns:x14="http://schemas.microsoft.com/office/spreadsheetml/2009/9/main" uri="{B025F937-C7B1-47D3-B67F-A62EFF666E3E}">
          <x14:id>{ED721C08-5359-4ABE-B69C-DC578DEB0E8A}</x14:id>
        </ext>
      </extLst>
    </cfRule>
  </conditionalFormatting>
  <conditionalFormatting sqref="C19:D19">
    <cfRule type="dataBar" priority="43">
      <dataBar>
        <cfvo type="min"/>
        <cfvo type="max"/>
        <color rgb="FF008AEF"/>
      </dataBar>
      <extLst>
        <ext xmlns:x14="http://schemas.microsoft.com/office/spreadsheetml/2009/9/main" uri="{B025F937-C7B1-47D3-B67F-A62EFF666E3E}">
          <x14:id>{1D269846-0959-43AF-B812-6971733EBA4E}</x14:id>
        </ext>
      </extLst>
    </cfRule>
  </conditionalFormatting>
  <conditionalFormatting sqref="C20:D20">
    <cfRule type="dataBar" priority="42">
      <dataBar>
        <cfvo type="min"/>
        <cfvo type="max"/>
        <color rgb="FF008AEF"/>
      </dataBar>
      <extLst>
        <ext xmlns:x14="http://schemas.microsoft.com/office/spreadsheetml/2009/9/main" uri="{B025F937-C7B1-47D3-B67F-A62EFF666E3E}">
          <x14:id>{81C6AC24-2C10-40F3-B627-903DE3511435}</x14:id>
        </ext>
      </extLst>
    </cfRule>
  </conditionalFormatting>
  <conditionalFormatting sqref="C21:D21">
    <cfRule type="dataBar" priority="41">
      <dataBar>
        <cfvo type="min"/>
        <cfvo type="max"/>
        <color rgb="FF008AEF"/>
      </dataBar>
      <extLst>
        <ext xmlns:x14="http://schemas.microsoft.com/office/spreadsheetml/2009/9/main" uri="{B025F937-C7B1-47D3-B67F-A62EFF666E3E}">
          <x14:id>{6C5ECA19-5BA1-477A-BEB0-48ECFDBE7DC1}</x14:id>
        </ext>
      </extLst>
    </cfRule>
  </conditionalFormatting>
  <conditionalFormatting sqref="C22:D22">
    <cfRule type="dataBar" priority="40">
      <dataBar>
        <cfvo type="min"/>
        <cfvo type="max"/>
        <color rgb="FF008AEF"/>
      </dataBar>
      <extLst>
        <ext xmlns:x14="http://schemas.microsoft.com/office/spreadsheetml/2009/9/main" uri="{B025F937-C7B1-47D3-B67F-A62EFF666E3E}">
          <x14:id>{EA9C7B01-9DB5-4495-B2AD-29592C364194}</x14:id>
        </ext>
      </extLst>
    </cfRule>
  </conditionalFormatting>
  <conditionalFormatting sqref="C23:D23">
    <cfRule type="dataBar" priority="39">
      <dataBar>
        <cfvo type="min"/>
        <cfvo type="max"/>
        <color rgb="FF008AEF"/>
      </dataBar>
      <extLst>
        <ext xmlns:x14="http://schemas.microsoft.com/office/spreadsheetml/2009/9/main" uri="{B025F937-C7B1-47D3-B67F-A62EFF666E3E}">
          <x14:id>{7E504D05-FA1F-4807-968C-494641C123F1}</x14:id>
        </ext>
      </extLst>
    </cfRule>
  </conditionalFormatting>
  <conditionalFormatting sqref="C24:D24">
    <cfRule type="dataBar" priority="38">
      <dataBar>
        <cfvo type="min"/>
        <cfvo type="max"/>
        <color rgb="FF008AEF"/>
      </dataBar>
      <extLst>
        <ext xmlns:x14="http://schemas.microsoft.com/office/spreadsheetml/2009/9/main" uri="{B025F937-C7B1-47D3-B67F-A62EFF666E3E}">
          <x14:id>{8831DF7D-5861-4D63-9A43-E1C7FFBA8EFD}</x14:id>
        </ext>
      </extLst>
    </cfRule>
  </conditionalFormatting>
  <conditionalFormatting sqref="C25:D25">
    <cfRule type="dataBar" priority="37">
      <dataBar>
        <cfvo type="min"/>
        <cfvo type="max"/>
        <color rgb="FF008AEF"/>
      </dataBar>
      <extLst>
        <ext xmlns:x14="http://schemas.microsoft.com/office/spreadsheetml/2009/9/main" uri="{B025F937-C7B1-47D3-B67F-A62EFF666E3E}">
          <x14:id>{1C009CD7-5905-4C6A-840A-F5E9444A97FC}</x14:id>
        </ext>
      </extLst>
    </cfRule>
  </conditionalFormatting>
  <conditionalFormatting sqref="C26:D26">
    <cfRule type="dataBar" priority="36">
      <dataBar>
        <cfvo type="min"/>
        <cfvo type="max"/>
        <color rgb="FF008AEF"/>
      </dataBar>
      <extLst>
        <ext xmlns:x14="http://schemas.microsoft.com/office/spreadsheetml/2009/9/main" uri="{B025F937-C7B1-47D3-B67F-A62EFF666E3E}">
          <x14:id>{3C65A2A5-7EAD-41B6-945D-EEC75463DB7F}</x14:id>
        </ext>
      </extLst>
    </cfRule>
  </conditionalFormatting>
  <conditionalFormatting sqref="C27:D27">
    <cfRule type="dataBar" priority="35">
      <dataBar>
        <cfvo type="min"/>
        <cfvo type="max"/>
        <color rgb="FF008AEF"/>
      </dataBar>
      <extLst>
        <ext xmlns:x14="http://schemas.microsoft.com/office/spreadsheetml/2009/9/main" uri="{B025F937-C7B1-47D3-B67F-A62EFF666E3E}">
          <x14:id>{050C7471-04BD-4E7B-9511-E93D70A3F376}</x14:id>
        </ext>
      </extLst>
    </cfRule>
  </conditionalFormatting>
  <conditionalFormatting sqref="C28:D28">
    <cfRule type="dataBar" priority="34">
      <dataBar>
        <cfvo type="min"/>
        <cfvo type="max"/>
        <color rgb="FF008AEF"/>
      </dataBar>
      <extLst>
        <ext xmlns:x14="http://schemas.microsoft.com/office/spreadsheetml/2009/9/main" uri="{B025F937-C7B1-47D3-B67F-A62EFF666E3E}">
          <x14:id>{EC2BC29E-82B7-4992-904D-CE7D26E24D97}</x14:id>
        </ext>
      </extLst>
    </cfRule>
  </conditionalFormatting>
  <conditionalFormatting sqref="C29:D29">
    <cfRule type="dataBar" priority="33">
      <dataBar>
        <cfvo type="min"/>
        <cfvo type="max"/>
        <color rgb="FF008AEF"/>
      </dataBar>
      <extLst>
        <ext xmlns:x14="http://schemas.microsoft.com/office/spreadsheetml/2009/9/main" uri="{B025F937-C7B1-47D3-B67F-A62EFF666E3E}">
          <x14:id>{205411F9-96EF-4E3A-9408-09A1F7380932}</x14:id>
        </ext>
      </extLst>
    </cfRule>
  </conditionalFormatting>
  <conditionalFormatting sqref="C30:D30">
    <cfRule type="dataBar" priority="32">
      <dataBar>
        <cfvo type="min"/>
        <cfvo type="max"/>
        <color rgb="FF008AEF"/>
      </dataBar>
      <extLst>
        <ext xmlns:x14="http://schemas.microsoft.com/office/spreadsheetml/2009/9/main" uri="{B025F937-C7B1-47D3-B67F-A62EFF666E3E}">
          <x14:id>{B7E7E009-5D5C-4A7F-8E53-EB947964654D}</x14:id>
        </ext>
      </extLst>
    </cfRule>
  </conditionalFormatting>
  <conditionalFormatting sqref="C31:D31">
    <cfRule type="dataBar" priority="31">
      <dataBar>
        <cfvo type="min"/>
        <cfvo type="max"/>
        <color rgb="FF008AEF"/>
      </dataBar>
      <extLst>
        <ext xmlns:x14="http://schemas.microsoft.com/office/spreadsheetml/2009/9/main" uri="{B025F937-C7B1-47D3-B67F-A62EFF666E3E}">
          <x14:id>{8BD0C29E-29D4-4E82-B132-E58590510162}</x14:id>
        </ext>
      </extLst>
    </cfRule>
  </conditionalFormatting>
  <conditionalFormatting sqref="C32:D32">
    <cfRule type="dataBar" priority="30">
      <dataBar>
        <cfvo type="min"/>
        <cfvo type="max"/>
        <color rgb="FF008AEF"/>
      </dataBar>
      <extLst>
        <ext xmlns:x14="http://schemas.microsoft.com/office/spreadsheetml/2009/9/main" uri="{B025F937-C7B1-47D3-B67F-A62EFF666E3E}">
          <x14:id>{8BF22E63-1265-459A-8F9D-B053E4EC1934}</x14:id>
        </ext>
      </extLst>
    </cfRule>
  </conditionalFormatting>
  <conditionalFormatting sqref="C33:D33">
    <cfRule type="dataBar" priority="29">
      <dataBar>
        <cfvo type="min"/>
        <cfvo type="max"/>
        <color rgb="FF008AEF"/>
      </dataBar>
      <extLst>
        <ext xmlns:x14="http://schemas.microsoft.com/office/spreadsheetml/2009/9/main" uri="{B025F937-C7B1-47D3-B67F-A62EFF666E3E}">
          <x14:id>{586ADC08-C3A0-4E8F-A4C8-5C10A5133371}</x14:id>
        </ext>
      </extLst>
    </cfRule>
  </conditionalFormatting>
  <conditionalFormatting sqref="C34:D34">
    <cfRule type="dataBar" priority="28">
      <dataBar>
        <cfvo type="min"/>
        <cfvo type="max"/>
        <color rgb="FF008AEF"/>
      </dataBar>
      <extLst>
        <ext xmlns:x14="http://schemas.microsoft.com/office/spreadsheetml/2009/9/main" uri="{B025F937-C7B1-47D3-B67F-A62EFF666E3E}">
          <x14:id>{4BEA2D00-506A-48FD-BEE1-E7D99F6B58A5}</x14:id>
        </ext>
      </extLst>
    </cfRule>
  </conditionalFormatting>
  <conditionalFormatting sqref="C35:D35">
    <cfRule type="dataBar" priority="27">
      <dataBar>
        <cfvo type="min"/>
        <cfvo type="max"/>
        <color rgb="FF008AEF"/>
      </dataBar>
      <extLst>
        <ext xmlns:x14="http://schemas.microsoft.com/office/spreadsheetml/2009/9/main" uri="{B025F937-C7B1-47D3-B67F-A62EFF666E3E}">
          <x14:id>{3F387665-2244-44D6-B6DA-1AE78C75A705}</x14:id>
        </ext>
      </extLst>
    </cfRule>
  </conditionalFormatting>
  <conditionalFormatting sqref="C36:D36">
    <cfRule type="dataBar" priority="26">
      <dataBar>
        <cfvo type="min"/>
        <cfvo type="max"/>
        <color rgb="FF008AEF"/>
      </dataBar>
      <extLst>
        <ext xmlns:x14="http://schemas.microsoft.com/office/spreadsheetml/2009/9/main" uri="{B025F937-C7B1-47D3-B67F-A62EFF666E3E}">
          <x14:id>{DB9748DE-1344-4E09-A5B3-311439BDB1DA}</x14:id>
        </ext>
      </extLst>
    </cfRule>
  </conditionalFormatting>
  <conditionalFormatting sqref="C37:D37">
    <cfRule type="dataBar" priority="25">
      <dataBar>
        <cfvo type="min"/>
        <cfvo type="max"/>
        <color rgb="FF008AEF"/>
      </dataBar>
      <extLst>
        <ext xmlns:x14="http://schemas.microsoft.com/office/spreadsheetml/2009/9/main" uri="{B025F937-C7B1-47D3-B67F-A62EFF666E3E}">
          <x14:id>{5F42B401-13A7-4A4F-A968-A87351C933C0}</x14:id>
        </ext>
      </extLst>
    </cfRule>
  </conditionalFormatting>
  <conditionalFormatting sqref="C38:D38">
    <cfRule type="dataBar" priority="24">
      <dataBar>
        <cfvo type="min"/>
        <cfvo type="max"/>
        <color rgb="FF008AEF"/>
      </dataBar>
      <extLst>
        <ext xmlns:x14="http://schemas.microsoft.com/office/spreadsheetml/2009/9/main" uri="{B025F937-C7B1-47D3-B67F-A62EFF666E3E}">
          <x14:id>{0A0FE744-BE9D-4DDB-B541-9B9819FC7834}</x14:id>
        </ext>
      </extLst>
    </cfRule>
  </conditionalFormatting>
  <conditionalFormatting sqref="C39:D39">
    <cfRule type="dataBar" priority="23">
      <dataBar>
        <cfvo type="min"/>
        <cfvo type="max"/>
        <color rgb="FF008AEF"/>
      </dataBar>
      <extLst>
        <ext xmlns:x14="http://schemas.microsoft.com/office/spreadsheetml/2009/9/main" uri="{B025F937-C7B1-47D3-B67F-A62EFF666E3E}">
          <x14:id>{316FBB5C-71F9-4683-B236-D1747220325C}</x14:id>
        </ext>
      </extLst>
    </cfRule>
  </conditionalFormatting>
  <conditionalFormatting sqref="C40:D40">
    <cfRule type="dataBar" priority="22">
      <dataBar>
        <cfvo type="min"/>
        <cfvo type="max"/>
        <color rgb="FF008AEF"/>
      </dataBar>
      <extLst>
        <ext xmlns:x14="http://schemas.microsoft.com/office/spreadsheetml/2009/9/main" uri="{B025F937-C7B1-47D3-B67F-A62EFF666E3E}">
          <x14:id>{6D61C8F8-F56A-4903-8548-00ECD543B2E4}</x14:id>
        </ext>
      </extLst>
    </cfRule>
  </conditionalFormatting>
  <conditionalFormatting sqref="C41:D41">
    <cfRule type="dataBar" priority="21">
      <dataBar>
        <cfvo type="min"/>
        <cfvo type="max"/>
        <color rgb="FF008AEF"/>
      </dataBar>
      <extLst>
        <ext xmlns:x14="http://schemas.microsoft.com/office/spreadsheetml/2009/9/main" uri="{B025F937-C7B1-47D3-B67F-A62EFF666E3E}">
          <x14:id>{0EBD399E-7A72-452A-B995-291CEEC9ADB6}</x14:id>
        </ext>
      </extLst>
    </cfRule>
  </conditionalFormatting>
  <conditionalFormatting sqref="C42:D42">
    <cfRule type="dataBar" priority="20">
      <dataBar>
        <cfvo type="min"/>
        <cfvo type="max"/>
        <color rgb="FF008AEF"/>
      </dataBar>
      <extLst>
        <ext xmlns:x14="http://schemas.microsoft.com/office/spreadsheetml/2009/9/main" uri="{B025F937-C7B1-47D3-B67F-A62EFF666E3E}">
          <x14:id>{1060EE65-5009-48C9-8498-9958F596AAE6}</x14:id>
        </ext>
      </extLst>
    </cfRule>
  </conditionalFormatting>
  <conditionalFormatting sqref="C43:D43">
    <cfRule type="dataBar" priority="19">
      <dataBar>
        <cfvo type="min"/>
        <cfvo type="max"/>
        <color rgb="FF008AEF"/>
      </dataBar>
      <extLst>
        <ext xmlns:x14="http://schemas.microsoft.com/office/spreadsheetml/2009/9/main" uri="{B025F937-C7B1-47D3-B67F-A62EFF666E3E}">
          <x14:id>{B91FE259-B0EE-4696-A454-7DFBC0552769}</x14:id>
        </ext>
      </extLst>
    </cfRule>
  </conditionalFormatting>
  <conditionalFormatting sqref="C44:D44">
    <cfRule type="dataBar" priority="18">
      <dataBar>
        <cfvo type="min"/>
        <cfvo type="max"/>
        <color rgb="FF008AEF"/>
      </dataBar>
      <extLst>
        <ext xmlns:x14="http://schemas.microsoft.com/office/spreadsheetml/2009/9/main" uri="{B025F937-C7B1-47D3-B67F-A62EFF666E3E}">
          <x14:id>{153C6E75-617E-4C41-ACC6-F48B66C393C2}</x14:id>
        </ext>
      </extLst>
    </cfRule>
  </conditionalFormatting>
  <conditionalFormatting sqref="E5:P12 E14:F40 E41:O44">
    <cfRule type="cellIs" dxfId="4" priority="7" operator="greaterThan">
      <formula>0</formula>
    </cfRule>
  </conditionalFormatting>
  <conditionalFormatting sqref="G17:O40">
    <cfRule type="cellIs" dxfId="3" priority="16" operator="greaterThan">
      <formula>0</formula>
    </cfRule>
  </conditionalFormatting>
  <conditionalFormatting sqref="G14:P16">
    <cfRule type="cellIs" dxfId="2" priority="8"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ABB30C82-BF40-4E05-91E0-E1E8663845B3}">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F00543EF-C3D0-40A6-A768-A40A8365B6E8}">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FD3FE741-7E88-4A47-807C-100C49388C63}">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1B61E637-3F64-428D-8CB0-57B2FBDACE3C}">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6F080F8D-6E66-4B0A-9F0E-F3B27F1E3012}">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0334548E-4A64-49D1-8394-44C6AD47298E}">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DACA0C11-4749-46A5-A729-4A98A90FA49F}">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D384A2A9-C5C6-463D-93C3-7E54E7780C92}">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432084A9-EA58-46BD-8E00-CB977FA7B5A4}">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AEFADBD4-7FFC-4C5C-B175-A06F5C152186}">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CB10AF20-4FC9-46A0-964D-D17F435AACC3}">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ED721C08-5359-4ABE-B69C-DC578DEB0E8A}">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1D269846-0959-43AF-B812-6971733EBA4E}">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81C6AC24-2C10-40F3-B627-903DE3511435}">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6C5ECA19-5BA1-477A-BEB0-48ECFDBE7DC1}">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EA9C7B01-9DB5-4495-B2AD-29592C364194}">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7E504D05-FA1F-4807-968C-494641C123F1}">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8831DF7D-5861-4D63-9A43-E1C7FFBA8EFD}">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1C009CD7-5905-4C6A-840A-F5E9444A97FC}">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3C65A2A5-7EAD-41B6-945D-EEC75463DB7F}">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050C7471-04BD-4E7B-9511-E93D70A3F376}">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EC2BC29E-82B7-4992-904D-CE7D26E24D97}">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205411F9-96EF-4E3A-9408-09A1F7380932}">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B7E7E009-5D5C-4A7F-8E53-EB947964654D}">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8BD0C29E-29D4-4E82-B132-E58590510162}">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8BF22E63-1265-459A-8F9D-B053E4EC1934}">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586ADC08-C3A0-4E8F-A4C8-5C10A5133371}">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4BEA2D00-506A-48FD-BEE1-E7D99F6B58A5}">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3F387665-2244-44D6-B6DA-1AE78C75A705}">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DB9748DE-1344-4E09-A5B3-311439BDB1DA}">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5F42B401-13A7-4A4F-A968-A87351C933C0}">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0A0FE744-BE9D-4DDB-B541-9B9819FC7834}">
            <x14:dataBar minLength="0" maxLength="100" gradient="0">
              <x14:cfvo type="autoMin"/>
              <x14:cfvo type="autoMax"/>
              <x14:negativeFillColor rgb="FFFF0000"/>
              <x14:axisColor rgb="FF000000"/>
            </x14:dataBar>
          </x14:cfRule>
          <xm:sqref>C38:D38</xm:sqref>
        </x14:conditionalFormatting>
        <x14:conditionalFormatting xmlns:xm="http://schemas.microsoft.com/office/excel/2006/main">
          <x14:cfRule type="dataBar" id="{316FBB5C-71F9-4683-B236-D1747220325C}">
            <x14:dataBar minLength="0" maxLength="100" gradient="0">
              <x14:cfvo type="autoMin"/>
              <x14:cfvo type="autoMax"/>
              <x14:negativeFillColor rgb="FFFF0000"/>
              <x14:axisColor rgb="FF000000"/>
            </x14:dataBar>
          </x14:cfRule>
          <xm:sqref>C39:D39</xm:sqref>
        </x14:conditionalFormatting>
        <x14:conditionalFormatting xmlns:xm="http://schemas.microsoft.com/office/excel/2006/main">
          <x14:cfRule type="dataBar" id="{6D61C8F8-F56A-4903-8548-00ECD543B2E4}">
            <x14:dataBar minLength="0" maxLength="100" gradient="0">
              <x14:cfvo type="autoMin"/>
              <x14:cfvo type="autoMax"/>
              <x14:negativeFillColor rgb="FFFF0000"/>
              <x14:axisColor rgb="FF000000"/>
            </x14:dataBar>
          </x14:cfRule>
          <xm:sqref>C40:D40</xm:sqref>
        </x14:conditionalFormatting>
        <x14:conditionalFormatting xmlns:xm="http://schemas.microsoft.com/office/excel/2006/main">
          <x14:cfRule type="dataBar" id="{0EBD399E-7A72-452A-B995-291CEEC9ADB6}">
            <x14:dataBar minLength="0" maxLength="100" gradient="0">
              <x14:cfvo type="autoMin"/>
              <x14:cfvo type="autoMax"/>
              <x14:negativeFillColor rgb="FFFF0000"/>
              <x14:axisColor rgb="FF000000"/>
            </x14:dataBar>
          </x14:cfRule>
          <xm:sqref>C41:D41</xm:sqref>
        </x14:conditionalFormatting>
        <x14:conditionalFormatting xmlns:xm="http://schemas.microsoft.com/office/excel/2006/main">
          <x14:cfRule type="dataBar" id="{1060EE65-5009-48C9-8498-9958F596AAE6}">
            <x14:dataBar minLength="0" maxLength="100" gradient="0">
              <x14:cfvo type="autoMin"/>
              <x14:cfvo type="autoMax"/>
              <x14:negativeFillColor rgb="FFFF0000"/>
              <x14:axisColor rgb="FF000000"/>
            </x14:dataBar>
          </x14:cfRule>
          <xm:sqref>C42:D42</xm:sqref>
        </x14:conditionalFormatting>
        <x14:conditionalFormatting xmlns:xm="http://schemas.microsoft.com/office/excel/2006/main">
          <x14:cfRule type="dataBar" id="{B91FE259-B0EE-4696-A454-7DFBC0552769}">
            <x14:dataBar minLength="0" maxLength="100" gradient="0">
              <x14:cfvo type="autoMin"/>
              <x14:cfvo type="autoMax"/>
              <x14:negativeFillColor rgb="FFFF0000"/>
              <x14:axisColor rgb="FF000000"/>
            </x14:dataBar>
          </x14:cfRule>
          <xm:sqref>C43:D43</xm:sqref>
        </x14:conditionalFormatting>
        <x14:conditionalFormatting xmlns:xm="http://schemas.microsoft.com/office/excel/2006/main">
          <x14:cfRule type="dataBar" id="{153C6E75-617E-4C41-ACC6-F48B66C393C2}">
            <x14:dataBar minLength="0" maxLength="100" gradient="0">
              <x14:cfvo type="autoMin"/>
              <x14:cfvo type="autoMax"/>
              <x14:negativeFillColor rgb="FFFF0000"/>
              <x14:axisColor rgb="FF000000"/>
            </x14:dataBar>
          </x14:cfRule>
          <xm:sqref>C44:D44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E10"/>
  <sheetViews>
    <sheetView tabSelected="1" workbookViewId="0">
      <selection activeCell="H9" sqref="H9"/>
    </sheetView>
  </sheetViews>
  <sheetFormatPr baseColWidth="10" defaultRowHeight="15" x14ac:dyDescent="0.25"/>
  <cols>
    <col min="1" max="1" width="11.28515625" customWidth="1"/>
    <col min="2" max="2" width="24" customWidth="1"/>
    <col min="3" max="3" width="11.85546875" bestFit="1" customWidth="1"/>
  </cols>
  <sheetData>
    <row r="1" spans="1:5" x14ac:dyDescent="0.25">
      <c r="A1" s="53" t="s">
        <v>56</v>
      </c>
      <c r="B1" s="53"/>
      <c r="C1" s="19" t="s">
        <v>2</v>
      </c>
      <c r="D1" s="19" t="s">
        <v>73</v>
      </c>
      <c r="E1" s="19" t="s">
        <v>104</v>
      </c>
    </row>
    <row r="2" spans="1:5" x14ac:dyDescent="0.25">
      <c r="A2" s="22" t="s">
        <v>57</v>
      </c>
      <c r="B2" s="23" t="s">
        <v>65</v>
      </c>
      <c r="C2" s="25">
        <f>'D71 Puntarenas'!C34</f>
        <v>512</v>
      </c>
      <c r="D2" s="25">
        <f>'D71 Puntarenas'!D34</f>
        <v>202</v>
      </c>
      <c r="E2" s="45">
        <f>D2/C2</f>
        <v>0.39453125</v>
      </c>
    </row>
    <row r="3" spans="1:5" x14ac:dyDescent="0.25">
      <c r="A3" s="22" t="s">
        <v>58</v>
      </c>
      <c r="B3" s="23" t="s">
        <v>66</v>
      </c>
      <c r="C3" s="20">
        <f>'D72 Esparza'!C41</f>
        <v>301</v>
      </c>
      <c r="D3" s="20">
        <f>'D72 Esparza'!D41</f>
        <v>115</v>
      </c>
      <c r="E3" s="45">
        <f t="shared" ref="E3:E9" si="0">D3/C3</f>
        <v>0.38205980066445183</v>
      </c>
    </row>
    <row r="4" spans="1:5" x14ac:dyDescent="0.25">
      <c r="A4" s="22" t="s">
        <v>59</v>
      </c>
      <c r="B4" s="23" t="s">
        <v>67</v>
      </c>
      <c r="C4" s="25">
        <f>'D73 Montes de Oro'!C35</f>
        <v>188</v>
      </c>
      <c r="D4" s="25">
        <f>'D73 Montes de Oro'!D35</f>
        <v>89</v>
      </c>
      <c r="E4" s="45">
        <f t="shared" si="0"/>
        <v>0.47340425531914893</v>
      </c>
    </row>
    <row r="5" spans="1:5" x14ac:dyDescent="0.25">
      <c r="A5" s="22" t="s">
        <v>60</v>
      </c>
      <c r="B5" s="23" t="s">
        <v>68</v>
      </c>
      <c r="C5" s="25">
        <f>'D74 Quepos'!C40</f>
        <v>207</v>
      </c>
      <c r="D5" s="25">
        <f>'D74 Quepos'!D40</f>
        <v>67</v>
      </c>
      <c r="E5" s="45">
        <f t="shared" si="0"/>
        <v>0.32367149758454106</v>
      </c>
    </row>
    <row r="6" spans="1:5" x14ac:dyDescent="0.25">
      <c r="A6" s="22" t="s">
        <v>61</v>
      </c>
      <c r="B6" s="23" t="s">
        <v>69</v>
      </c>
      <c r="C6" s="25">
        <f>'D75 Parrita'!C37</f>
        <v>372</v>
      </c>
      <c r="D6" s="25">
        <f>'D75 Parrita'!D37</f>
        <v>162</v>
      </c>
      <c r="E6" s="45">
        <f t="shared" si="0"/>
        <v>0.43548387096774194</v>
      </c>
    </row>
    <row r="7" spans="1:5" x14ac:dyDescent="0.25">
      <c r="A7" s="22" t="s">
        <v>62</v>
      </c>
      <c r="B7" s="23" t="s">
        <v>70</v>
      </c>
      <c r="C7" s="25">
        <f>'D76 Garabito'!C39</f>
        <v>321</v>
      </c>
      <c r="D7" s="25">
        <f>'D76 Garabito'!D39</f>
        <v>150</v>
      </c>
      <c r="E7" s="45">
        <f t="shared" si="0"/>
        <v>0.46728971962616822</v>
      </c>
    </row>
    <row r="8" spans="1:5" x14ac:dyDescent="0.25">
      <c r="A8" s="22" t="s">
        <v>63</v>
      </c>
      <c r="B8" s="23" t="s">
        <v>71</v>
      </c>
      <c r="C8" s="25">
        <f>'D77 Paquera'!C39</f>
        <v>247</v>
      </c>
      <c r="D8" s="25">
        <f>'D77 Paquera'!D39</f>
        <v>94</v>
      </c>
      <c r="E8" s="45">
        <f t="shared" si="0"/>
        <v>0.38056680161943318</v>
      </c>
    </row>
    <row r="9" spans="1:5" x14ac:dyDescent="0.25">
      <c r="A9" s="22" t="s">
        <v>64</v>
      </c>
      <c r="B9" s="23" t="s">
        <v>72</v>
      </c>
      <c r="C9" s="25">
        <f>'D78 Judas de Chomes'!C45</f>
        <v>266</v>
      </c>
      <c r="D9" s="25">
        <f>'D78 Judas de Chomes'!D45</f>
        <v>106</v>
      </c>
      <c r="E9" s="45">
        <f t="shared" si="0"/>
        <v>0.39849624060150374</v>
      </c>
    </row>
    <row r="10" spans="1:5" x14ac:dyDescent="0.25">
      <c r="B10" s="18" t="s">
        <v>74</v>
      </c>
      <c r="C10" s="21">
        <f>SUM(C2:C9)</f>
        <v>2414</v>
      </c>
      <c r="D10" s="21">
        <f>SUM(D2:D9)</f>
        <v>985</v>
      </c>
      <c r="E10" s="45">
        <f>D10/C10</f>
        <v>0.40803645401822702</v>
      </c>
    </row>
  </sheetData>
  <sheetProtection autoFilter="0"/>
  <mergeCells count="1">
    <mergeCell ref="A1:B1"/>
  </mergeCells>
  <phoneticPr fontId="12" type="noConversion"/>
  <conditionalFormatting sqref="C2:D2">
    <cfRule type="dataBar" priority="13">
      <dataBar>
        <cfvo type="min"/>
        <cfvo type="max"/>
        <color rgb="FF008AEF"/>
      </dataBar>
      <extLst>
        <ext xmlns:x14="http://schemas.microsoft.com/office/spreadsheetml/2009/9/main" uri="{B025F937-C7B1-47D3-B67F-A62EFF666E3E}">
          <x14:id>{D5728F13-27DC-4A71-B7A5-73F0C931D344}</x14:id>
        </ext>
      </extLst>
    </cfRule>
  </conditionalFormatting>
  <conditionalFormatting sqref="C3:D3">
    <cfRule type="dataBar" priority="12">
      <dataBar>
        <cfvo type="min"/>
        <cfvo type="max"/>
        <color rgb="FF008AEF"/>
      </dataBar>
      <extLst>
        <ext xmlns:x14="http://schemas.microsoft.com/office/spreadsheetml/2009/9/main" uri="{B025F937-C7B1-47D3-B67F-A62EFF666E3E}">
          <x14:id>{052FFEF3-2708-4202-826D-40083030614E}</x14:id>
        </ext>
      </extLst>
    </cfRule>
  </conditionalFormatting>
  <conditionalFormatting sqref="C4:D4">
    <cfRule type="dataBar" priority="11">
      <dataBar>
        <cfvo type="min"/>
        <cfvo type="max"/>
        <color rgb="FF008AEF"/>
      </dataBar>
      <extLst>
        <ext xmlns:x14="http://schemas.microsoft.com/office/spreadsheetml/2009/9/main" uri="{B025F937-C7B1-47D3-B67F-A62EFF666E3E}">
          <x14:id>{D5D41DF8-FF05-441B-A60A-55C677E3505A}</x14:id>
        </ext>
      </extLst>
    </cfRule>
  </conditionalFormatting>
  <conditionalFormatting sqref="C5:D5">
    <cfRule type="dataBar" priority="10">
      <dataBar>
        <cfvo type="min"/>
        <cfvo type="max"/>
        <color rgb="FF008AEF"/>
      </dataBar>
      <extLst>
        <ext xmlns:x14="http://schemas.microsoft.com/office/spreadsheetml/2009/9/main" uri="{B025F937-C7B1-47D3-B67F-A62EFF666E3E}">
          <x14:id>{67478949-9E59-4099-8A7C-0EAACE440437}</x14:id>
        </ext>
      </extLst>
    </cfRule>
  </conditionalFormatting>
  <conditionalFormatting sqref="C6:D6">
    <cfRule type="dataBar" priority="9">
      <dataBar>
        <cfvo type="min"/>
        <cfvo type="max"/>
        <color rgb="FF008AEF"/>
      </dataBar>
      <extLst>
        <ext xmlns:x14="http://schemas.microsoft.com/office/spreadsheetml/2009/9/main" uri="{B025F937-C7B1-47D3-B67F-A62EFF666E3E}">
          <x14:id>{108EC72C-6A26-4F55-A63E-9B59C7AC1862}</x14:id>
        </ext>
      </extLst>
    </cfRule>
  </conditionalFormatting>
  <conditionalFormatting sqref="C7:D7">
    <cfRule type="dataBar" priority="8">
      <dataBar>
        <cfvo type="min"/>
        <cfvo type="max"/>
        <color rgb="FF008AEF"/>
      </dataBar>
      <extLst>
        <ext xmlns:x14="http://schemas.microsoft.com/office/spreadsheetml/2009/9/main" uri="{B025F937-C7B1-47D3-B67F-A62EFF666E3E}">
          <x14:id>{1136A3F0-09ED-481E-B738-79AD1E188724}</x14:id>
        </ext>
      </extLst>
    </cfRule>
  </conditionalFormatting>
  <conditionalFormatting sqref="C8:D8">
    <cfRule type="dataBar" priority="7">
      <dataBar>
        <cfvo type="min"/>
        <cfvo type="max"/>
        <color rgb="FF008AEF"/>
      </dataBar>
      <extLst>
        <ext xmlns:x14="http://schemas.microsoft.com/office/spreadsheetml/2009/9/main" uri="{B025F937-C7B1-47D3-B67F-A62EFF666E3E}">
          <x14:id>{9D04E29F-B348-4066-AE91-DF0AD14D56AA}</x14:id>
        </ext>
      </extLst>
    </cfRule>
  </conditionalFormatting>
  <conditionalFormatting sqref="C9:D9">
    <cfRule type="dataBar" priority="6">
      <dataBar>
        <cfvo type="min"/>
        <cfvo type="max"/>
        <color rgb="FF008AEF"/>
      </dataBar>
      <extLst>
        <ext xmlns:x14="http://schemas.microsoft.com/office/spreadsheetml/2009/9/main" uri="{B025F937-C7B1-47D3-B67F-A62EFF666E3E}">
          <x14:id>{8C61C8D7-F21B-4363-B832-C6D7F5723179}</x14:id>
        </ext>
      </extLst>
    </cfRule>
  </conditionalFormatting>
  <conditionalFormatting sqref="E2:E10">
    <cfRule type="cellIs" dxfId="1" priority="1" operator="greaterThan">
      <formula>0.2499</formula>
    </cfRule>
    <cfRule type="cellIs" dxfId="0" priority="2" operator="lessThan">
      <formula>0.24999999</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5728F13-27DC-4A71-B7A5-73F0C931D344}">
            <x14:dataBar minLength="0" maxLength="100" gradient="0">
              <x14:cfvo type="autoMin"/>
              <x14:cfvo type="autoMax"/>
              <x14:negativeFillColor rgb="FFFF0000"/>
              <x14:axisColor rgb="FF000000"/>
            </x14:dataBar>
          </x14:cfRule>
          <xm:sqref>C2:D2</xm:sqref>
        </x14:conditionalFormatting>
        <x14:conditionalFormatting xmlns:xm="http://schemas.microsoft.com/office/excel/2006/main">
          <x14:cfRule type="dataBar" id="{052FFEF3-2708-4202-826D-40083030614E}">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D5D41DF8-FF05-441B-A60A-55C677E3505A}">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67478949-9E59-4099-8A7C-0EAACE440437}">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108EC72C-6A26-4F55-A63E-9B59C7AC1862}">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1136A3F0-09ED-481E-B738-79AD1E188724}">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9D04E29F-B348-4066-AE91-DF0AD14D56AA}">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8C61C8D7-F21B-4363-B832-C6D7F5723179}">
            <x14:dataBar minLength="0" maxLength="100" gradient="0">
              <x14:cfvo type="autoMin"/>
              <x14:cfvo type="autoMax"/>
              <x14:negativeFillColor rgb="FFFF0000"/>
              <x14:axisColor rgb="FF000000"/>
            </x14:dataBar>
          </x14:cfRule>
          <xm:sqref>C9:D9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D71 Puntarenas</vt:lpstr>
      <vt:lpstr>D72 Esparza</vt:lpstr>
      <vt:lpstr>D73 Montes de Oro</vt:lpstr>
      <vt:lpstr>D74 Quepos</vt:lpstr>
      <vt:lpstr>D75 Parrita</vt:lpstr>
      <vt:lpstr>D76 Garabito</vt:lpstr>
      <vt:lpstr>D77 Paquera</vt:lpstr>
      <vt:lpstr>D78 Judas de Chomes</vt:lpstr>
      <vt:lpstr>Total Región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Alb Cartin</dc:creator>
  <cp:lastModifiedBy>Manuel Alberto Cartin Sequeira</cp:lastModifiedBy>
  <dcterms:created xsi:type="dcterms:W3CDTF">2025-07-06T16:16:16Z</dcterms:created>
  <dcterms:modified xsi:type="dcterms:W3CDTF">2026-06-20T00:42:41Z</dcterms:modified>
</cp:coreProperties>
</file>