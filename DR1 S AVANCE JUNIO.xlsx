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60A3526D-A945-4113-8216-9D653E073940}" xr6:coauthVersionLast="47" xr6:coauthVersionMax="47" xr10:uidLastSave="{00000000-0000-0000-0000-000000000000}"/>
  <bookViews>
    <workbookView xWindow="-120" yWindow="-120" windowWidth="29040" windowHeight="15720" xr2:uid="{00000000-000D-0000-FFFF-FFFF00000000}"/>
  </bookViews>
  <sheets>
    <sheet name="D16 Desamparados Norte" sheetId="1" r:id="rId1"/>
    <sheet name="D17 Desamparados Sur" sheetId="2" r:id="rId2"/>
    <sheet name="D18 Aserrí" sheetId="3" r:id="rId3"/>
    <sheet name="D19 Acosta" sheetId="4" r:id="rId4"/>
    <sheet name="D20 Alajuelita" sheetId="5" r:id="rId5"/>
    <sheet name="D21 Escazú" sheetId="6" r:id="rId6"/>
    <sheet name="D22 Santa Ana" sheetId="7" r:id="rId7"/>
    <sheet name="D23 Mora" sheetId="8" r:id="rId8"/>
    <sheet name="D24 Puriscal" sheetId="9" r:id="rId9"/>
    <sheet name="D25 Turrubares" sheetId="10" r:id="rId10"/>
    <sheet name="Total Region" sheetId="12"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 localSheetId="9">[9]DAT2!#REF!</definedName>
    <definedName name="ABANG" localSheetId="10">[10]DAT2!#REF!</definedName>
    <definedName name="ABANG">[11]DAT2!#REF!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 localSheetId="9">[9]DAT2!#REF!</definedName>
    <definedName name="ACOS" localSheetId="10">[10]DAT2!#REF!</definedName>
    <definedName name="ACOS">[11]DAT2!#REF!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 localSheetId="9">[9]DAT2!#REF!</definedName>
    <definedName name="ALAJU" localSheetId="10">[10]DAT2!#REF!</definedName>
    <definedName name="ALAJU">[11]DAT2!#REF!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 localSheetId="9">[9]DAT2!#REF!</definedName>
    <definedName name="ALAJUE" localSheetId="10">[10]DAT2!#REF!</definedName>
    <definedName name="ALAJUE">[11]DAT2!#REF!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 localSheetId="9">[9]DAT2!#REF!</definedName>
    <definedName name="ALVA" localSheetId="10">[10]DAT2!#REF!</definedName>
    <definedName name="ALVA">[11]DAT2!#REF!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 localSheetId="9">[9]DAT2!#REF!</definedName>
    <definedName name="ASERR" localSheetId="10">[10]DAT2!#REF!</definedName>
    <definedName name="ASERR">[11]DAT2!#REF!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 localSheetId="9">[9]DAT2!#REF!</definedName>
    <definedName name="ATE" localSheetId="10">[10]DAT2!#REF!</definedName>
    <definedName name="ATE">[11]DAT2!#REF!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 localSheetId="9">[9]DAT2!#REF!</definedName>
    <definedName name="BAGAC" localSheetId="10">[10]DAT2!#REF!</definedName>
    <definedName name="BAGAC">[11]DAT2!#REF!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 localSheetId="9">[9]DAT2!#REF!</definedName>
    <definedName name="BARV" localSheetId="10">[10]DAT2!#REF!</definedName>
    <definedName name="BARV">[11]DAT2!#REF!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 localSheetId="9">[9]DAT2!#REF!</definedName>
    <definedName name="BEL" localSheetId="10">[10]DAT2!#REF!</definedName>
    <definedName name="BEL">[11]DAT2!#REF!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 localSheetId="9">[9]DAT2!#REF!</definedName>
    <definedName name="BUEN" localSheetId="10">[10]DAT2!#REF!</definedName>
    <definedName name="BUEN">[11]DAT2!#REF!</definedName>
    <definedName name="CANTÓNN">[11]!Tabla103[#All]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 localSheetId="9">[9]DAT2!#REF!</definedName>
    <definedName name="CAÑ" localSheetId="10">[10]DAT2!#REF!</definedName>
    <definedName name="CAÑ">[11]DAT2!#REF!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 localSheetId="9">[9]DAT2!#REF!</definedName>
    <definedName name="CARR" localSheetId="10">[10]DAT2!#REF!</definedName>
    <definedName name="CARR">[11]DAT2!#REF!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 localSheetId="9">[9]DAT2!#REF!</definedName>
    <definedName name="CARTAG" localSheetId="10">[10]DAT2!#REF!</definedName>
    <definedName name="CARTAG">[11]DAT2!#REF!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 localSheetId="9">[9]DAT2!#REF!</definedName>
    <definedName name="CORR" localSheetId="10">[10]DAT2!#REF!</definedName>
    <definedName name="CORR">[11]DAT2!#REF!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 localSheetId="9">[9]DAT2!#REF!</definedName>
    <definedName name="COTB" localSheetId="10">[10]DAT2!#REF!</definedName>
    <definedName name="COTB">[11]DAT2!#REF!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 localSheetId="9">[9]DAT2!#REF!</definedName>
    <definedName name="CURRI" localSheetId="10">[10]DAT2!#REF!</definedName>
    <definedName name="CURRI">[11]DAT2!#REF!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 localSheetId="9">[9]DAT2!#REF!</definedName>
    <definedName name="DESAMP" localSheetId="10">[10]DAT2!#REF!</definedName>
    <definedName name="DESAMP">[11]DAT2!#REF!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 localSheetId="9">#REF!</definedName>
    <definedName name="DISTRI" localSheetId="10">#REF!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 localSheetId="9">[9]DAT2!#REF!</definedName>
    <definedName name="DOTA" localSheetId="10">[10]DAT2!#REF!</definedName>
    <definedName name="DOTA">[11]DAT2!#REF!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 localSheetId="9">[9]DAT2!#REF!</definedName>
    <definedName name="ELGUA" localSheetId="10">[10]DAT2!#REF!</definedName>
    <definedName name="ELGUA">[11]DAT2!#REF!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 localSheetId="9">[9]DAT2!#REF!</definedName>
    <definedName name="ESCAZ" localSheetId="10">[10]DAT2!#REF!</definedName>
    <definedName name="ESCAZ">[11]DAT2!#REF!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 localSheetId="9">[9]DAT2!#REF!</definedName>
    <definedName name="ESPA" localSheetId="10">[10]DAT2!#REF!</definedName>
    <definedName name="ESPA">[11]DAT2!#REF!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 localSheetId="9">[9]DAT2!#REF!</definedName>
    <definedName name="FLOR" localSheetId="10">[10]DAT2!#REF!</definedName>
    <definedName name="FLOR">[11]DAT2!#REF!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 localSheetId="9">[9]DAT2!#REF!</definedName>
    <definedName name="GARAB" localSheetId="10">[10]DAT2!#REF!</definedName>
    <definedName name="GARAB">[11]DAT2!#REF!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 localSheetId="9">[9]DAT2!#REF!</definedName>
    <definedName name="GOIC" localSheetId="10">[10]DAT2!#REF!</definedName>
    <definedName name="GOIC">[11]DAT2!#REF!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 localSheetId="9">[9]DAT2!#REF!</definedName>
    <definedName name="GOLF" localSheetId="10">[10]DAT2!#REF!</definedName>
    <definedName name="GOLF">[11]DAT2!#REF!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 localSheetId="9">[9]DAT2!#REF!</definedName>
    <definedName name="GREC" localSheetId="10">[10]DAT2!#REF!</definedName>
    <definedName name="GREC">[11]DAT2!#REF!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 localSheetId="9">[9]DAT2!#REF!</definedName>
    <definedName name="GUAC" localSheetId="10">[10]DAT2!#REF!</definedName>
    <definedName name="GUAC">[11]DAT2!#REF!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 localSheetId="9">[9]DAT2!#REF!</definedName>
    <definedName name="GUATU" localSheetId="10">[10]DAT2!#REF!</definedName>
    <definedName name="GUATU">[11]DAT2!#REF!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 localSheetId="9">[9]DAT2!#REF!</definedName>
    <definedName name="HERED" localSheetId="10">[10]DAT2!#REF!</definedName>
    <definedName name="HERED">[11]DAT2!#REF!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 localSheetId="9">[9]DAT2!#REF!</definedName>
    <definedName name="HOJA" localSheetId="10">[10]DAT2!#REF!</definedName>
    <definedName name="HOJA">[11]DAT2!#REF!</definedName>
    <definedName name="JE">[11]!Tabla103[#All]</definedName>
    <definedName name="jes">[11]!Tabla103[#All]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 localSheetId="9">[9]DAT2!#REF!</definedName>
    <definedName name="JIME" localSheetId="10">[10]DAT2!#REF!</definedName>
    <definedName name="JIME">[11]DAT2!#REF!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 localSheetId="9">[9]DAT2!#REF!</definedName>
    <definedName name="LACRU" localSheetId="10">[10]DAT2!#REF!</definedName>
    <definedName name="LACRU">[11]DAT2!#REF!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 localSheetId="9">[9]DAT2!#REF!</definedName>
    <definedName name="LAUN" localSheetId="10">[10]DAT2!#REF!</definedName>
    <definedName name="LAUN">[11]DAT2!#REF!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 localSheetId="9">[9]DAT1!#REF!</definedName>
    <definedName name="LEO" localSheetId="10">[10]DAT1!#REF!</definedName>
    <definedName name="LEO">[11]DAT1!#REF!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 localSheetId="9">[9]DAT2!#REF!</definedName>
    <definedName name="LIB" localSheetId="10">[10]DAT2!#REF!</definedName>
    <definedName name="LIB">[11]DAT2!#REF!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 localSheetId="9">[9]DAT2!#REF!</definedName>
    <definedName name="LIM" localSheetId="10">[10]DAT2!#REF!</definedName>
    <definedName name="LIM">[11]DAT2!#REF!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 localSheetId="9">[9]DAT2!#REF!</definedName>
    <definedName name="LOSCHI" localSheetId="10">[10]DAT2!#REF!</definedName>
    <definedName name="LOSCHI">[11]DAT2!#REF!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 localSheetId="9">[9]DAT2!#REF!</definedName>
    <definedName name="MAT" localSheetId="10">[10]DAT2!#REF!</definedName>
    <definedName name="MAT">[11]DAT2!#REF!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 localSheetId="9">[9]DAT2!#REF!</definedName>
    <definedName name="MONTEV" localSheetId="10">[10]DAT2!#REF!</definedName>
    <definedName name="MONTEV">[11]DAT2!#REF!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 localSheetId="9">[9]DAT2!#REF!</definedName>
    <definedName name="MONTOC" localSheetId="10">[10]DAT2!#REF!</definedName>
    <definedName name="MONTOC">[11]DAT2!#REF!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 localSheetId="9">[9]DAT2!#REF!</definedName>
    <definedName name="MONTOR" localSheetId="10">[10]DAT2!#REF!</definedName>
    <definedName name="MONTOR">[11]DAT2!#REF!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 localSheetId="9">[9]DAT2!#REF!</definedName>
    <definedName name="MOR" localSheetId="10">[10]DAT2!#REF!</definedName>
    <definedName name="MOR">[11]DAT2!#REF!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 localSheetId="9">[9]DAT2!#REF!</definedName>
    <definedName name="MORAV" localSheetId="10">[10]DAT2!#REF!</definedName>
    <definedName name="MORAV">[11]DAT2!#REF!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 localSheetId="9">[9]DAT2!#REF!</definedName>
    <definedName name="NAND" localSheetId="10">[10]DAT2!#REF!</definedName>
    <definedName name="NAND">[11]DAT2!#REF!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 localSheetId="9">[9]DAT2!#REF!</definedName>
    <definedName name="NARA" localSheetId="10">[10]DAT2!#REF!</definedName>
    <definedName name="NARA">[11]DAT2!#REF!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 localSheetId="9">[9]DAT2!#REF!</definedName>
    <definedName name="NICO" localSheetId="10">[10]DAT2!#REF!</definedName>
    <definedName name="NICO">[11]DAT2!#REF!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 localSheetId="9">[9]DAT2!#REF!</definedName>
    <definedName name="OREAMU" localSheetId="10">[10]DAT2!#REF!</definedName>
    <definedName name="OREAMU">[11]DAT2!#REF!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 localSheetId="9">[9]DAT2!#REF!</definedName>
    <definedName name="OROT" localSheetId="10">[10]DAT2!#REF!</definedName>
    <definedName name="OROT">[11]DAT2!#REF!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 localSheetId="9">[9]DAT2!#REF!</definedName>
    <definedName name="OSA" localSheetId="10">[10]DAT2!#REF!</definedName>
    <definedName name="OSA">[11]DAT2!#REF!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 localSheetId="9">[9]DAT2!#REF!</definedName>
    <definedName name="PALMA" localSheetId="10">[10]DAT2!#REF!</definedName>
    <definedName name="PALMA">[11]DAT2!#REF!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 localSheetId="9">[9]DAT2!#REF!</definedName>
    <definedName name="PARA" localSheetId="10">[10]DAT2!#REF!</definedName>
    <definedName name="PARA">[11]DAT2!#REF!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 localSheetId="9">[9]DAT2!#REF!</definedName>
    <definedName name="PARR" localSheetId="10">[10]DAT2!#REF!</definedName>
    <definedName name="PARR">[11]DAT2!#REF!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 localSheetId="9">[9]DAT2!#REF!</definedName>
    <definedName name="POA" localSheetId="10">[10]DAT2!#REF!</definedName>
    <definedName name="POA">[11]DAT2!#REF!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 localSheetId="9">[9]DAT2!#REF!</definedName>
    <definedName name="POCOC" localSheetId="10">[10]DAT2!#REF!</definedName>
    <definedName name="POCOC">[11]DAT2!#REF!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 localSheetId="9">[9]DAT2!#REF!</definedName>
    <definedName name="PUERTOJ" localSheetId="10">[10]DAT2!#REF!</definedName>
    <definedName name="PUERTOJ">[11]DAT2!#REF!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 localSheetId="9">[9]DAT2!#REF!</definedName>
    <definedName name="PUNTAR" localSheetId="10">[10]DAT2!#REF!</definedName>
    <definedName name="PUNTAR">[11]DAT2!#REF!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 localSheetId="9">[9]DAT2!#REF!</definedName>
    <definedName name="PURIS" localSheetId="10">[10]DAT2!#REF!</definedName>
    <definedName name="PURIS">[11]DAT2!#REF!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 localSheetId="9">[9]DAT2!#REF!</definedName>
    <definedName name="PZ" localSheetId="10">[10]DAT2!#REF!</definedName>
    <definedName name="PZ">[11]DAT2!#REF!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 localSheetId="9">[9]DAT2!#REF!</definedName>
    <definedName name="QUEP" localSheetId="10">[10]DAT2!#REF!</definedName>
    <definedName name="QUEP">[11]DAT2!#REF!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 localSheetId="9">[9]DAT2!#REF!</definedName>
    <definedName name="RIOCU" localSheetId="10">[10]DAT2!#REF!</definedName>
    <definedName name="RIOCU">[11]DAT2!#REF!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 localSheetId="9">[9]DAT2!#REF!</definedName>
    <definedName name="SANCAR" localSheetId="10">[10]DAT2!#REF!</definedName>
    <definedName name="SANCAR">[11]DAT2!#REF!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 localSheetId="9">[9]DAT2!#REF!</definedName>
    <definedName name="SANISI" localSheetId="10">[10]DAT2!#REF!</definedName>
    <definedName name="SANISI">[11]DAT2!#REF!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 localSheetId="9">[9]DAT2!#REF!</definedName>
    <definedName name="SANMAT" localSheetId="10">[10]DAT2!#REF!</definedName>
    <definedName name="SANMAT">[11]DAT2!#REF!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 localSheetId="9">[9]DAT2!#REF!</definedName>
    <definedName name="SANPA" localSheetId="10">[10]DAT2!#REF!</definedName>
    <definedName name="SANPA">[11]DAT2!#REF!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 localSheetId="9">[9]DAT2!#REF!</definedName>
    <definedName name="SANRA" localSheetId="10">[10]DAT2!#REF!</definedName>
    <definedName name="SANRA">[11]DAT2!#REF!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 localSheetId="9">[9]DAT2!#REF!</definedName>
    <definedName name="SANRAF" localSheetId="10">[10]DAT2!#REF!</definedName>
    <definedName name="SANRAF">[11]DAT2!#REF!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 localSheetId="9">[9]DAT2!#REF!</definedName>
    <definedName name="SANTA" localSheetId="10">[10]DAT2!#REF!</definedName>
    <definedName name="SANTA">[11]DAT2!#REF!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 localSheetId="9">[9]DAT2!#REF!</definedName>
    <definedName name="SANTABA" localSheetId="10">[10]DAT2!#REF!</definedName>
    <definedName name="SANTABA">[11]DAT2!#REF!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 localSheetId="9">[9]DAT2!#REF!</definedName>
    <definedName name="SANTACRU" localSheetId="10">[10]DAT2!#REF!</definedName>
    <definedName name="SANTACRU">[11]DAT2!#REF!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 localSheetId="9">[9]DAT2!#REF!</definedName>
    <definedName name="SANTODO" localSheetId="10">[10]DAT2!#REF!</definedName>
    <definedName name="SANTODO">[11]DAT2!#REF!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 localSheetId="9">[9]DAT2!#REF!</definedName>
    <definedName name="SAR" localSheetId="10">[10]DAT2!#REF!</definedName>
    <definedName name="SAR">[11]DAT2!#REF!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 localSheetId="9">[9]DAT2!#REF!</definedName>
    <definedName name="SARAP" localSheetId="10">[10]DAT2!#REF!</definedName>
    <definedName name="SARAP">[11]DAT2!#REF!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 localSheetId="9">[9]DAT2!#REF!</definedName>
    <definedName name="SIQUIRR" localSheetId="10">[10]DAT2!#REF!</definedName>
    <definedName name="SIQUIRR">[11]DAT2!#REF!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 localSheetId="9">[9]DAT2!#REF!</definedName>
    <definedName name="TALAMA" localSheetId="10">[10]DAT2!#REF!</definedName>
    <definedName name="TALAMA">[11]DAT2!#REF!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 localSheetId="9">[9]DAT2!#REF!</definedName>
    <definedName name="TARRAZ" localSheetId="10">[10]DAT2!#REF!</definedName>
    <definedName name="TARRAZ">[11]DAT2!#REF!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 localSheetId="9">[9]DAT2!#REF!</definedName>
    <definedName name="TIB" localSheetId="10">[10]DAT2!#REF!</definedName>
    <definedName name="TIB">[11]DAT2!#REF!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 localSheetId="9">[9]DAT2!#REF!</definedName>
    <definedName name="TILAR" localSheetId="10">[10]DAT2!#REF!</definedName>
    <definedName name="TILAR">[11]DAT2!#REF!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 localSheetId="9">[9]DAT2!#REF!</definedName>
    <definedName name="TURR" localSheetId="10">[10]DAT2!#REF!</definedName>
    <definedName name="TURR">[11]DAT2!#REF!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 localSheetId="9">[9]DAT2!#REF!</definedName>
    <definedName name="TURRI" localSheetId="10">[10]DAT2!#REF!</definedName>
    <definedName name="TURRI">[11]DAT2!#REF!</definedName>
    <definedName name="U">[11]!Tabla103[#All]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 localSheetId="9">[9]DAT2!#REF!</definedName>
    <definedName name="UPA" localSheetId="10">[10]DAT2!#REF!</definedName>
    <definedName name="UPA">[11]DAT2!#REF!</definedName>
    <definedName name="uu">[11]!Tabla103[#All]</definedName>
    <definedName name="uum">[11]!Tabla103[#All]</definedName>
    <definedName name="uuu">[11]!Tabla103[#All]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 localSheetId="9">[9]DAT2!#REF!</definedName>
    <definedName name="VASQUE" localSheetId="10">[10]DAT2!#REF!</definedName>
    <definedName name="VASQUE">[11]DAT2!#REF!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 localSheetId="9">[9]DAT2!#REF!</definedName>
    <definedName name="ZAR" localSheetId="10">[10]DAT2!#REF!</definedName>
    <definedName name="ZAR">[11]DAT2!#REF!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4" i="10" l="1"/>
  <c r="C11" i="12" s="1"/>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C36" i="9"/>
  <c r="C10" i="12" s="1"/>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C37" i="8"/>
  <c r="C9" i="12" s="1"/>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C37" i="7"/>
  <c r="C8" i="12" s="1"/>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C37" i="6"/>
  <c r="C7" i="12" s="1"/>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37" i="5"/>
  <c r="C6" i="12" s="1"/>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3" i="4"/>
  <c r="C5" i="12" s="1"/>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9" i="3"/>
  <c r="C4" i="12" s="1"/>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7" i="2"/>
  <c r="C3" i="12" s="1"/>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7" i="1"/>
  <c r="C2" i="12" s="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36" i="9" l="1"/>
  <c r="D10" i="12" s="1"/>
  <c r="E10" i="12" s="1"/>
  <c r="D37" i="8"/>
  <c r="D37" i="7"/>
  <c r="D37" i="6"/>
  <c r="D37" i="5"/>
  <c r="D33" i="4"/>
  <c r="D39" i="3"/>
  <c r="D37" i="2"/>
  <c r="D37" i="1"/>
  <c r="D34" i="10"/>
  <c r="D11" i="12" s="1"/>
  <c r="E11" i="12" s="1"/>
  <c r="D35" i="10" l="1"/>
  <c r="D38" i="2"/>
  <c r="D3" i="12"/>
  <c r="E3" i="12" s="1"/>
  <c r="D38" i="1"/>
  <c r="D2" i="12"/>
  <c r="E2" i="12" s="1"/>
  <c r="D37" i="9"/>
  <c r="D38" i="8"/>
  <c r="D9" i="12"/>
  <c r="E9" i="12" s="1"/>
  <c r="D38" i="7"/>
  <c r="D8" i="12"/>
  <c r="E8" i="12" s="1"/>
  <c r="D38" i="6"/>
  <c r="D7" i="12"/>
  <c r="E7" i="12" s="1"/>
  <c r="D38" i="5"/>
  <c r="D6" i="12"/>
  <c r="E6" i="12" s="1"/>
  <c r="D40" i="3"/>
  <c r="D4" i="12"/>
  <c r="E4" i="12" s="1"/>
  <c r="D34" i="4"/>
  <c r="D5" i="12"/>
  <c r="E5" i="12" s="1"/>
  <c r="C12" i="12"/>
  <c r="D12" i="12" l="1"/>
  <c r="E12" i="12" s="1"/>
</calcChain>
</file>

<file path=xl/sharedStrings.xml><?xml version="1.0" encoding="utf-8"?>
<sst xmlns="http://schemas.openxmlformats.org/spreadsheetml/2006/main" count="593" uniqueCount="96">
  <si>
    <t>D16 DESAMPARADOS NORTE</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</si>
  <si>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</si>
  <si>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</si>
  <si>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</si>
  <si>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</si>
  <si>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</si>
  <si>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</si>
  <si>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</si>
  <si>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</si>
  <si>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</si>
  <si>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</si>
  <si>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</si>
  <si>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</si>
  <si>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</si>
  <si>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</si>
  <si>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</si>
  <si>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</si>
  <si>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</si>
  <si>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</si>
  <si>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</si>
  <si>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</si>
  <si>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</si>
  <si>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</si>
  <si>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</si>
  <si>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</si>
  <si>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</si>
  <si>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D17 DESAMPARADOS SUR</t>
  </si>
  <si>
    <t>D18 ASERRÍ</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</si>
  <si>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</si>
  <si>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</si>
  <si>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</si>
  <si>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</si>
  <si>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Dos capacitaciones, en el tema de "Cultura Preventiva", dirigidas a las comunidades integradas al Programa de Seguridad Comunitaria que se localicen, en los distritos que contemplan las área georreferenciadas del informe territorial de la Estrategia Sembremos Seguridad 2024, una por año.</t>
  </si>
  <si>
    <t>Cuatro capacitaciones, en el tema de Denuncia, dirigidas a las comunidades integradas al Programa de Seguridad Comunitaria, que se localicen, en los distritos que contemplan las área georreferenciadas del informe territorial de la Estrategia Sembremos Seguridad 2024, dos por año, una por semestre.</t>
  </si>
  <si>
    <t>D20 ALAJUELITA</t>
  </si>
  <si>
    <t>Cubrir 4 procesos formativos en Centros Educativos (dos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</si>
  <si>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D21 ESCAZÚ</t>
  </si>
  <si>
    <t>D23 MORA</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</si>
  <si>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</si>
  <si>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D24 PURISCAL</t>
  </si>
  <si>
    <t>D25 TURRUBARES</t>
  </si>
  <si>
    <t>Delegación</t>
  </si>
  <si>
    <t>D16</t>
  </si>
  <si>
    <t>D17</t>
  </si>
  <si>
    <t>D18</t>
  </si>
  <si>
    <t>D19</t>
  </si>
  <si>
    <t>D20</t>
  </si>
  <si>
    <t>D21</t>
  </si>
  <si>
    <t>D22</t>
  </si>
  <si>
    <t>D23</t>
  </si>
  <si>
    <t>D24</t>
  </si>
  <si>
    <t>D25</t>
  </si>
  <si>
    <t>DESAMPARADOS NORTE</t>
  </si>
  <si>
    <t>DESAMPARADOS SUR</t>
  </si>
  <si>
    <t>ASERRÍ</t>
  </si>
  <si>
    <t>ACOSTA</t>
  </si>
  <si>
    <t>ALAJUELITA</t>
  </si>
  <si>
    <t>ESCAZÚ</t>
  </si>
  <si>
    <t>SANTA ANA</t>
  </si>
  <si>
    <t>MORA</t>
  </si>
  <si>
    <t>PURISCAL</t>
  </si>
  <si>
    <t>TURRUBARES</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</si>
  <si>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</si>
  <si>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</si>
  <si>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</si>
  <si>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</si>
  <si>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</si>
  <si>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</si>
  <si>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</si>
  <si>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</si>
  <si>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</si>
  <si>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</si>
  <si>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</si>
  <si>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</si>
  <si>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</si>
  <si>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</si>
  <si>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</si>
  <si>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</si>
  <si>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</si>
  <si>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</si>
  <si>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</si>
  <si>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</si>
  <si>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</si>
  <si>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</si>
  <si>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</si>
  <si>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</si>
  <si>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</si>
  <si>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</si>
  <si>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</si>
  <si>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</si>
  <si>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</si>
  <si>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</si>
  <si>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</si>
  <si>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D19 ACOSTA</t>
  </si>
  <si>
    <t>D22 SANTA ANA</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</si>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</sst>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0"/>
      <color rgb="FF000000"/>
      <name val="Times New Roman"/>
      <family val="1"/>
    </font>
    <font>
      <sz val="11"/>
      <color rgb="FFFFC000"/>
      <name val="Aptos Narrow"/>
      <family val="2"/>
      <scheme val="minor"/>
    </font>
    <font>
      <b/>
      <sz val="11"/>
      <color rgb="FFFFC000"/>
      <name val="Aptos Narrow"/>
      <family val="2"/>
      <scheme val="minor"/>
    </font>
    <font>
      <sz val="8"/>
      <name val="Aptos Narrow"/>
      <family val="2"/>
      <scheme val="minor"/>
    </font>
    <font>
      <b/>
      <sz val="9"/>
      <name val="Arial"/>
      <family val="2"/>
    </font>
    <font>
      <b/>
      <sz val="10"/>
      <name val="Aptos Narrow"/>
      <family val="2"/>
      <scheme val="minor"/>
    </font>
    <font>
      <sz val="11"/>
      <name val="Aptos Narrow"/>
      <family val="2"/>
      <scheme val="minor"/>
    </font>
    <font>
      <sz val="12"/>
      <color theme="1"/>
      <name val="Aptos Narrow"/>
      <family val="2"/>
      <scheme val="minor"/>
    </font>
  </fonts>
  <fills count="17">
    <fill>
      <patternFill patternType="none"/>
    </fill>
    <fill>
      <patternFill patternType="gray125"/>
    </fill>
    <fill>
      <patternFill patternType="solid">
        <fgColor theme="3"/>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CE4D6"/>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E2EFD9"/>
        <bgColor indexed="64"/>
      </patternFill>
    </fill>
    <fill>
      <patternFill patternType="solid">
        <fgColor rgb="FFFBE4D5"/>
        <bgColor indexed="64"/>
      </patternFill>
    </fill>
    <fill>
      <patternFill patternType="solid">
        <fgColor theme="4" tint="0.79998168889431442"/>
        <bgColor indexed="64"/>
      </patternFill>
    </fill>
    <fill>
      <patternFill patternType="solid">
        <fgColor rgb="FFE2EFDA"/>
        <bgColor indexed="64"/>
      </patternFill>
    </fill>
    <fill>
      <patternFill patternType="solid">
        <fgColor theme="1"/>
        <bgColor indexed="64"/>
      </patternFill>
    </fill>
    <fill>
      <patternFill patternType="solid">
        <fgColor theme="0" tint="-0.34998626667073579"/>
        <bgColor indexed="64"/>
      </patternFill>
    </fill>
    <fill>
      <patternFill patternType="solid">
        <fgColor rgb="FFFFC000"/>
        <bgColor indexed="64"/>
      </patternFill>
    </fill>
    <fill>
      <patternFill patternType="solid">
        <fgColor theme="3" tint="-0.249977111117893"/>
        <bgColor indexed="64"/>
      </patternFill>
    </fill>
    <fill>
      <patternFill patternType="solid">
        <fgColor theme="0" tint="-0.14999847407452621"/>
        <bgColor indexed="64"/>
      </patternFill>
    </fill>
  </fills>
  <borders count="16">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7" fillId="0" borderId="0"/>
  </cellStyleXfs>
  <cellXfs count="55">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2" fillId="0" borderId="0" xfId="0" applyFont="1" applyProtection="1">
      <protection locked="0"/>
    </xf>
    <xf numFmtId="10" fontId="1" fillId="7" borderId="0" xfId="0" applyNumberFormat="1" applyFont="1" applyFill="1" applyAlignment="1" applyProtection="1">
      <alignment horizontal="center"/>
      <protection locked="0"/>
    </xf>
    <xf numFmtId="0" fontId="6" fillId="3" borderId="4" xfId="0" applyFont="1" applyFill="1" applyBorder="1" applyAlignment="1">
      <alignment horizontal="left" vertical="center" wrapText="1"/>
    </xf>
    <xf numFmtId="0" fontId="6" fillId="8" borderId="4" xfId="0" applyFont="1" applyFill="1" applyBorder="1" applyAlignment="1">
      <alignment horizontal="left" vertical="center" wrapText="1"/>
    </xf>
    <xf numFmtId="0" fontId="6" fillId="9" borderId="4" xfId="0" applyFont="1" applyFill="1" applyBorder="1" applyAlignment="1">
      <alignment horizontal="left" vertical="center" wrapText="1"/>
    </xf>
    <xf numFmtId="0" fontId="5" fillId="4" borderId="4" xfId="0" applyFont="1" applyFill="1" applyBorder="1" applyAlignment="1">
      <alignment vertical="center" wrapText="1"/>
    </xf>
    <xf numFmtId="0" fontId="4"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2" fillId="13" borderId="4" xfId="0" applyFont="1" applyFill="1" applyBorder="1" applyAlignment="1">
      <alignment horizontal="center"/>
    </xf>
    <xf numFmtId="0" fontId="8" fillId="12" borderId="0" xfId="0" applyFont="1" applyFill="1" applyAlignment="1">
      <alignment horizontal="center"/>
    </xf>
    <xf numFmtId="0" fontId="0" fillId="0" borderId="4" xfId="0" applyBorder="1" applyAlignment="1">
      <alignment horizontal="center"/>
    </xf>
    <xf numFmtId="1" fontId="0" fillId="0" borderId="4" xfId="0" applyNumberFormat="1" applyBorder="1" applyAlignment="1">
      <alignment horizontal="center"/>
    </xf>
    <xf numFmtId="0" fontId="9" fillId="12" borderId="8" xfId="0" applyFont="1" applyFill="1" applyBorder="1"/>
    <xf numFmtId="1" fontId="2" fillId="14" borderId="0" xfId="0" applyNumberFormat="1" applyFont="1" applyFill="1" applyAlignment="1">
      <alignment horizontal="center"/>
    </xf>
    <xf numFmtId="1" fontId="5" fillId="0" borderId="5" xfId="0" applyNumberFormat="1" applyFont="1" applyBorder="1" applyAlignment="1">
      <alignment horizontal="center" vertical="center" wrapText="1"/>
    </xf>
    <xf numFmtId="0" fontId="1" fillId="2" borderId="0" xfId="0" applyFont="1" applyFill="1" applyAlignment="1">
      <alignment horizontal="center"/>
    </xf>
    <xf numFmtId="0" fontId="3" fillId="15" borderId="0" xfId="0" applyFont="1" applyFill="1" applyProtection="1">
      <protection locked="0"/>
    </xf>
    <xf numFmtId="0" fontId="5" fillId="10" borderId="5" xfId="0" applyFont="1" applyFill="1" applyBorder="1" applyAlignment="1">
      <alignment horizontal="center" vertical="center" wrapText="1"/>
    </xf>
    <xf numFmtId="0" fontId="2" fillId="0" borderId="4" xfId="0" applyFont="1" applyBorder="1" applyAlignment="1" applyProtection="1">
      <alignment horizontal="center" vertical="center"/>
      <protection locked="0"/>
    </xf>
    <xf numFmtId="0" fontId="5" fillId="4" borderId="7"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1" fillId="7" borderId="11" xfId="0" applyFont="1" applyFill="1" applyBorder="1" applyAlignment="1">
      <alignment horizontal="left" vertical="center" wrapText="1"/>
    </xf>
    <xf numFmtId="0" fontId="11" fillId="16" borderId="13" xfId="0" applyFont="1" applyFill="1" applyBorder="1" applyAlignment="1">
      <alignment horizontal="left" vertical="center" wrapText="1"/>
    </xf>
    <xf numFmtId="0" fontId="11" fillId="16" borderId="15" xfId="0" applyFont="1" applyFill="1" applyBorder="1" applyAlignment="1">
      <alignment horizontal="left" vertical="center" wrapText="1"/>
    </xf>
    <xf numFmtId="0" fontId="2" fillId="0" borderId="4" xfId="0" applyFont="1" applyBorder="1" applyAlignment="1" applyProtection="1">
      <alignment horizontal="center"/>
      <protection locked="0"/>
    </xf>
    <xf numFmtId="1" fontId="2" fillId="0" borderId="4" xfId="0" applyNumberFormat="1" applyFont="1" applyBorder="1" applyAlignment="1" applyProtection="1">
      <alignment horizontal="center" vertical="center"/>
      <protection locked="0"/>
    </xf>
    <xf numFmtId="0" fontId="4" fillId="3" borderId="4" xfId="0" applyFont="1" applyFill="1" applyBorder="1" applyAlignment="1">
      <alignment horizontal="center" vertical="center" textRotation="90" wrapText="1"/>
    </xf>
    <xf numFmtId="0" fontId="5" fillId="4" borderId="6" xfId="0" applyFont="1" applyFill="1" applyBorder="1" applyAlignment="1">
      <alignment horizontal="center" vertical="center" textRotation="90" wrapText="1"/>
    </xf>
    <xf numFmtId="0" fontId="5" fillId="6" borderId="4" xfId="0" applyFont="1" applyFill="1" applyBorder="1" applyAlignment="1">
      <alignment horizontal="center" vertical="center" textRotation="90" wrapText="1"/>
    </xf>
    <xf numFmtId="0" fontId="5" fillId="4" borderId="4" xfId="0" applyFont="1" applyFill="1" applyBorder="1" applyAlignment="1">
      <alignment horizontal="center" vertical="center" textRotation="90" wrapText="1"/>
    </xf>
    <xf numFmtId="0" fontId="5" fillId="10" borderId="4" xfId="0" applyFont="1" applyFill="1" applyBorder="1" applyAlignment="1">
      <alignment horizontal="center" vertical="center" textRotation="90" wrapText="1"/>
    </xf>
    <xf numFmtId="0" fontId="12" fillId="10" borderId="4" xfId="1" applyFont="1" applyFill="1" applyBorder="1" applyAlignment="1">
      <alignment horizontal="left" vertical="top" wrapText="1"/>
    </xf>
    <xf numFmtId="10" fontId="0" fillId="0" borderId="4" xfId="0" applyNumberFormat="1" applyBorder="1" applyAlignment="1">
      <alignment horizontal="center" vertical="center"/>
    </xf>
    <xf numFmtId="10" fontId="0" fillId="0" borderId="4" xfId="0" applyNumberFormat="1" applyBorder="1" applyAlignment="1">
      <alignment horizontal="center"/>
    </xf>
    <xf numFmtId="0" fontId="0" fillId="0" borderId="4" xfId="0" applyFill="1" applyBorder="1"/>
    <xf numFmtId="0" fontId="13" fillId="0" borderId="4" xfId="0" applyFont="1" applyFill="1" applyBorder="1"/>
    <xf numFmtId="0" fontId="14" fillId="0" borderId="0" xfId="0" applyFont="1" applyAlignment="1" applyProtection="1">
      <alignment horizontal="center" vertical="center" wrapText="1"/>
      <protection locked="0"/>
    </xf>
    <xf numFmtId="0" fontId="0" fillId="0" borderId="0" xfId="0" applyAlignment="1" applyProtection="1">
      <alignment horizontal="center"/>
      <protection locked="0"/>
    </xf>
    <xf numFmtId="0" fontId="1" fillId="2" borderId="1" xfId="0" applyFont="1" applyFill="1" applyBorder="1" applyAlignment="1">
      <alignment horizontal="center" vertical="center" textRotation="90"/>
    </xf>
    <xf numFmtId="0" fontId="1" fillId="2" borderId="9" xfId="0" applyFont="1" applyFill="1" applyBorder="1" applyAlignment="1">
      <alignment horizontal="center" vertical="center" textRotation="90"/>
    </xf>
    <xf numFmtId="0" fontId="5" fillId="10" borderId="10" xfId="0" applyFont="1" applyFill="1" applyBorder="1" applyAlignment="1">
      <alignment horizontal="center" vertical="center" textRotation="90" wrapText="1"/>
    </xf>
    <xf numFmtId="0" fontId="5" fillId="10" borderId="12" xfId="0" applyFont="1" applyFill="1" applyBorder="1" applyAlignment="1">
      <alignment horizontal="center" vertical="center" textRotation="90" wrapText="1"/>
    </xf>
    <xf numFmtId="0" fontId="5" fillId="10" borderId="14" xfId="0" applyFont="1" applyFill="1" applyBorder="1" applyAlignment="1">
      <alignment horizontal="center" vertical="center" textRotation="90" wrapText="1"/>
    </xf>
    <xf numFmtId="0" fontId="8" fillId="12" borderId="4" xfId="0" applyFont="1" applyFill="1" applyBorder="1" applyAlignment="1">
      <alignment horizontal="center"/>
    </xf>
  </cellXfs>
  <cellStyles count="2">
    <cellStyle name="Normal" xfId="0" builtinId="0"/>
    <cellStyle name="Normal 2" xfId="1" xr:uid="{00000000-0005-0000-0000-000001000000}"/>
  </cellStyles>
  <dxfs count="1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17%20Desamparados%20Sur%20Junio.xlsx?ECDFBC65" TargetMode="External"/><Relationship Id="rId1" Type="http://schemas.openxmlformats.org/officeDocument/2006/relationships/externalLinkPath" Target="file:///\\ECDFBC65\D17%20Desamparados%20Sur%20Junio.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18%20Aserr&#237;%20Junio.xlsx?ECDFBC65" TargetMode="External"/><Relationship Id="rId1" Type="http://schemas.openxmlformats.org/officeDocument/2006/relationships/externalLinkPath" Target="file:///\\ECDFBC65\D18%20Aserr&#237;%20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19%20%20Acosta%20Junio.xlsx?ECDFBC65" TargetMode="External"/><Relationship Id="rId1" Type="http://schemas.openxmlformats.org/officeDocument/2006/relationships/externalLinkPath" Target="file:///\\ECDFBC65\D19%20%20Acosta%20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20%20Alajuelita%20Junio.xlsx?ECDFBC65" TargetMode="External"/><Relationship Id="rId1" Type="http://schemas.openxmlformats.org/officeDocument/2006/relationships/externalLinkPath" Target="file:///\\ECDFBC65\D20%20Alajuelita%20Junio.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21%20Escaz&#250;%20Junio.xlsx?ECDFBC65" TargetMode="External"/><Relationship Id="rId1" Type="http://schemas.openxmlformats.org/officeDocument/2006/relationships/externalLinkPath" Target="file:///\\ECDFBC65\D21%20Escaz&#250;%20Juni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22%20Santa%20Ana%20Junio.xlsx?ECDFBC65" TargetMode="External"/><Relationship Id="rId1" Type="http://schemas.openxmlformats.org/officeDocument/2006/relationships/externalLinkPath" Target="file:///\\ECDFBC65\D22%20Santa%20Ana%20Junio.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23%20Mora%20Junio.xlsx?ECDFBC65" TargetMode="External"/><Relationship Id="rId1" Type="http://schemas.openxmlformats.org/officeDocument/2006/relationships/externalLinkPath" Target="file:///\\ECDFBC65\D23%20Mora%20Junio.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24%20Puriscal%20Junio.xlsx?ECDFBC65" TargetMode="External"/><Relationship Id="rId1" Type="http://schemas.openxmlformats.org/officeDocument/2006/relationships/externalLinkPath" Target="file:///\\ECDFBC65\D24%20Puriscal%20Junio.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25%20Turrubares%20Junio.xlsx?ECDFBC65" TargetMode="External"/><Relationship Id="rId1" Type="http://schemas.openxmlformats.org/officeDocument/2006/relationships/externalLinkPath" Target="file:///\\ECDFBC65\D25%20Turrubares%20Junio.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II%20TRIMESTRE/JUNIO/DR1%20CENTRAL/D1%20Carmen%20PUMI%202025%20Junio.xlsx?E4023430" TargetMode="External"/><Relationship Id="rId1" Type="http://schemas.openxmlformats.org/officeDocument/2006/relationships/externalLinkPath" Target="file:///\\E4023430\D1%20Carmen%20PUMI%202025%20Junio.xlsx"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https://d.docs.live.net/3ad020c316d05c7c/Escritorio/Avance%20actividades%204%20y%206%20PAO%20Diciembre%202025/Actividad%204%20Planificaci&#243;n%20Diferenciada/R1S%20San%20Jos&#233;%20Sur/16.%20PUMI%202025-20250705T021243Z-1-001/16.%20PUMI%202025/II%20TRIMESTRE/JUNIO/DR1%20SUR/D16%20Desamparados%20Norte%20Junio.xlsx?ECDFBC65" TargetMode="External"/><Relationship Id="rId1" Type="http://schemas.openxmlformats.org/officeDocument/2006/relationships/externalLinkPath" Target="file:///\\ECDFBC65\D16%20Desamparados%20Norte%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7 DESAMPARADOS SUR PSCC "/>
      <sheetName val="D17 DESAMPARADOS SUR VIF"/>
      <sheetName val="D17 DESAMPARADOS SUR DARE"/>
      <sheetName val="D17 DESAMPARADOS SUR GREAT"/>
      <sheetName val="D17 DESAMPARADOS SUR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8 ASERRÍ PSCC "/>
      <sheetName val="D18 ASERRÍ VIF"/>
      <sheetName val="D18 ASERRÍ DARE"/>
      <sheetName val="D18 ASERRÍ GREAT"/>
      <sheetName val="D18 ASERRÍ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9 ACOSTA PSCC "/>
      <sheetName val="D19 ACOSTA VIF"/>
      <sheetName val="D19 ACOSTA DARE"/>
      <sheetName val="D19 ACOSTA GREAT"/>
      <sheetName val="D19 ACOST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0 ALAJUELITA PSCC "/>
      <sheetName val="D20 ALAJUELITA VIF"/>
      <sheetName val="D20 ALAJUELITA DARE"/>
      <sheetName val="D20 ALAJUELITA GREAT"/>
      <sheetName val="D20 ALAJUELIT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1 ESCAZÚ PSCC "/>
      <sheetName val="D21 ESCAZÚ VIF"/>
      <sheetName val="D21 ESCAZÚ DARE"/>
      <sheetName val="D21 ESCAZÚ GREAT"/>
      <sheetName val="D21 ESCAZÚ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2 SANTA ANA PSCC "/>
      <sheetName val="D22 SANTA ANA VIF"/>
      <sheetName val="D22 SANTA ANA DARE"/>
      <sheetName val="D22 SANTA ANA GREAT"/>
      <sheetName val="D22 SANTA AN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3 MORA PSCC "/>
      <sheetName val="D23 MORA VIF"/>
      <sheetName val="D23 MORA DARE"/>
      <sheetName val="D23 MORA GREAT"/>
      <sheetName val="D23 MOR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4 PURISCAL PSCC "/>
      <sheetName val="D24 PURISCAL VIF"/>
      <sheetName val="D24 PURISCAL DARE"/>
      <sheetName val="D24 PURISCAL GREAT"/>
      <sheetName val="D24 PURISCAL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5 TURRUBARES PSCC "/>
      <sheetName val="D25 TURRUBARES VIF"/>
      <sheetName val="D25 TURRUBARES DARE"/>
      <sheetName val="D25 TURRUBARES GREAT"/>
      <sheetName val="D25 TURRUBARES NORT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6 DESAMPARADOS NORT PSCC "/>
      <sheetName val="D16 DESAMPARADOS NORT VIF"/>
      <sheetName val="D16 DESAMPARADOS NORT DARE"/>
      <sheetName val="D16 DESAMPARADOS NORT GREAT"/>
      <sheetName val="D16 DESAMPARADOS NORT MPAS"/>
      <sheetName val="Totales PDIF"/>
      <sheetName val="Totales Política Pública"/>
      <sheetName val="DAT1"/>
      <sheetName val="DAT2"/>
      <sheetName val="D16 Desamparados Norte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59"/>
  <sheetViews>
    <sheetView tabSelected="1" topLeftCell="B1" zoomScale="60" zoomScaleNormal="60" workbookViewId="0">
      <selection activeCell="V6" sqref="V6"/>
    </sheetView>
  </sheetViews>
  <sheetFormatPr baseColWidth="10" defaultColWidth="11.42578125" defaultRowHeight="15" x14ac:dyDescent="0.25"/>
  <cols>
    <col min="1" max="1" width="9.140625" style="2" customWidth="1"/>
    <col min="2" max="2" width="83.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 t="shared" ref="D3:D8" si="0">SUM(E3:P3)</f>
        <v>2</v>
      </c>
      <c r="E3" s="28"/>
      <c r="F3" s="28">
        <v>1</v>
      </c>
      <c r="G3" s="28">
        <v>1</v>
      </c>
      <c r="H3" s="28"/>
      <c r="I3" s="28"/>
      <c r="J3" s="28"/>
      <c r="K3" s="28"/>
      <c r="L3" s="28"/>
      <c r="M3" s="28"/>
      <c r="N3" s="28"/>
      <c r="O3" s="28"/>
      <c r="P3" s="28"/>
    </row>
    <row r="4" spans="1:16" ht="81" customHeight="1" x14ac:dyDescent="0.25">
      <c r="A4" s="38" t="s">
        <v>20</v>
      </c>
      <c r="B4" s="7" t="s">
        <v>19</v>
      </c>
      <c r="C4" s="29">
        <v>2</v>
      </c>
      <c r="D4" s="24">
        <f t="shared" si="0"/>
        <v>0</v>
      </c>
      <c r="E4" s="28">
        <v>0</v>
      </c>
      <c r="F4" s="28">
        <v>0</v>
      </c>
      <c r="G4" s="28">
        <v>0</v>
      </c>
      <c r="H4" s="28">
        <v>0</v>
      </c>
      <c r="I4" s="28"/>
      <c r="J4" s="28"/>
      <c r="K4" s="28"/>
      <c r="L4" s="28"/>
      <c r="M4" s="28"/>
      <c r="N4" s="28"/>
      <c r="O4" s="28"/>
      <c r="P4" s="28"/>
    </row>
    <row r="5" spans="1:16" ht="81" customHeight="1" x14ac:dyDescent="0.25">
      <c r="A5" s="39" t="s">
        <v>22</v>
      </c>
      <c r="B5" s="8" t="s">
        <v>21</v>
      </c>
      <c r="C5" s="30">
        <v>2</v>
      </c>
      <c r="D5" s="24">
        <f t="shared" si="0"/>
        <v>1</v>
      </c>
      <c r="E5" s="28">
        <v>0</v>
      </c>
      <c r="F5" s="28">
        <v>0</v>
      </c>
      <c r="G5" s="28">
        <v>0</v>
      </c>
      <c r="H5" s="28">
        <v>1</v>
      </c>
      <c r="I5" s="28"/>
      <c r="J5" s="28"/>
      <c r="K5" s="28"/>
      <c r="L5" s="28"/>
      <c r="M5" s="28"/>
      <c r="N5" s="28"/>
      <c r="O5" s="28"/>
      <c r="P5" s="28"/>
    </row>
    <row r="6" spans="1:16" ht="81" customHeight="1" x14ac:dyDescent="0.25">
      <c r="A6" s="37" t="s">
        <v>18</v>
      </c>
      <c r="B6" s="5" t="s">
        <v>23</v>
      </c>
      <c r="C6" s="31">
        <v>1</v>
      </c>
      <c r="D6" s="24">
        <f t="shared" si="0"/>
        <v>1</v>
      </c>
      <c r="E6" s="28"/>
      <c r="F6" s="28"/>
      <c r="G6" s="28">
        <v>1</v>
      </c>
      <c r="H6" s="28"/>
      <c r="I6" s="28"/>
      <c r="J6" s="28"/>
      <c r="K6" s="28"/>
      <c r="L6" s="28"/>
      <c r="M6" s="28"/>
      <c r="N6" s="28"/>
      <c r="O6" s="28"/>
      <c r="P6" s="28"/>
    </row>
    <row r="7" spans="1:16" ht="81" customHeight="1" x14ac:dyDescent="0.25">
      <c r="A7" s="37" t="s">
        <v>18</v>
      </c>
      <c r="B7" s="5" t="s">
        <v>24</v>
      </c>
      <c r="C7" s="31">
        <v>2</v>
      </c>
      <c r="D7" s="24">
        <f t="shared" si="0"/>
        <v>0</v>
      </c>
      <c r="E7" s="28"/>
      <c r="F7" s="28"/>
      <c r="G7" s="28"/>
      <c r="H7" s="28"/>
      <c r="I7" s="28"/>
      <c r="J7" s="28"/>
      <c r="K7" s="28"/>
      <c r="L7" s="28"/>
      <c r="M7" s="28"/>
      <c r="N7" s="28"/>
      <c r="O7" s="28"/>
      <c r="P7" s="28"/>
    </row>
    <row r="8" spans="1:16" ht="81" customHeight="1" x14ac:dyDescent="0.25">
      <c r="A8" s="37" t="s">
        <v>18</v>
      </c>
      <c r="B8" s="5" t="s">
        <v>25</v>
      </c>
      <c r="C8" s="31">
        <v>1</v>
      </c>
      <c r="D8" s="24">
        <f t="shared" si="0"/>
        <v>0</v>
      </c>
      <c r="E8" s="28"/>
      <c r="F8" s="28"/>
      <c r="G8" s="28"/>
      <c r="H8" s="28"/>
      <c r="I8" s="28"/>
      <c r="J8" s="28"/>
      <c r="K8" s="28"/>
      <c r="L8" s="28"/>
      <c r="M8" s="28"/>
      <c r="N8" s="28"/>
      <c r="O8" s="28"/>
      <c r="P8" s="28"/>
    </row>
    <row r="9" spans="1:16" ht="28.5" customHeight="1" x14ac:dyDescent="0.25">
      <c r="A9" s="51" t="s">
        <v>64</v>
      </c>
      <c r="B9" s="32" t="s">
        <v>65</v>
      </c>
      <c r="C9" s="31">
        <v>3</v>
      </c>
      <c r="D9" s="24">
        <f t="shared" ref="D9:D36" si="1">SUM(E9:P9)</f>
        <v>1</v>
      </c>
      <c r="E9" s="28"/>
      <c r="F9" s="28">
        <v>1</v>
      </c>
      <c r="G9" s="28"/>
      <c r="H9" s="28"/>
      <c r="I9" s="28"/>
      <c r="J9" s="28"/>
      <c r="K9" s="28"/>
      <c r="L9" s="28"/>
      <c r="M9" s="28"/>
      <c r="N9" s="28"/>
      <c r="O9" s="28"/>
      <c r="P9" s="28"/>
    </row>
    <row r="10" spans="1:16" ht="28.5" customHeight="1" x14ac:dyDescent="0.25">
      <c r="A10" s="52"/>
      <c r="B10" s="32" t="s">
        <v>66</v>
      </c>
      <c r="C10" s="31">
        <v>0</v>
      </c>
      <c r="D10" s="24">
        <f t="shared" si="1"/>
        <v>0</v>
      </c>
      <c r="E10" s="28"/>
      <c r="F10" s="28"/>
      <c r="G10" s="28"/>
      <c r="H10" s="28"/>
      <c r="I10" s="28"/>
      <c r="J10" s="28"/>
      <c r="K10" s="28"/>
      <c r="L10" s="28"/>
      <c r="M10" s="28"/>
      <c r="N10" s="28"/>
      <c r="O10" s="28"/>
      <c r="P10" s="28"/>
    </row>
    <row r="11" spans="1:16" ht="28.5" customHeight="1" x14ac:dyDescent="0.25">
      <c r="A11" s="52"/>
      <c r="B11" s="32" t="s">
        <v>67</v>
      </c>
      <c r="C11" s="31">
        <v>84</v>
      </c>
      <c r="D11" s="24">
        <f t="shared" si="1"/>
        <v>17</v>
      </c>
      <c r="E11" s="28">
        <v>5</v>
      </c>
      <c r="F11" s="28">
        <v>6</v>
      </c>
      <c r="G11" s="28">
        <v>3</v>
      </c>
      <c r="H11" s="28"/>
      <c r="I11" s="28">
        <v>3</v>
      </c>
      <c r="J11" s="28"/>
      <c r="K11" s="28"/>
      <c r="L11" s="28"/>
      <c r="M11" s="28"/>
      <c r="N11" s="28"/>
      <c r="O11" s="28"/>
      <c r="P11" s="28"/>
    </row>
    <row r="12" spans="1:16" ht="28.5" customHeight="1" x14ac:dyDescent="0.25">
      <c r="A12" s="52"/>
      <c r="B12" s="32" t="s">
        <v>68</v>
      </c>
      <c r="C12" s="31">
        <v>63</v>
      </c>
      <c r="D12" s="24">
        <f t="shared" si="1"/>
        <v>0</v>
      </c>
      <c r="E12" s="28"/>
      <c r="F12" s="28"/>
      <c r="G12" s="28"/>
      <c r="H12" s="28"/>
      <c r="I12" s="28"/>
      <c r="J12" s="28"/>
      <c r="K12" s="28"/>
      <c r="L12" s="28"/>
      <c r="M12" s="28"/>
      <c r="N12" s="28"/>
      <c r="O12" s="28"/>
      <c r="P12" s="28"/>
    </row>
    <row r="13" spans="1:16" ht="28.5" customHeight="1" x14ac:dyDescent="0.25">
      <c r="A13" s="52"/>
      <c r="B13" s="32" t="s">
        <v>69</v>
      </c>
      <c r="C13" s="31">
        <v>9</v>
      </c>
      <c r="D13" s="24">
        <f t="shared" si="1"/>
        <v>0</v>
      </c>
      <c r="E13" s="28"/>
      <c r="F13" s="28"/>
      <c r="G13" s="28"/>
      <c r="H13" s="28"/>
      <c r="I13" s="28"/>
      <c r="J13" s="28"/>
      <c r="K13" s="28"/>
      <c r="L13" s="28"/>
      <c r="M13" s="28"/>
      <c r="N13" s="28"/>
      <c r="O13" s="28"/>
      <c r="P13" s="28"/>
    </row>
    <row r="14" spans="1:16" ht="28.5" customHeight="1" x14ac:dyDescent="0.25">
      <c r="A14" s="52"/>
      <c r="B14" s="32" t="s">
        <v>70</v>
      </c>
      <c r="C14" s="31">
        <v>0</v>
      </c>
      <c r="D14" s="24">
        <f t="shared" si="1"/>
        <v>0</v>
      </c>
      <c r="E14" s="28"/>
      <c r="F14" s="28"/>
      <c r="G14" s="28"/>
      <c r="H14" s="28"/>
      <c r="I14" s="28"/>
      <c r="J14" s="28"/>
      <c r="K14" s="28"/>
      <c r="L14" s="28"/>
      <c r="M14" s="28"/>
      <c r="N14" s="28"/>
      <c r="O14" s="28"/>
      <c r="P14" s="28"/>
    </row>
    <row r="15" spans="1:16" ht="28.5" customHeight="1" x14ac:dyDescent="0.25">
      <c r="A15" s="52"/>
      <c r="B15" s="32" t="s">
        <v>71</v>
      </c>
      <c r="C15" s="31">
        <v>0</v>
      </c>
      <c r="D15" s="24">
        <f t="shared" si="1"/>
        <v>0</v>
      </c>
      <c r="E15" s="28"/>
      <c r="F15" s="28"/>
      <c r="G15" s="28"/>
      <c r="H15" s="28"/>
      <c r="I15" s="28"/>
      <c r="J15" s="28"/>
      <c r="K15" s="28"/>
      <c r="L15" s="28"/>
      <c r="M15" s="28"/>
      <c r="N15" s="28"/>
      <c r="O15" s="28"/>
      <c r="P15" s="28"/>
    </row>
    <row r="16" spans="1:16" ht="28.5" customHeight="1" x14ac:dyDescent="0.25">
      <c r="A16" s="52"/>
      <c r="B16" s="32" t="s">
        <v>72</v>
      </c>
      <c r="C16" s="31">
        <v>0</v>
      </c>
      <c r="D16" s="24">
        <f t="shared" si="1"/>
        <v>0</v>
      </c>
      <c r="E16" s="28"/>
      <c r="F16" s="28"/>
      <c r="G16" s="28"/>
      <c r="H16" s="28"/>
      <c r="I16" s="28"/>
      <c r="J16" s="28"/>
      <c r="K16" s="28"/>
      <c r="L16" s="28"/>
      <c r="M16" s="28"/>
      <c r="N16" s="28"/>
      <c r="O16" s="28"/>
      <c r="P16" s="28"/>
    </row>
    <row r="17" spans="1:16" ht="28.5" customHeight="1" x14ac:dyDescent="0.25">
      <c r="A17" s="52"/>
      <c r="B17" s="32" t="s">
        <v>73</v>
      </c>
      <c r="C17" s="31">
        <v>0</v>
      </c>
      <c r="D17" s="24">
        <f t="shared" si="1"/>
        <v>0</v>
      </c>
      <c r="E17" s="28"/>
      <c r="F17" s="28"/>
      <c r="G17" s="28"/>
      <c r="H17" s="28"/>
      <c r="I17" s="28"/>
      <c r="J17" s="28"/>
      <c r="K17" s="28"/>
      <c r="L17" s="28"/>
      <c r="M17" s="28"/>
      <c r="N17" s="28"/>
      <c r="O17" s="28"/>
      <c r="P17" s="28"/>
    </row>
    <row r="18" spans="1:16" ht="28.5" customHeight="1" x14ac:dyDescent="0.25">
      <c r="A18" s="52"/>
      <c r="B18" s="32" t="s">
        <v>74</v>
      </c>
      <c r="C18" s="31">
        <v>0</v>
      </c>
      <c r="D18" s="24">
        <f t="shared" si="1"/>
        <v>0</v>
      </c>
      <c r="E18" s="28"/>
      <c r="F18" s="28"/>
      <c r="G18" s="28"/>
      <c r="H18" s="28"/>
      <c r="I18" s="28"/>
      <c r="J18" s="28"/>
      <c r="K18" s="28"/>
      <c r="L18" s="28"/>
      <c r="M18" s="28"/>
      <c r="N18" s="28"/>
      <c r="O18" s="28"/>
      <c r="P18" s="28"/>
    </row>
    <row r="19" spans="1:16" ht="28.5" customHeight="1" x14ac:dyDescent="0.25">
      <c r="A19" s="52"/>
      <c r="B19" s="32" t="s">
        <v>75</v>
      </c>
      <c r="C19" s="31">
        <v>0</v>
      </c>
      <c r="D19" s="24">
        <f t="shared" si="1"/>
        <v>0</v>
      </c>
      <c r="E19" s="28"/>
      <c r="F19" s="28"/>
      <c r="G19" s="28"/>
      <c r="H19" s="28"/>
      <c r="I19" s="28"/>
      <c r="J19" s="28"/>
      <c r="K19" s="28"/>
      <c r="L19" s="28"/>
      <c r="M19" s="28"/>
      <c r="N19" s="28"/>
      <c r="O19" s="28"/>
      <c r="P19" s="28"/>
    </row>
    <row r="20" spans="1:16" ht="28.5" customHeight="1" x14ac:dyDescent="0.25">
      <c r="A20" s="52"/>
      <c r="B20" s="32" t="s">
        <v>76</v>
      </c>
      <c r="C20" s="31">
        <v>0</v>
      </c>
      <c r="D20" s="24">
        <f t="shared" si="1"/>
        <v>0</v>
      </c>
      <c r="E20" s="28"/>
      <c r="F20" s="28"/>
      <c r="G20" s="28"/>
      <c r="H20" s="28"/>
      <c r="I20" s="28"/>
      <c r="J20" s="28"/>
      <c r="K20" s="28"/>
      <c r="L20" s="28"/>
      <c r="M20" s="28"/>
      <c r="N20" s="28"/>
      <c r="O20" s="28"/>
      <c r="P20" s="28"/>
    </row>
    <row r="21" spans="1:16" ht="28.5" customHeight="1" x14ac:dyDescent="0.25">
      <c r="A21" s="52"/>
      <c r="B21" s="32" t="s">
        <v>77</v>
      </c>
      <c r="C21" s="31">
        <v>0</v>
      </c>
      <c r="D21" s="24">
        <f t="shared" si="1"/>
        <v>0</v>
      </c>
      <c r="E21" s="28"/>
      <c r="F21" s="28"/>
      <c r="G21" s="28"/>
      <c r="H21" s="28"/>
      <c r="I21" s="28"/>
      <c r="J21" s="28"/>
      <c r="K21" s="28"/>
      <c r="L21" s="28"/>
      <c r="M21" s="28"/>
      <c r="N21" s="28"/>
      <c r="O21" s="28"/>
      <c r="P21" s="28"/>
    </row>
    <row r="22" spans="1:16" ht="28.5" customHeight="1" x14ac:dyDescent="0.25">
      <c r="A22" s="52"/>
      <c r="B22" s="32" t="s">
        <v>78</v>
      </c>
      <c r="C22" s="31">
        <v>0</v>
      </c>
      <c r="D22" s="24">
        <f t="shared" si="1"/>
        <v>0</v>
      </c>
      <c r="E22" s="28"/>
      <c r="F22" s="28"/>
      <c r="G22" s="28"/>
      <c r="H22" s="28"/>
      <c r="I22" s="28"/>
      <c r="J22" s="28"/>
      <c r="K22" s="28"/>
      <c r="L22" s="28"/>
      <c r="M22" s="28"/>
      <c r="N22" s="28"/>
      <c r="O22" s="28"/>
      <c r="P22" s="28"/>
    </row>
    <row r="23" spans="1:16" ht="28.5" customHeight="1" x14ac:dyDescent="0.25">
      <c r="A23" s="52"/>
      <c r="B23" s="32" t="s">
        <v>79</v>
      </c>
      <c r="C23" s="31">
        <v>96</v>
      </c>
      <c r="D23" s="24">
        <f t="shared" si="1"/>
        <v>36</v>
      </c>
      <c r="E23" s="28"/>
      <c r="F23" s="28"/>
      <c r="G23" s="28"/>
      <c r="H23" s="28">
        <v>36</v>
      </c>
      <c r="I23" s="28"/>
      <c r="J23" s="28"/>
      <c r="K23" s="28"/>
      <c r="L23" s="28"/>
      <c r="M23" s="28"/>
      <c r="N23" s="28"/>
      <c r="O23" s="28"/>
      <c r="P23" s="28"/>
    </row>
    <row r="24" spans="1:16" ht="28.5" customHeight="1" x14ac:dyDescent="0.25">
      <c r="A24" s="52"/>
      <c r="B24" s="32" t="s">
        <v>80</v>
      </c>
      <c r="C24" s="31">
        <v>0</v>
      </c>
      <c r="D24" s="24">
        <f t="shared" si="1"/>
        <v>0</v>
      </c>
      <c r="E24" s="28"/>
      <c r="F24" s="28"/>
      <c r="G24" s="28"/>
      <c r="H24" s="28"/>
      <c r="I24" s="28"/>
      <c r="J24" s="28"/>
      <c r="K24" s="28"/>
      <c r="L24" s="28"/>
      <c r="M24" s="28"/>
      <c r="N24" s="28"/>
      <c r="O24" s="28"/>
      <c r="P24" s="28"/>
    </row>
    <row r="25" spans="1:16" ht="24" customHeight="1" x14ac:dyDescent="0.25">
      <c r="A25" s="52"/>
      <c r="B25" s="33" t="s">
        <v>81</v>
      </c>
      <c r="C25" s="31">
        <v>8</v>
      </c>
      <c r="D25" s="24">
        <f t="shared" si="1"/>
        <v>0</v>
      </c>
      <c r="E25" s="28"/>
      <c r="F25" s="28"/>
      <c r="G25" s="28"/>
      <c r="H25" s="28"/>
      <c r="I25" s="28"/>
      <c r="J25" s="28"/>
      <c r="K25" s="28"/>
      <c r="L25" s="28"/>
      <c r="M25" s="28"/>
      <c r="N25" s="28"/>
      <c r="O25" s="28"/>
      <c r="P25" s="28"/>
    </row>
    <row r="26" spans="1:16" ht="24" customHeight="1" x14ac:dyDescent="0.25">
      <c r="A26" s="52"/>
      <c r="B26" s="33" t="s">
        <v>82</v>
      </c>
      <c r="C26" s="31">
        <v>8</v>
      </c>
      <c r="D26" s="24">
        <f t="shared" si="1"/>
        <v>0</v>
      </c>
      <c r="E26" s="28"/>
      <c r="F26" s="28"/>
      <c r="G26" s="28"/>
      <c r="H26" s="28"/>
      <c r="I26" s="28"/>
      <c r="J26" s="28"/>
      <c r="K26" s="28"/>
      <c r="L26" s="28"/>
      <c r="M26" s="28"/>
      <c r="N26" s="28"/>
      <c r="O26" s="28"/>
      <c r="P26" s="28"/>
    </row>
    <row r="27" spans="1:16" ht="24" customHeight="1" x14ac:dyDescent="0.25">
      <c r="A27" s="52"/>
      <c r="B27" s="33" t="s">
        <v>83</v>
      </c>
      <c r="C27" s="31">
        <v>8</v>
      </c>
      <c r="D27" s="24">
        <f t="shared" si="1"/>
        <v>0</v>
      </c>
      <c r="E27" s="28"/>
      <c r="F27" s="28"/>
      <c r="G27" s="28"/>
      <c r="H27" s="28"/>
      <c r="I27" s="28"/>
      <c r="J27" s="28"/>
      <c r="K27" s="28"/>
      <c r="L27" s="28"/>
      <c r="M27" s="28"/>
      <c r="N27" s="28"/>
      <c r="O27" s="28"/>
      <c r="P27" s="28"/>
    </row>
    <row r="28" spans="1:16" ht="24" customHeight="1" x14ac:dyDescent="0.25">
      <c r="A28" s="52"/>
      <c r="B28" s="33" t="s">
        <v>84</v>
      </c>
      <c r="C28" s="31">
        <v>8</v>
      </c>
      <c r="D28" s="24">
        <f t="shared" si="1"/>
        <v>0</v>
      </c>
      <c r="E28" s="28"/>
      <c r="F28" s="28"/>
      <c r="G28" s="28"/>
      <c r="H28" s="28"/>
      <c r="I28" s="28"/>
      <c r="J28" s="28"/>
      <c r="K28" s="28"/>
      <c r="L28" s="28"/>
      <c r="M28" s="28"/>
      <c r="N28" s="28"/>
      <c r="O28" s="28"/>
      <c r="P28" s="28"/>
    </row>
    <row r="29" spans="1:16" ht="24" customHeight="1" x14ac:dyDescent="0.25">
      <c r="A29" s="52"/>
      <c r="B29" s="33" t="s">
        <v>85</v>
      </c>
      <c r="C29" s="31">
        <v>8</v>
      </c>
      <c r="D29" s="24">
        <f t="shared" si="1"/>
        <v>0</v>
      </c>
      <c r="E29" s="28"/>
      <c r="F29" s="28"/>
      <c r="G29" s="28"/>
      <c r="H29" s="28"/>
      <c r="I29" s="28"/>
      <c r="J29" s="28"/>
      <c r="K29" s="28"/>
      <c r="L29" s="28"/>
      <c r="M29" s="28"/>
      <c r="N29" s="28"/>
      <c r="O29" s="28"/>
      <c r="P29" s="28"/>
    </row>
    <row r="30" spans="1:16" ht="24" customHeight="1" x14ac:dyDescent="0.25">
      <c r="A30" s="52"/>
      <c r="B30" s="33" t="s">
        <v>86</v>
      </c>
      <c r="C30" s="31">
        <v>1</v>
      </c>
      <c r="D30" s="24">
        <f t="shared" si="1"/>
        <v>0</v>
      </c>
      <c r="E30" s="28"/>
      <c r="F30" s="28"/>
      <c r="G30" s="28"/>
      <c r="H30" s="28"/>
      <c r="I30" s="28"/>
      <c r="J30" s="28"/>
      <c r="K30" s="28"/>
      <c r="L30" s="28"/>
      <c r="M30" s="28"/>
      <c r="N30" s="28"/>
      <c r="O30" s="28"/>
      <c r="P30" s="28"/>
    </row>
    <row r="31" spans="1:16" ht="24" customHeight="1" x14ac:dyDescent="0.25">
      <c r="A31" s="52"/>
      <c r="B31" s="33" t="s">
        <v>87</v>
      </c>
      <c r="C31" s="31">
        <v>1</v>
      </c>
      <c r="D31" s="24">
        <f t="shared" si="1"/>
        <v>0</v>
      </c>
      <c r="E31" s="28"/>
      <c r="F31" s="28"/>
      <c r="G31" s="28"/>
      <c r="H31" s="28"/>
      <c r="I31" s="28"/>
      <c r="J31" s="28"/>
      <c r="K31" s="28"/>
      <c r="L31" s="28"/>
      <c r="M31" s="28"/>
      <c r="N31" s="28"/>
      <c r="O31" s="28"/>
      <c r="P31" s="28"/>
    </row>
    <row r="32" spans="1:16" ht="24" customHeight="1" x14ac:dyDescent="0.25">
      <c r="A32" s="52"/>
      <c r="B32" s="33" t="s">
        <v>88</v>
      </c>
      <c r="C32" s="31">
        <v>1</v>
      </c>
      <c r="D32" s="24">
        <f t="shared" si="1"/>
        <v>0</v>
      </c>
      <c r="E32" s="28"/>
      <c r="F32" s="28"/>
      <c r="G32" s="28"/>
      <c r="H32" s="28"/>
      <c r="I32" s="28"/>
      <c r="J32" s="28"/>
      <c r="K32" s="28"/>
      <c r="L32" s="28"/>
      <c r="M32" s="28"/>
      <c r="N32" s="28"/>
      <c r="O32" s="28"/>
      <c r="P32" s="28"/>
    </row>
    <row r="33" spans="1:16" ht="24" customHeight="1" x14ac:dyDescent="0.25">
      <c r="A33" s="52"/>
      <c r="B33" s="33" t="s">
        <v>89</v>
      </c>
      <c r="C33" s="31">
        <v>1</v>
      </c>
      <c r="D33" s="24">
        <f t="shared" si="1"/>
        <v>0</v>
      </c>
      <c r="E33" s="28"/>
      <c r="F33" s="28"/>
      <c r="G33" s="28"/>
      <c r="H33" s="28"/>
      <c r="I33" s="28"/>
      <c r="J33" s="28"/>
      <c r="K33" s="28"/>
      <c r="L33" s="28"/>
      <c r="M33" s="28"/>
      <c r="N33" s="28"/>
      <c r="O33" s="28"/>
      <c r="P33" s="28"/>
    </row>
    <row r="34" spans="1:16" ht="24" customHeight="1" x14ac:dyDescent="0.25">
      <c r="A34" s="52"/>
      <c r="B34" s="33" t="s">
        <v>90</v>
      </c>
      <c r="C34" s="31">
        <v>1</v>
      </c>
      <c r="D34" s="24">
        <f t="shared" si="1"/>
        <v>0</v>
      </c>
      <c r="E34" s="28"/>
      <c r="F34" s="28"/>
      <c r="G34" s="28"/>
      <c r="H34" s="28"/>
      <c r="I34" s="28"/>
      <c r="J34" s="28"/>
      <c r="K34" s="28"/>
      <c r="L34" s="28"/>
      <c r="M34" s="28"/>
      <c r="N34" s="28"/>
      <c r="O34" s="28"/>
      <c r="P34" s="28"/>
    </row>
    <row r="35" spans="1:16" ht="24" customHeight="1" x14ac:dyDescent="0.25">
      <c r="A35" s="52"/>
      <c r="B35" s="33" t="s">
        <v>91</v>
      </c>
      <c r="C35" s="31">
        <v>1</v>
      </c>
      <c r="D35" s="24">
        <f t="shared" si="1"/>
        <v>0</v>
      </c>
      <c r="E35" s="28"/>
      <c r="F35" s="28"/>
      <c r="G35" s="28"/>
      <c r="H35" s="28"/>
      <c r="I35" s="28"/>
      <c r="J35" s="28"/>
      <c r="K35" s="28"/>
      <c r="L35" s="28"/>
      <c r="M35" s="28"/>
      <c r="N35" s="28"/>
      <c r="O35" s="28"/>
      <c r="P35" s="28"/>
    </row>
    <row r="36" spans="1:16" ht="24" customHeight="1" thickBot="1" x14ac:dyDescent="0.3">
      <c r="A36" s="53"/>
      <c r="B36" s="34" t="s">
        <v>92</v>
      </c>
      <c r="C36" s="31">
        <v>1</v>
      </c>
      <c r="D36" s="24">
        <f t="shared" si="1"/>
        <v>0</v>
      </c>
      <c r="E36" s="28"/>
      <c r="F36" s="28"/>
      <c r="G36" s="28"/>
      <c r="H36" s="28"/>
      <c r="I36" s="28"/>
      <c r="J36" s="28"/>
      <c r="K36" s="28"/>
      <c r="L36" s="28"/>
      <c r="M36" s="28"/>
      <c r="N36" s="28"/>
      <c r="O36" s="28"/>
      <c r="P36" s="28"/>
    </row>
    <row r="37" spans="1:16" x14ac:dyDescent="0.25">
      <c r="C37" s="35">
        <f>SUM(C3:C36)</f>
        <v>312</v>
      </c>
      <c r="D37" s="36">
        <f>SUM(D3:D36)</f>
        <v>58</v>
      </c>
    </row>
    <row r="38" spans="1:16" x14ac:dyDescent="0.25">
      <c r="C38" s="10"/>
      <c r="D38" s="11">
        <f>D37/C37</f>
        <v>0.1858974358974359</v>
      </c>
    </row>
    <row r="44" spans="1:16" ht="15.75" x14ac:dyDescent="0.25">
      <c r="C44" s="47"/>
    </row>
    <row r="45" spans="1:16" x14ac:dyDescent="0.25">
      <c r="C45" s="48"/>
    </row>
    <row r="46" spans="1:16" x14ac:dyDescent="0.25">
      <c r="C46" s="48"/>
    </row>
    <row r="47" spans="1:16" x14ac:dyDescent="0.25">
      <c r="C47" s="48"/>
    </row>
    <row r="48" spans="1:16" x14ac:dyDescent="0.25">
      <c r="C48" s="48"/>
    </row>
    <row r="49" spans="3:3" x14ac:dyDescent="0.25">
      <c r="C49" s="48"/>
    </row>
    <row r="50" spans="3:3" x14ac:dyDescent="0.25">
      <c r="C50" s="48"/>
    </row>
    <row r="51" spans="3:3" x14ac:dyDescent="0.25">
      <c r="C51" s="48"/>
    </row>
    <row r="52" spans="3:3" x14ac:dyDescent="0.25">
      <c r="C52" s="48"/>
    </row>
    <row r="53" spans="3:3" x14ac:dyDescent="0.25">
      <c r="C53" s="48"/>
    </row>
    <row r="54" spans="3:3" x14ac:dyDescent="0.25">
      <c r="C54" s="48"/>
    </row>
    <row r="55" spans="3:3" x14ac:dyDescent="0.25">
      <c r="C55" s="48"/>
    </row>
    <row r="56" spans="3:3" x14ac:dyDescent="0.25">
      <c r="C56" s="48"/>
    </row>
    <row r="57" spans="3:3" x14ac:dyDescent="0.25">
      <c r="C57" s="48"/>
    </row>
    <row r="58" spans="3:3" x14ac:dyDescent="0.25">
      <c r="C58" s="48"/>
    </row>
    <row r="59" spans="3:3" x14ac:dyDescent="0.25">
      <c r="C59" s="48"/>
    </row>
  </sheetData>
  <sheetProtection algorithmName="SHA-512" hashValue="XwocvIMiL/0PZ7JwEK2NHNfnsGBoQWBo9QhO91psQcdBDE6bgzcxDGULs/iHQFlukz2lJgccg4XBJbrZJ94j3Q==" saltValue="Ku6+NeyvgicfWKVIwuUTNg==" spinCount="100000" sheet="1" objects="1" scenarios="1" autoFilter="0"/>
  <mergeCells count="2">
    <mergeCell ref="A1:A2"/>
    <mergeCell ref="A9:A36"/>
  </mergeCells>
  <conditionalFormatting sqref="C3:D3 D4:D8">
    <cfRule type="dataBar" priority="43">
      <dataBar>
        <cfvo type="min"/>
        <cfvo type="max"/>
        <color rgb="FF008AEF"/>
      </dataBar>
      <extLst>
        <ext xmlns:x14="http://schemas.microsoft.com/office/spreadsheetml/2009/9/main" uri="{B025F937-C7B1-47D3-B67F-A62EFF666E3E}">
          <x14:id>{027ECCCA-E721-432D-8C33-14BA9A54063B}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{37957742-16A3-4A4C-8609-DDAB3C53DD7E}</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{6AB975D4-DEE0-464F-B52D-2A0D37A67629}</x14:id>
        </ext>
      </extLst>
    </cfRule>
  </conditionalFormatting>
  <conditionalFormatting sqref="C6:D6">
    <cfRule type="dataBar" priority="6">
      <dataBar>
        <cfvo type="min"/>
        <cfvo type="max"/>
        <color rgb="FF008AEF"/>
      </dataBar>
      <extLst>
        <ext xmlns:x14="http://schemas.microsoft.com/office/spreadsheetml/2009/9/main" uri="{B025F937-C7B1-47D3-B67F-A62EFF666E3E}">
          <x14:id>{76E835BA-00C4-4CA3-B5B0-7AE04620D996}</x14:id>
        </ext>
      </extLst>
    </cfRule>
  </conditionalFormatting>
  <conditionalFormatting sqref="C7:D7">
    <cfRule type="dataBar" priority="7">
      <dataBar>
        <cfvo type="min"/>
        <cfvo type="max"/>
        <color rgb="FF008AEF"/>
      </dataBar>
      <extLst>
        <ext xmlns:x14="http://schemas.microsoft.com/office/spreadsheetml/2009/9/main" uri="{B025F937-C7B1-47D3-B67F-A62EFF666E3E}">
          <x14:id>{82D859CB-17F7-4ADF-A4CE-0F602560CE41}</x14:id>
        </ext>
      </extLst>
    </cfRule>
  </conditionalFormatting>
  <conditionalFormatting sqref="C8:D8">
    <cfRule type="dataBar" priority="8">
      <dataBar>
        <cfvo type="min"/>
        <cfvo type="max"/>
        <color rgb="FF008AEF"/>
      </dataBar>
      <extLst>
        <ext xmlns:x14="http://schemas.microsoft.com/office/spreadsheetml/2009/9/main" uri="{B025F937-C7B1-47D3-B67F-A62EFF666E3E}">
          <x14:id>{B062AE32-F4C6-42EC-85D1-D5C2A8483CC0}</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{DD3851E7-F1C2-4E4B-AAE0-7EED1D2F14E3}</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{6024DE6F-C416-485F-9EA6-0C28F7BDC68A}</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{CE9EF034-DC6A-484C-A134-1F3BE9256641}</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{384E5063-A967-4CA3-BE22-E0E3677445A1}</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{6FB40F6B-7304-49FB-9455-B3D8BF5E2E86}</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{78895E11-D130-4010-8EB8-014AF16AE017}</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{C7756B4E-DA73-43BC-9B98-EAA67F828ACB}</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{D92F5234-8520-46BA-9CE6-6D0970B27D85}</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{7492E0F2-FA71-427A-B173-EC802D1ACE9B}</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{42F500B4-0116-42A5-9048-54F0C36D520B}</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{4143B628-374E-470B-A36A-4064F48E2699}</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{3E5CA74C-F875-4509-AEF2-0A1E61367C7B}</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{280EA36C-F015-4F99-93B0-F92EF884FB1F}</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{07ACE735-76D6-488A-812D-DC978C5DE160}</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{923CC95F-F7AD-4EAD-B225-626C1BC47FE4}</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{F25CA150-E847-4F85-9BF9-A2FE010AC82F}</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{025A9940-DBDC-47DE-954B-20BD71FDC49E}</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{1C66BABA-5FF6-411B-B1B9-A42CEA580D96}</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{79135AF9-6D1C-439B-9CC8-D220DB155B50}</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{65AB1B62-BA92-4842-9FA3-EE56152C0873}</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{1645DF52-EA32-491F-9967-E697728E6FCF}</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{2B7A131E-1F37-4EAE-97B5-48BD341CF267}</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{642403DE-798D-4350-A89D-06976216CBBC}</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{9F6DC962-2679-43AD-89A1-8497E102FA7B}</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{0DDEEB28-49BF-4E0F-B178-BAE019E424AF}</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{A600E895-4DA1-46BF-BF6C-81BEAA80CBF1}</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{782EDB7F-76D1-40F2-ADDE-A15DF5483D48}</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{FF417586-D5E2-4686-9BCA-81CECA6B3F0A}</x14:id>
        </ext>
      </extLst>
    </cfRule>
  </conditionalFormatting>
  <conditionalFormatting sqref="E3:P36">
    <cfRule type="cellIs" dxfId="11"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27ECCCA-E721-432D-8C33-14BA9A54063B}">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37957742-16A3-4A4C-8609-DDAB3C53DD7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AB975D4-DEE0-464F-B52D-2A0D37A6762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6E835BA-00C4-4CA3-B5B0-7AE04620D99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2D859CB-17F7-4ADF-A4CE-0F602560CE41}">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062AE32-F4C6-42EC-85D1-D5C2A8483CC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D3851E7-F1C2-4E4B-AAE0-7EED1D2F14E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6024DE6F-C416-485F-9EA6-0C28F7BDC68A}">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E9EF034-DC6A-484C-A134-1F3BE925664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384E5063-A967-4CA3-BE22-E0E3677445A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6FB40F6B-7304-49FB-9455-B3D8BF5E2E8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8895E11-D130-4010-8EB8-014AF16AE017}">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C7756B4E-DA73-43BC-9B98-EAA67F828AC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D92F5234-8520-46BA-9CE6-6D0970B27D85}">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7492E0F2-FA71-427A-B173-EC802D1ACE9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42F500B4-0116-42A5-9048-54F0C36D520B}">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143B628-374E-470B-A36A-4064F48E2699}">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E5CA74C-F875-4509-AEF2-0A1E61367C7B}">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80EA36C-F015-4F99-93B0-F92EF884FB1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7ACE735-76D6-488A-812D-DC978C5DE160}">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23CC95F-F7AD-4EAD-B225-626C1BC47FE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F25CA150-E847-4F85-9BF9-A2FE010AC82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025A9940-DBDC-47DE-954B-20BD71FDC49E}">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1C66BABA-5FF6-411B-B1B9-A42CEA580D9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79135AF9-6D1C-439B-9CC8-D220DB155B5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5AB1B62-BA92-4842-9FA3-EE56152C087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645DF52-EA32-491F-9967-E697728E6FC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2B7A131E-1F37-4EAE-97B5-48BD341CF26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642403DE-798D-4350-A89D-06976216CBBC}">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F6DC962-2679-43AD-89A1-8497E102FA7B}">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0DDEEB28-49BF-4E0F-B178-BAE019E424A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A600E895-4DA1-46BF-BF6C-81BEAA80CBF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82EDB7F-76D1-40F2-ADDE-A15DF5483D48}">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FF417586-D5E2-4686-9BCA-81CECA6B3F0A}">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58"/>
  <sheetViews>
    <sheetView view="pageBreakPreview" topLeftCell="B1" zoomScale="60" zoomScaleNormal="60" workbookViewId="0">
      <selection activeCell="B3" sqref="B3"/>
    </sheetView>
  </sheetViews>
  <sheetFormatPr baseColWidth="10" defaultColWidth="11.42578125" defaultRowHeight="15" x14ac:dyDescent="0.25"/>
  <cols>
    <col min="1" max="1" width="8.42578125" style="2" customWidth="1"/>
    <col min="2" max="2" width="68.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26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 t="shared" ref="D3:D8" si="0">SUM(E3:P3)</f>
        <v>1</v>
      </c>
      <c r="E3" s="28"/>
      <c r="F3" s="28"/>
      <c r="G3" s="28"/>
      <c r="H3" s="28">
        <v>1</v>
      </c>
      <c r="I3" s="28"/>
      <c r="J3" s="28"/>
      <c r="K3" s="28"/>
      <c r="L3" s="28"/>
      <c r="M3" s="28"/>
      <c r="N3" s="28"/>
      <c r="O3" s="28"/>
      <c r="P3" s="28"/>
    </row>
    <row r="4" spans="1:16" ht="81" customHeight="1" x14ac:dyDescent="0.25">
      <c r="A4" s="38" t="s">
        <v>20</v>
      </c>
      <c r="B4" s="7" t="s">
        <v>19</v>
      </c>
      <c r="C4" s="29">
        <v>2</v>
      </c>
      <c r="D4" s="24">
        <f t="shared" si="0"/>
        <v>0</v>
      </c>
      <c r="E4" s="28">
        <v>0</v>
      </c>
      <c r="F4" s="28">
        <v>0</v>
      </c>
      <c r="G4" s="28">
        <v>0</v>
      </c>
      <c r="H4" s="28">
        <v>0</v>
      </c>
      <c r="I4" s="28"/>
      <c r="J4" s="28"/>
      <c r="K4" s="28"/>
      <c r="L4" s="28"/>
      <c r="M4" s="28"/>
      <c r="N4" s="28"/>
      <c r="O4" s="28"/>
      <c r="P4" s="28"/>
    </row>
    <row r="5" spans="1:16" ht="81" customHeight="1" x14ac:dyDescent="0.25">
      <c r="A5" s="39" t="s">
        <v>22</v>
      </c>
      <c r="B5" s="8" t="s">
        <v>21</v>
      </c>
      <c r="C5" s="30">
        <v>2</v>
      </c>
      <c r="D5" s="24">
        <f t="shared" si="0"/>
        <v>0</v>
      </c>
      <c r="E5" s="28">
        <v>0</v>
      </c>
      <c r="F5" s="28">
        <v>0</v>
      </c>
      <c r="G5" s="28">
        <v>0</v>
      </c>
      <c r="H5" s="28">
        <v>0</v>
      </c>
      <c r="I5" s="28"/>
      <c r="J5" s="28"/>
      <c r="K5" s="28"/>
      <c r="L5" s="28"/>
      <c r="M5" s="28"/>
      <c r="N5" s="28"/>
      <c r="O5" s="28"/>
      <c r="P5" s="28"/>
    </row>
    <row r="6" spans="1:16" ht="81" customHeight="1" x14ac:dyDescent="0.25">
      <c r="A6" s="37" t="s">
        <v>18</v>
      </c>
      <c r="B6" s="5" t="s">
        <v>23</v>
      </c>
      <c r="C6" s="31">
        <v>1</v>
      </c>
      <c r="D6" s="24">
        <f t="shared" si="0"/>
        <v>0</v>
      </c>
      <c r="E6" s="28"/>
      <c r="F6" s="28"/>
      <c r="G6" s="28"/>
      <c r="H6" s="28"/>
      <c r="I6" s="28"/>
      <c r="J6" s="28"/>
      <c r="K6" s="28"/>
      <c r="L6" s="28"/>
      <c r="M6" s="28"/>
      <c r="N6" s="28"/>
      <c r="O6" s="28"/>
      <c r="P6" s="28"/>
    </row>
    <row r="7" spans="1:16" ht="81" customHeight="1" x14ac:dyDescent="0.25">
      <c r="A7" s="37" t="s">
        <v>18</v>
      </c>
      <c r="B7" s="5" t="s">
        <v>24</v>
      </c>
      <c r="C7" s="31">
        <v>2</v>
      </c>
      <c r="D7" s="24">
        <f t="shared" si="0"/>
        <v>3</v>
      </c>
      <c r="E7" s="28">
        <v>2</v>
      </c>
      <c r="F7" s="28"/>
      <c r="G7" s="28"/>
      <c r="H7" s="28">
        <v>1</v>
      </c>
      <c r="I7" s="28"/>
      <c r="J7" s="28"/>
      <c r="K7" s="28"/>
      <c r="L7" s="28"/>
      <c r="M7" s="28"/>
      <c r="N7" s="28"/>
      <c r="O7" s="28"/>
      <c r="P7" s="28"/>
    </row>
    <row r="8" spans="1:16" ht="81" customHeight="1" x14ac:dyDescent="0.25">
      <c r="A8" s="37" t="s">
        <v>18</v>
      </c>
      <c r="B8" s="5" t="s">
        <v>25</v>
      </c>
      <c r="C8" s="31">
        <v>1</v>
      </c>
      <c r="D8" s="24">
        <f t="shared" si="0"/>
        <v>0</v>
      </c>
      <c r="E8" s="28"/>
      <c r="F8" s="28"/>
      <c r="G8" s="28"/>
      <c r="H8" s="28"/>
      <c r="I8" s="28"/>
      <c r="J8" s="28"/>
      <c r="K8" s="28"/>
      <c r="L8" s="28"/>
      <c r="M8" s="28"/>
      <c r="N8" s="28"/>
      <c r="O8" s="28"/>
      <c r="P8" s="28"/>
    </row>
    <row r="9" spans="1:16" ht="28.5" customHeight="1" x14ac:dyDescent="0.25">
      <c r="A9" s="51" t="s">
        <v>64</v>
      </c>
      <c r="B9" s="32" t="s">
        <v>65</v>
      </c>
      <c r="C9" s="31">
        <v>3</v>
      </c>
      <c r="D9" s="24">
        <f t="shared" ref="D9:D36" si="1">SUM(E9:P9)</f>
        <v>1</v>
      </c>
      <c r="E9" s="28"/>
      <c r="F9" s="28"/>
      <c r="G9" s="28"/>
      <c r="H9" s="28"/>
      <c r="I9" s="28"/>
      <c r="J9" s="28">
        <v>1</v>
      </c>
      <c r="K9" s="28"/>
      <c r="L9" s="28"/>
      <c r="M9" s="28"/>
      <c r="N9" s="28"/>
      <c r="O9" s="28"/>
      <c r="P9" s="28"/>
    </row>
    <row r="10" spans="1:16" ht="28.5" customHeight="1" x14ac:dyDescent="0.25">
      <c r="A10" s="52"/>
      <c r="B10" s="32" t="s">
        <v>66</v>
      </c>
      <c r="C10" s="31">
        <v>3</v>
      </c>
      <c r="D10" s="24">
        <f t="shared" si="1"/>
        <v>0</v>
      </c>
      <c r="E10" s="28"/>
      <c r="F10" s="28"/>
      <c r="G10" s="28"/>
      <c r="H10" s="28"/>
      <c r="I10" s="28"/>
      <c r="J10" s="28"/>
      <c r="K10" s="28"/>
      <c r="L10" s="28"/>
      <c r="M10" s="28"/>
      <c r="N10" s="28"/>
      <c r="O10" s="28"/>
      <c r="P10" s="28"/>
    </row>
    <row r="11" spans="1:16" ht="28.5" customHeight="1" x14ac:dyDescent="0.25">
      <c r="A11" s="52"/>
      <c r="B11" s="32" t="s">
        <v>67</v>
      </c>
      <c r="C11" s="31">
        <v>24</v>
      </c>
      <c r="D11" s="24">
        <f t="shared" si="1"/>
        <v>18</v>
      </c>
      <c r="E11" s="28"/>
      <c r="F11" s="28">
        <v>4</v>
      </c>
      <c r="G11" s="28">
        <v>4</v>
      </c>
      <c r="H11" s="28"/>
      <c r="I11" s="28">
        <v>6</v>
      </c>
      <c r="J11" s="28">
        <v>4</v>
      </c>
      <c r="K11" s="28"/>
      <c r="L11" s="28"/>
      <c r="M11" s="28"/>
      <c r="N11" s="28"/>
      <c r="O11" s="28"/>
      <c r="P11" s="28"/>
    </row>
    <row r="12" spans="1:16" ht="28.5" customHeight="1" x14ac:dyDescent="0.25">
      <c r="A12" s="52"/>
      <c r="B12" s="32" t="s">
        <v>68</v>
      </c>
      <c r="C12" s="31">
        <v>0</v>
      </c>
      <c r="D12" s="24">
        <f t="shared" si="1"/>
        <v>0</v>
      </c>
      <c r="E12" s="28"/>
      <c r="F12" s="28"/>
      <c r="G12" s="28"/>
      <c r="H12" s="28"/>
      <c r="I12" s="28"/>
      <c r="J12" s="28"/>
      <c r="K12" s="28"/>
      <c r="L12" s="28"/>
      <c r="M12" s="28"/>
      <c r="N12" s="28"/>
      <c r="O12" s="28"/>
      <c r="P12" s="28"/>
    </row>
    <row r="13" spans="1:16" ht="28.5" customHeight="1" x14ac:dyDescent="0.25">
      <c r="A13" s="52"/>
      <c r="B13" s="32" t="s">
        <v>69</v>
      </c>
      <c r="C13" s="31">
        <v>11</v>
      </c>
      <c r="D13" s="24">
        <f t="shared" si="1"/>
        <v>7</v>
      </c>
      <c r="E13" s="28">
        <v>2</v>
      </c>
      <c r="F13" s="28"/>
      <c r="G13" s="28"/>
      <c r="H13" s="28">
        <v>2</v>
      </c>
      <c r="I13" s="28">
        <v>3</v>
      </c>
      <c r="J13" s="28"/>
      <c r="K13" s="28"/>
      <c r="L13" s="28"/>
      <c r="M13" s="28"/>
      <c r="N13" s="28"/>
      <c r="O13" s="28"/>
      <c r="P13" s="28"/>
    </row>
    <row r="14" spans="1:16" ht="28.5" customHeight="1" x14ac:dyDescent="0.25">
      <c r="A14" s="52"/>
      <c r="B14" s="32" t="s">
        <v>70</v>
      </c>
      <c r="C14" s="31">
        <v>5</v>
      </c>
      <c r="D14" s="24">
        <f t="shared" si="1"/>
        <v>0</v>
      </c>
      <c r="E14" s="28"/>
      <c r="F14" s="28"/>
      <c r="G14" s="28"/>
      <c r="H14" s="28"/>
      <c r="I14" s="28"/>
      <c r="J14" s="28"/>
      <c r="K14" s="28"/>
      <c r="L14" s="28"/>
      <c r="M14" s="28"/>
      <c r="N14" s="28"/>
      <c r="O14" s="28"/>
      <c r="P14" s="28"/>
    </row>
    <row r="15" spans="1:16" ht="28.5" customHeight="1" x14ac:dyDescent="0.25">
      <c r="A15" s="52"/>
      <c r="B15" s="32" t="s">
        <v>71</v>
      </c>
      <c r="C15" s="31">
        <v>0</v>
      </c>
      <c r="D15" s="24">
        <f t="shared" si="1"/>
        <v>0</v>
      </c>
      <c r="E15" s="28"/>
      <c r="F15" s="28"/>
      <c r="G15" s="28"/>
      <c r="H15" s="28"/>
      <c r="I15" s="28"/>
      <c r="J15" s="28"/>
      <c r="K15" s="28"/>
      <c r="L15" s="28"/>
      <c r="M15" s="28"/>
      <c r="N15" s="28"/>
      <c r="O15" s="28"/>
      <c r="P15" s="28"/>
    </row>
    <row r="16" spans="1:16" ht="28.5" customHeight="1" x14ac:dyDescent="0.25">
      <c r="A16" s="52"/>
      <c r="B16" s="32" t="s">
        <v>72</v>
      </c>
      <c r="C16" s="31">
        <v>2</v>
      </c>
      <c r="D16" s="24">
        <f t="shared" si="1"/>
        <v>0</v>
      </c>
      <c r="E16" s="28"/>
      <c r="F16" s="28"/>
      <c r="G16" s="28"/>
      <c r="H16" s="28"/>
      <c r="I16" s="28"/>
      <c r="J16" s="28"/>
      <c r="K16" s="28"/>
      <c r="L16" s="28"/>
      <c r="M16" s="28"/>
      <c r="N16" s="28"/>
      <c r="O16" s="28"/>
      <c r="P16" s="28"/>
    </row>
    <row r="17" spans="1:16" ht="28.5" customHeight="1" x14ac:dyDescent="0.25">
      <c r="A17" s="52"/>
      <c r="B17" s="32" t="s">
        <v>73</v>
      </c>
      <c r="C17" s="31">
        <v>0</v>
      </c>
      <c r="D17" s="24">
        <f t="shared" si="1"/>
        <v>0</v>
      </c>
      <c r="E17" s="28"/>
      <c r="F17" s="28"/>
      <c r="G17" s="28"/>
      <c r="H17" s="28"/>
      <c r="I17" s="28"/>
      <c r="J17" s="28"/>
      <c r="K17" s="28"/>
      <c r="L17" s="28"/>
      <c r="M17" s="28"/>
      <c r="N17" s="28"/>
      <c r="O17" s="28"/>
      <c r="P17" s="28"/>
    </row>
    <row r="18" spans="1:16" ht="28.5" customHeight="1" x14ac:dyDescent="0.25">
      <c r="A18" s="52"/>
      <c r="B18" s="32" t="s">
        <v>74</v>
      </c>
      <c r="C18" s="31">
        <v>2</v>
      </c>
      <c r="D18" s="24">
        <f t="shared" si="1"/>
        <v>0</v>
      </c>
      <c r="E18" s="28"/>
      <c r="F18" s="28"/>
      <c r="G18" s="28"/>
      <c r="H18" s="28"/>
      <c r="I18" s="28"/>
      <c r="J18" s="28"/>
      <c r="K18" s="28"/>
      <c r="L18" s="28"/>
      <c r="M18" s="28"/>
      <c r="N18" s="28"/>
      <c r="O18" s="28"/>
      <c r="P18" s="28"/>
    </row>
    <row r="19" spans="1:16" ht="28.5" customHeight="1" x14ac:dyDescent="0.25">
      <c r="A19" s="52"/>
      <c r="B19" s="32" t="s">
        <v>75</v>
      </c>
      <c r="C19" s="31">
        <v>2</v>
      </c>
      <c r="D19" s="24">
        <f t="shared" si="1"/>
        <v>0</v>
      </c>
      <c r="E19" s="28"/>
      <c r="F19" s="28"/>
      <c r="G19" s="28"/>
      <c r="H19" s="28"/>
      <c r="I19" s="28"/>
      <c r="J19" s="28"/>
      <c r="K19" s="28"/>
      <c r="L19" s="28"/>
      <c r="M19" s="28"/>
      <c r="N19" s="28"/>
      <c r="O19" s="28"/>
      <c r="P19" s="28"/>
    </row>
    <row r="20" spans="1:16" ht="28.5" customHeight="1" x14ac:dyDescent="0.25">
      <c r="A20" s="52"/>
      <c r="B20" s="32" t="s">
        <v>76</v>
      </c>
      <c r="C20" s="31">
        <v>0</v>
      </c>
      <c r="D20" s="24">
        <f t="shared" si="1"/>
        <v>0</v>
      </c>
      <c r="E20" s="28"/>
      <c r="F20" s="28"/>
      <c r="G20" s="28"/>
      <c r="H20" s="28"/>
      <c r="I20" s="28"/>
      <c r="J20" s="28"/>
      <c r="K20" s="28"/>
      <c r="L20" s="28"/>
      <c r="M20" s="28"/>
      <c r="N20" s="28"/>
      <c r="O20" s="28"/>
      <c r="P20" s="28"/>
    </row>
    <row r="21" spans="1:16" ht="28.5" customHeight="1" x14ac:dyDescent="0.25">
      <c r="A21" s="52"/>
      <c r="B21" s="32" t="s">
        <v>77</v>
      </c>
      <c r="C21" s="31">
        <v>0</v>
      </c>
      <c r="D21" s="24">
        <f t="shared" si="1"/>
        <v>0</v>
      </c>
      <c r="E21" s="28"/>
      <c r="F21" s="28"/>
      <c r="G21" s="28"/>
      <c r="H21" s="28"/>
      <c r="I21" s="28"/>
      <c r="J21" s="28"/>
      <c r="K21" s="28"/>
      <c r="L21" s="28"/>
      <c r="M21" s="28"/>
      <c r="N21" s="28"/>
      <c r="O21" s="28"/>
      <c r="P21" s="28"/>
    </row>
    <row r="22" spans="1:16" ht="28.5" customHeight="1" x14ac:dyDescent="0.25">
      <c r="A22" s="52"/>
      <c r="B22" s="32" t="s">
        <v>78</v>
      </c>
      <c r="C22" s="31">
        <v>0</v>
      </c>
      <c r="D22" s="24">
        <f t="shared" si="1"/>
        <v>0</v>
      </c>
      <c r="E22" s="28"/>
      <c r="F22" s="28"/>
      <c r="G22" s="28"/>
      <c r="H22" s="28"/>
      <c r="I22" s="28"/>
      <c r="J22" s="28"/>
      <c r="K22" s="28"/>
      <c r="L22" s="28"/>
      <c r="M22" s="28"/>
      <c r="N22" s="28"/>
      <c r="O22" s="28"/>
      <c r="P22" s="28"/>
    </row>
    <row r="23" spans="1:16" ht="28.5" customHeight="1" x14ac:dyDescent="0.25">
      <c r="A23" s="52"/>
      <c r="B23" s="32" t="s">
        <v>79</v>
      </c>
      <c r="C23" s="31">
        <v>64</v>
      </c>
      <c r="D23" s="24">
        <f t="shared" si="1"/>
        <v>16</v>
      </c>
      <c r="E23" s="28">
        <v>16</v>
      </c>
      <c r="F23" s="28"/>
      <c r="G23" s="28"/>
      <c r="H23" s="28"/>
      <c r="I23" s="28"/>
      <c r="J23" s="28"/>
      <c r="K23" s="28"/>
      <c r="L23" s="28"/>
      <c r="M23" s="28"/>
      <c r="N23" s="28"/>
      <c r="O23" s="28"/>
      <c r="P23" s="28"/>
    </row>
    <row r="24" spans="1:16" ht="28.5" customHeight="1" x14ac:dyDescent="0.25">
      <c r="A24" s="52"/>
      <c r="B24" s="32" t="s">
        <v>80</v>
      </c>
      <c r="C24" s="31">
        <v>2</v>
      </c>
      <c r="D24" s="24">
        <f t="shared" si="1"/>
        <v>0</v>
      </c>
      <c r="E24" s="28"/>
      <c r="F24" s="28"/>
      <c r="G24" s="28"/>
      <c r="H24" s="28"/>
      <c r="I24" s="28"/>
      <c r="J24" s="28"/>
      <c r="K24" s="28"/>
      <c r="L24" s="28"/>
      <c r="M24" s="28"/>
      <c r="N24" s="28"/>
      <c r="O24" s="28"/>
      <c r="P24" s="28"/>
    </row>
    <row r="25" spans="1:16" ht="24" customHeight="1" x14ac:dyDescent="0.25">
      <c r="A25" s="52"/>
      <c r="B25" s="33" t="s">
        <v>81</v>
      </c>
      <c r="C25" s="31">
        <v>5</v>
      </c>
      <c r="D25" s="24">
        <f t="shared" si="1"/>
        <v>0</v>
      </c>
      <c r="E25" s="28"/>
      <c r="F25" s="28"/>
      <c r="G25" s="28"/>
      <c r="H25" s="28"/>
      <c r="I25" s="28"/>
      <c r="J25" s="28"/>
      <c r="K25" s="28"/>
      <c r="L25" s="28"/>
      <c r="M25" s="28"/>
      <c r="N25" s="28"/>
      <c r="O25" s="28"/>
      <c r="P25" s="28"/>
    </row>
    <row r="26" spans="1:16" ht="24" customHeight="1" x14ac:dyDescent="0.25">
      <c r="A26" s="52"/>
      <c r="B26" s="33" t="s">
        <v>82</v>
      </c>
      <c r="C26" s="31">
        <v>5</v>
      </c>
      <c r="D26" s="24">
        <f t="shared" si="1"/>
        <v>0</v>
      </c>
      <c r="E26" s="28"/>
      <c r="F26" s="28"/>
      <c r="G26" s="28"/>
      <c r="H26" s="28"/>
      <c r="I26" s="28"/>
      <c r="J26" s="28"/>
      <c r="K26" s="28"/>
      <c r="L26" s="28"/>
      <c r="M26" s="28"/>
      <c r="N26" s="28"/>
      <c r="O26" s="28"/>
      <c r="P26" s="28"/>
    </row>
    <row r="27" spans="1:16" ht="24" customHeight="1" x14ac:dyDescent="0.25">
      <c r="A27" s="52"/>
      <c r="B27" s="33" t="s">
        <v>83</v>
      </c>
      <c r="C27" s="31">
        <v>5</v>
      </c>
      <c r="D27" s="24">
        <f t="shared" si="1"/>
        <v>0</v>
      </c>
      <c r="E27" s="28"/>
      <c r="F27" s="28"/>
      <c r="G27" s="28"/>
      <c r="H27" s="28"/>
      <c r="I27" s="28"/>
      <c r="J27" s="28"/>
      <c r="K27" s="28"/>
      <c r="L27" s="28"/>
      <c r="M27" s="28"/>
      <c r="N27" s="28"/>
      <c r="O27" s="28"/>
      <c r="P27" s="28"/>
    </row>
    <row r="28" spans="1:16" ht="24" customHeight="1" x14ac:dyDescent="0.25">
      <c r="A28" s="52"/>
      <c r="B28" s="33" t="s">
        <v>84</v>
      </c>
      <c r="C28" s="31">
        <v>5</v>
      </c>
      <c r="D28" s="24">
        <f t="shared" si="1"/>
        <v>0</v>
      </c>
      <c r="E28" s="28"/>
      <c r="F28" s="28"/>
      <c r="G28" s="28"/>
      <c r="H28" s="28"/>
      <c r="I28" s="28"/>
      <c r="J28" s="28"/>
      <c r="K28" s="28"/>
      <c r="L28" s="28"/>
      <c r="M28" s="28"/>
      <c r="N28" s="28"/>
      <c r="O28" s="28"/>
      <c r="P28" s="28"/>
    </row>
    <row r="29" spans="1:16" ht="24" customHeight="1" x14ac:dyDescent="0.25">
      <c r="A29" s="52"/>
      <c r="B29" s="33" t="s">
        <v>85</v>
      </c>
      <c r="C29" s="31">
        <v>5</v>
      </c>
      <c r="D29" s="24">
        <f t="shared" si="1"/>
        <v>0</v>
      </c>
      <c r="E29" s="28"/>
      <c r="F29" s="28"/>
      <c r="G29" s="28"/>
      <c r="H29" s="28"/>
      <c r="I29" s="28"/>
      <c r="J29" s="28"/>
      <c r="K29" s="28"/>
      <c r="L29" s="28"/>
      <c r="M29" s="28"/>
      <c r="N29" s="28"/>
      <c r="O29" s="28"/>
      <c r="P29" s="28"/>
    </row>
    <row r="30" spans="1:16" ht="24" customHeight="1" x14ac:dyDescent="0.25">
      <c r="A30" s="52"/>
      <c r="B30" s="33" t="s">
        <v>86</v>
      </c>
      <c r="C30" s="31">
        <v>1</v>
      </c>
      <c r="D30" s="24">
        <f t="shared" si="1"/>
        <v>0</v>
      </c>
      <c r="E30" s="28"/>
      <c r="F30" s="28"/>
      <c r="G30" s="28"/>
      <c r="H30" s="28"/>
      <c r="I30" s="28"/>
      <c r="J30" s="28"/>
      <c r="K30" s="28"/>
      <c r="L30" s="28"/>
      <c r="M30" s="28"/>
      <c r="N30" s="28"/>
      <c r="O30" s="28"/>
      <c r="P30" s="28"/>
    </row>
    <row r="31" spans="1:16" ht="24" customHeight="1" x14ac:dyDescent="0.25">
      <c r="A31" s="52"/>
      <c r="B31" s="33" t="s">
        <v>87</v>
      </c>
      <c r="C31" s="31">
        <v>1</v>
      </c>
      <c r="D31" s="24">
        <f t="shared" si="1"/>
        <v>0</v>
      </c>
      <c r="E31" s="28"/>
      <c r="F31" s="28"/>
      <c r="G31" s="28"/>
      <c r="H31" s="28"/>
      <c r="I31" s="28"/>
      <c r="J31" s="28"/>
      <c r="K31" s="28"/>
      <c r="L31" s="28"/>
      <c r="M31" s="28"/>
      <c r="N31" s="28"/>
      <c r="O31" s="28"/>
      <c r="P31" s="28"/>
    </row>
    <row r="32" spans="1:16" ht="24" customHeight="1" x14ac:dyDescent="0.25">
      <c r="A32" s="52"/>
      <c r="B32" s="33" t="s">
        <v>88</v>
      </c>
      <c r="C32" s="31">
        <v>1</v>
      </c>
      <c r="D32" s="24">
        <f t="shared" si="1"/>
        <v>0</v>
      </c>
      <c r="E32" s="28"/>
      <c r="F32" s="28"/>
      <c r="G32" s="28"/>
      <c r="H32" s="28"/>
      <c r="I32" s="28"/>
      <c r="J32" s="28"/>
      <c r="K32" s="28"/>
      <c r="L32" s="28"/>
      <c r="M32" s="28"/>
      <c r="N32" s="28"/>
      <c r="O32" s="28"/>
      <c r="P32" s="28"/>
    </row>
    <row r="33" spans="1:16" ht="24" customHeight="1" x14ac:dyDescent="0.25">
      <c r="A33" s="52"/>
      <c r="B33" s="33" t="s">
        <v>89</v>
      </c>
      <c r="C33" s="31">
        <v>1</v>
      </c>
      <c r="D33" s="24">
        <f t="shared" si="1"/>
        <v>0</v>
      </c>
      <c r="E33" s="28"/>
      <c r="F33" s="28"/>
      <c r="G33" s="28"/>
      <c r="H33" s="28"/>
      <c r="I33" s="28"/>
      <c r="J33" s="28"/>
      <c r="K33" s="28"/>
      <c r="L33" s="28"/>
      <c r="M33" s="28"/>
      <c r="N33" s="28"/>
      <c r="O33" s="28"/>
      <c r="P33" s="28"/>
    </row>
    <row r="34" spans="1:16" ht="24" customHeight="1" x14ac:dyDescent="0.25">
      <c r="A34" s="52"/>
      <c r="B34" s="33" t="s">
        <v>90</v>
      </c>
      <c r="C34" s="31">
        <v>1</v>
      </c>
      <c r="D34" s="24">
        <f t="shared" si="1"/>
        <v>0</v>
      </c>
      <c r="E34" s="28"/>
      <c r="F34" s="28"/>
      <c r="G34" s="28"/>
      <c r="H34" s="28"/>
      <c r="I34" s="28"/>
      <c r="J34" s="28"/>
      <c r="K34" s="28"/>
      <c r="L34" s="28"/>
      <c r="M34" s="28"/>
      <c r="N34" s="28"/>
      <c r="O34" s="28"/>
      <c r="P34" s="28"/>
    </row>
    <row r="35" spans="1:16" ht="24" customHeight="1" x14ac:dyDescent="0.25">
      <c r="A35" s="52"/>
      <c r="B35" s="33" t="s">
        <v>91</v>
      </c>
      <c r="C35" s="31">
        <v>1</v>
      </c>
      <c r="D35" s="24">
        <f t="shared" si="1"/>
        <v>0</v>
      </c>
      <c r="E35" s="28"/>
      <c r="F35" s="28"/>
      <c r="G35" s="28"/>
      <c r="H35" s="28"/>
      <c r="I35" s="28"/>
      <c r="J35" s="28"/>
      <c r="K35" s="28"/>
      <c r="L35" s="28"/>
      <c r="M35" s="28"/>
      <c r="N35" s="28"/>
      <c r="O35" s="28"/>
      <c r="P35" s="28"/>
    </row>
    <row r="36" spans="1:16" ht="24" customHeight="1" thickBot="1" x14ac:dyDescent="0.3">
      <c r="A36" s="53"/>
      <c r="B36" s="34" t="s">
        <v>92</v>
      </c>
      <c r="C36" s="31">
        <v>1</v>
      </c>
      <c r="D36" s="24">
        <f t="shared" si="1"/>
        <v>0</v>
      </c>
      <c r="E36" s="28"/>
      <c r="F36" s="28"/>
      <c r="G36" s="28"/>
      <c r="H36" s="28"/>
      <c r="I36" s="28"/>
      <c r="J36" s="28"/>
      <c r="K36" s="28"/>
      <c r="L36" s="28"/>
      <c r="M36" s="28"/>
      <c r="N36" s="28"/>
      <c r="O36" s="28"/>
      <c r="P36" s="28"/>
    </row>
    <row r="37" spans="1:16" x14ac:dyDescent="0.25">
      <c r="C37" s="35">
        <f>SUM(C3:C36)</f>
        <v>160</v>
      </c>
      <c r="D37" s="36">
        <f>SUM(D3:D36)</f>
        <v>46</v>
      </c>
    </row>
    <row r="38" spans="1:16" x14ac:dyDescent="0.25">
      <c r="C38" s="10"/>
      <c r="D38" s="11">
        <f>D37/C37</f>
        <v>0.28749999999999998</v>
      </c>
    </row>
    <row r="43" spans="1:16" x14ac:dyDescent="0.25">
      <c r="C43" s="48"/>
    </row>
    <row r="44" spans="1:16" x14ac:dyDescent="0.25">
      <c r="C44" s="48"/>
    </row>
    <row r="45" spans="1:16" x14ac:dyDescent="0.25">
      <c r="C45" s="48"/>
    </row>
    <row r="46" spans="1:16" x14ac:dyDescent="0.25">
      <c r="C46" s="48"/>
    </row>
    <row r="47" spans="1:16" x14ac:dyDescent="0.25">
      <c r="C47" s="48"/>
    </row>
    <row r="48" spans="1:16" x14ac:dyDescent="0.25">
      <c r="C48" s="48"/>
    </row>
    <row r="49" spans="3:3" x14ac:dyDescent="0.25">
      <c r="C49" s="48"/>
    </row>
    <row r="50" spans="3:3" x14ac:dyDescent="0.25">
      <c r="C50" s="48"/>
    </row>
    <row r="51" spans="3:3" x14ac:dyDescent="0.25">
      <c r="C51" s="48"/>
    </row>
    <row r="52" spans="3:3" x14ac:dyDescent="0.25">
      <c r="C52" s="48"/>
    </row>
    <row r="53" spans="3:3" x14ac:dyDescent="0.25">
      <c r="C53" s="48"/>
    </row>
    <row r="54" spans="3:3" x14ac:dyDescent="0.25">
      <c r="C54" s="48"/>
    </row>
    <row r="55" spans="3:3" x14ac:dyDescent="0.25">
      <c r="C55" s="48"/>
    </row>
    <row r="56" spans="3:3" x14ac:dyDescent="0.25">
      <c r="C56" s="48"/>
    </row>
    <row r="57" spans="3:3" x14ac:dyDescent="0.25">
      <c r="C57" s="48"/>
    </row>
    <row r="58" spans="3:3" x14ac:dyDescent="0.25">
      <c r="C58" s="48"/>
    </row>
  </sheetData>
  <sheetProtection algorithmName="SHA-512" hashValue="cA2cRUEAsdrC/Pw0ECk/+UURmEumXAKA7kgsxb77qVNX3Z2j2W6OFZXo0b4yrcXJY2qhgb00wZVcFtg2Crh7PA==" saltValue="NZhoFlhuGKDqK5wsRuExPw==" spinCount="100000" sheet="1" objects="1" scenarios="1" autoFilter="0"/>
  <mergeCells count="2">
    <mergeCell ref="A1:A2"/>
    <mergeCell ref="A9:A36"/>
  </mergeCells>
  <conditionalFormatting sqref="C3:D3 D4:D8">
    <cfRule type="dataBar" priority="44">
      <dataBar>
        <cfvo type="min"/>
        <cfvo type="max"/>
        <color rgb="FF008AEF"/>
      </dataBar>
      <extLst>
        <ext xmlns:x14="http://schemas.microsoft.com/office/spreadsheetml/2009/9/main" uri="{B025F937-C7B1-47D3-B67F-A62EFF666E3E}">
          <x14:id>{BF9250E9-9D0C-46E2-9797-9A6B2388FD3D}</x14:id>
        </ext>
      </extLst>
    </cfRule>
  </conditionalFormatting>
  <conditionalFormatting sqref="C4:D4">
    <cfRule type="dataBar" priority="4">
      <dataBar>
        <cfvo type="min"/>
        <cfvo type="max"/>
        <color rgb="FF008AEF"/>
      </dataBar>
      <extLst>
        <ext xmlns:x14="http://schemas.microsoft.com/office/spreadsheetml/2009/9/main" uri="{B025F937-C7B1-47D3-B67F-A62EFF666E3E}">
          <x14:id>{FF41567B-2D03-4FA1-B6F3-67F641DC9563}</x14:id>
        </ext>
      </extLst>
    </cfRule>
  </conditionalFormatting>
  <conditionalFormatting sqref="C5:D5">
    <cfRule type="dataBar" priority="5">
      <dataBar>
        <cfvo type="min"/>
        <cfvo type="max"/>
        <color rgb="FF008AEF"/>
      </dataBar>
      <extLst>
        <ext xmlns:x14="http://schemas.microsoft.com/office/spreadsheetml/2009/9/main" uri="{B025F937-C7B1-47D3-B67F-A62EFF666E3E}">
          <x14:id>{843D993E-7968-450E-9309-82038C4D2642}</x14:id>
        </ext>
      </extLst>
    </cfRule>
  </conditionalFormatting>
  <conditionalFormatting sqref="C6:D6">
    <cfRule type="dataBar" priority="6">
      <dataBar>
        <cfvo type="min"/>
        <cfvo type="max"/>
        <color rgb="FF008AEF"/>
      </dataBar>
      <extLst>
        <ext xmlns:x14="http://schemas.microsoft.com/office/spreadsheetml/2009/9/main" uri="{B025F937-C7B1-47D3-B67F-A62EFF666E3E}">
          <x14:id>{31ACBA0E-5F3D-4903-AB97-F88ED2D00592}</x14:id>
        </ext>
      </extLst>
    </cfRule>
  </conditionalFormatting>
  <conditionalFormatting sqref="C7:D7">
    <cfRule type="dataBar" priority="7">
      <dataBar>
        <cfvo type="min"/>
        <cfvo type="max"/>
        <color rgb="FF008AEF"/>
      </dataBar>
      <extLst>
        <ext xmlns:x14="http://schemas.microsoft.com/office/spreadsheetml/2009/9/main" uri="{B025F937-C7B1-47D3-B67F-A62EFF666E3E}">
          <x14:id>{FC8123D4-1EC1-4DBC-908F-C3CA10D6A24A}</x14:id>
        </ext>
      </extLst>
    </cfRule>
  </conditionalFormatting>
  <conditionalFormatting sqref="C8:D8">
    <cfRule type="dataBar" priority="8">
      <dataBar>
        <cfvo type="min"/>
        <cfvo type="max"/>
        <color rgb="FF008AEF"/>
      </dataBar>
      <extLst>
        <ext xmlns:x14="http://schemas.microsoft.com/office/spreadsheetml/2009/9/main" uri="{B025F937-C7B1-47D3-B67F-A62EFF666E3E}">
          <x14:id>{CE035A8C-CE49-4D00-99CA-441BF0DACFA3}</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{561773D6-EFB0-4FD1-8794-BB7C7E926E0C}</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{535191D3-515F-4883-A254-8818A494BD59}</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{1091486F-531A-410D-9D70-C0816B469771}</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{4767FAFD-3064-4709-AD57-CEA5132DCFD0}</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{61987AEE-71B4-43A2-974A-8A56C48AAD9B}</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{26D47625-27DE-41E8-8FE1-D324EF547AC0}</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{A1765BBA-C2C5-4774-A343-31822791F73F}</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{52D3C16C-07D5-405D-8D77-1DA7BC7688D6}</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{85021C3F-F136-49A8-9911-7CAB0F1542F4}</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{199811E0-417D-4262-96BA-6DAB21B08A5C}</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{1B0F1F73-C620-4DAD-A905-9D8A4448BFA4}</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{D1DD8BA9-61A6-4B85-BDCB-9307D634B05C}</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{E033CF6B-ABB6-4063-98CC-0267BFBBC82D}</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{88B7AE43-759C-4CC8-9136-2543AF6D5513}</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{A5513AE0-1EBC-40A3-9451-CFA0C2D43E20}</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{26503CE7-2D3F-4229-8AE4-9874062EBFCD}</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{23160597-7C9D-487A-B4E9-98B19F270441}</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{DC5D5A64-8D51-4D77-85B3-638152042A54}</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{758F31BA-846E-4149-8B7C-895F625939E7}</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{CDE734B9-7E54-42D3-9427-9810A139D85B}</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{CA837C03-7147-4C39-B36E-AAC5E44373F3}</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{3AEB8AEE-5E6C-448A-B5C4-76C68B3B6B76}</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{00DC8B1F-F5F6-451F-884B-F2C6E6FE4A1D}</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{E3F0D9B1-DDBE-41EC-92DE-DF9C6A656661}</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{8C69A85B-040D-4E64-AFEB-BC4859A68FF3}</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{3E988D40-133E-420E-AAC1-FD4D1C41E9AC}</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{26D872C1-FE59-4FC2-990B-A5507539EE36}</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{5B98B5CC-5A74-4EF4-9B07-BC48501735F8}</x14:id>
        </ext>
      </extLst>
    </cfRule>
  </conditionalFormatting>
  <conditionalFormatting sqref="E3:P36">
    <cfRule type="cellIs" dxfId="10"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F9250E9-9D0C-46E2-9797-9A6B2388FD3D}">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FF41567B-2D03-4FA1-B6F3-67F641DC956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43D993E-7968-450E-9309-82038C4D2642}">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1ACBA0E-5F3D-4903-AB97-F88ED2D0059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C8123D4-1EC1-4DBC-908F-C3CA10D6A24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E035A8C-CE49-4D00-99CA-441BF0DACFA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61773D6-EFB0-4FD1-8794-BB7C7E926E0C}">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535191D3-515F-4883-A254-8818A494BD5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1091486F-531A-410D-9D70-C0816B46977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767FAFD-3064-4709-AD57-CEA5132DCFD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61987AEE-71B4-43A2-974A-8A56C48AAD9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26D47625-27DE-41E8-8FE1-D324EF547AC0}">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A1765BBA-C2C5-4774-A343-31822791F73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52D3C16C-07D5-405D-8D77-1DA7BC7688D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85021C3F-F136-49A8-9911-7CAB0F1542F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99811E0-417D-4262-96BA-6DAB21B08A5C}">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B0F1F73-C620-4DAD-A905-9D8A4448BFA4}">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1DD8BA9-61A6-4B85-BDCB-9307D634B05C}">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E033CF6B-ABB6-4063-98CC-0267BFBBC82D}">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8B7AE43-759C-4CC8-9136-2543AF6D5513}">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5513AE0-1EBC-40A3-9451-CFA0C2D43E20}">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26503CE7-2D3F-4229-8AE4-9874062EBFCD}">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23160597-7C9D-487A-B4E9-98B19F27044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C5D5A64-8D51-4D77-85B3-638152042A5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758F31BA-846E-4149-8B7C-895F625939E7}">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DE734B9-7E54-42D3-9427-9810A139D85B}">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CA837C03-7147-4C39-B36E-AAC5E44373F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3AEB8AEE-5E6C-448A-B5C4-76C68B3B6B7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00DC8B1F-F5F6-451F-884B-F2C6E6FE4A1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E3F0D9B1-DDBE-41EC-92DE-DF9C6A656661}">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C69A85B-040D-4E64-AFEB-BC4859A68FF3}">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3E988D40-133E-420E-AAC1-FD4D1C41E9AC}">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6D872C1-FE59-4FC2-990B-A5507539EE36}">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5B98B5CC-5A74-4EF4-9B07-BC48501735F8}">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40"/>
  <sheetViews>
    <sheetView topLeftCell="B1" zoomScale="60" zoomScaleNormal="60" workbookViewId="0">
      <selection activeCell="K5" sqref="K5"/>
    </sheetView>
  </sheetViews>
  <sheetFormatPr baseColWidth="10" defaultColWidth="11.42578125" defaultRowHeight="15" x14ac:dyDescent="0.25"/>
  <cols>
    <col min="1" max="1" width="9.140625" style="2" customWidth="1"/>
    <col min="2" max="2" width="94.42578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27</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12" t="s">
        <v>17</v>
      </c>
      <c r="C3" s="27">
        <v>2</v>
      </c>
      <c r="D3" s="24">
        <f t="shared" ref="D3:D10" si="0">SUM(E3:P3)</f>
        <v>1</v>
      </c>
      <c r="E3" s="28"/>
      <c r="F3" s="28"/>
      <c r="G3" s="28"/>
      <c r="H3" s="28"/>
      <c r="I3" s="28">
        <v>1</v>
      </c>
      <c r="J3" s="28"/>
      <c r="K3" s="28"/>
      <c r="L3" s="28"/>
      <c r="M3" s="28"/>
      <c r="N3" s="28"/>
      <c r="O3" s="28"/>
      <c r="P3" s="28"/>
    </row>
    <row r="4" spans="1:16" ht="81" customHeight="1" x14ac:dyDescent="0.25">
      <c r="A4" s="40" t="s">
        <v>20</v>
      </c>
      <c r="B4" s="13" t="s">
        <v>19</v>
      </c>
      <c r="C4" s="29">
        <v>2</v>
      </c>
      <c r="D4" s="24">
        <f t="shared" si="0"/>
        <v>1</v>
      </c>
      <c r="E4" s="28">
        <v>0</v>
      </c>
      <c r="F4" s="28">
        <v>0</v>
      </c>
      <c r="G4" s="28">
        <v>0</v>
      </c>
      <c r="H4" s="28">
        <v>0</v>
      </c>
      <c r="I4" s="28">
        <v>1</v>
      </c>
      <c r="J4" s="28"/>
      <c r="K4" s="28"/>
      <c r="L4" s="28"/>
      <c r="M4" s="28"/>
      <c r="N4" s="28"/>
      <c r="O4" s="28"/>
      <c r="P4" s="28"/>
    </row>
    <row r="5" spans="1:16" ht="81" customHeight="1" x14ac:dyDescent="0.25">
      <c r="A5" s="39" t="s">
        <v>22</v>
      </c>
      <c r="B5" s="14" t="s">
        <v>28</v>
      </c>
      <c r="C5" s="30">
        <v>1</v>
      </c>
      <c r="D5" s="24">
        <f t="shared" si="0"/>
        <v>1</v>
      </c>
      <c r="E5" s="28">
        <v>0</v>
      </c>
      <c r="F5" s="28">
        <v>0</v>
      </c>
      <c r="G5" s="28">
        <v>0</v>
      </c>
      <c r="H5" s="28">
        <v>1</v>
      </c>
      <c r="I5" s="28"/>
      <c r="J5" s="28"/>
      <c r="K5" s="28"/>
      <c r="L5" s="28"/>
      <c r="M5" s="28"/>
      <c r="N5" s="28"/>
      <c r="O5" s="28"/>
      <c r="P5" s="28"/>
    </row>
    <row r="6" spans="1:16" ht="81" customHeight="1" x14ac:dyDescent="0.25">
      <c r="A6" s="37" t="s">
        <v>18</v>
      </c>
      <c r="B6" s="12" t="s">
        <v>29</v>
      </c>
      <c r="C6" s="31">
        <v>2</v>
      </c>
      <c r="D6" s="24">
        <f t="shared" si="0"/>
        <v>1</v>
      </c>
      <c r="E6" s="28"/>
      <c r="F6" s="28"/>
      <c r="G6" s="28"/>
      <c r="H6" s="28">
        <v>1</v>
      </c>
      <c r="I6" s="28"/>
      <c r="J6" s="28"/>
      <c r="K6" s="28"/>
      <c r="L6" s="28"/>
      <c r="M6" s="28"/>
      <c r="N6" s="28"/>
      <c r="O6" s="28"/>
      <c r="P6" s="28"/>
    </row>
    <row r="7" spans="1:16" ht="81" customHeight="1" x14ac:dyDescent="0.25">
      <c r="A7" s="37" t="s">
        <v>18</v>
      </c>
      <c r="B7" s="12" t="s">
        <v>30</v>
      </c>
      <c r="C7" s="31">
        <v>2</v>
      </c>
      <c r="D7" s="24">
        <f t="shared" si="0"/>
        <v>0</v>
      </c>
      <c r="E7" s="28"/>
      <c r="F7" s="28"/>
      <c r="G7" s="28"/>
      <c r="H7" s="28"/>
      <c r="I7" s="28"/>
      <c r="J7" s="28"/>
      <c r="K7" s="28"/>
      <c r="L7" s="28"/>
      <c r="M7" s="28"/>
      <c r="N7" s="28"/>
      <c r="O7" s="28"/>
      <c r="P7" s="28"/>
    </row>
    <row r="8" spans="1:16" ht="81" customHeight="1" x14ac:dyDescent="0.25">
      <c r="A8" s="37" t="s">
        <v>18</v>
      </c>
      <c r="B8" s="12" t="s">
        <v>31</v>
      </c>
      <c r="C8" s="31">
        <v>1</v>
      </c>
      <c r="D8" s="24">
        <f t="shared" si="0"/>
        <v>1</v>
      </c>
      <c r="E8" s="28"/>
      <c r="F8" s="28">
        <v>1</v>
      </c>
      <c r="G8" s="28"/>
      <c r="H8" s="28"/>
      <c r="I8" s="28"/>
      <c r="J8" s="28"/>
      <c r="K8" s="28"/>
      <c r="L8" s="28"/>
      <c r="M8" s="28"/>
      <c r="N8" s="28"/>
      <c r="O8" s="28"/>
      <c r="P8" s="28"/>
    </row>
    <row r="9" spans="1:16" ht="81" customHeight="1" x14ac:dyDescent="0.25">
      <c r="A9" s="37" t="s">
        <v>18</v>
      </c>
      <c r="B9" s="12" t="s">
        <v>32</v>
      </c>
      <c r="C9" s="31">
        <v>1</v>
      </c>
      <c r="D9" s="24">
        <f t="shared" si="0"/>
        <v>0</v>
      </c>
      <c r="E9" s="28"/>
      <c r="F9" s="28"/>
      <c r="G9" s="28"/>
      <c r="H9" s="28"/>
      <c r="I9" s="28"/>
      <c r="J9" s="28"/>
      <c r="K9" s="28"/>
      <c r="L9" s="28"/>
      <c r="M9" s="28"/>
      <c r="N9" s="28"/>
      <c r="O9" s="28"/>
      <c r="P9" s="28"/>
    </row>
    <row r="10" spans="1:16" ht="81" customHeight="1" x14ac:dyDescent="0.25">
      <c r="A10" s="37" t="s">
        <v>18</v>
      </c>
      <c r="B10" s="12" t="s">
        <v>33</v>
      </c>
      <c r="C10" s="31">
        <v>2</v>
      </c>
      <c r="D10" s="24">
        <f t="shared" si="0"/>
        <v>1</v>
      </c>
      <c r="E10" s="28"/>
      <c r="F10" s="28"/>
      <c r="G10" s="28">
        <v>1</v>
      </c>
      <c r="H10" s="28"/>
      <c r="I10" s="28"/>
      <c r="J10" s="28"/>
      <c r="K10" s="28"/>
      <c r="L10" s="28"/>
      <c r="M10" s="28"/>
      <c r="N10" s="28"/>
      <c r="O10" s="28"/>
      <c r="P10" s="28"/>
    </row>
    <row r="11" spans="1:16" ht="28.5" customHeight="1" x14ac:dyDescent="0.25">
      <c r="A11" s="51" t="s">
        <v>64</v>
      </c>
      <c r="B11" s="32" t="s">
        <v>65</v>
      </c>
      <c r="C11" s="31">
        <v>3</v>
      </c>
      <c r="D11" s="24">
        <f t="shared" ref="D11:D38" si="1">SUM(E11:P11)</f>
        <v>1</v>
      </c>
      <c r="E11" s="28"/>
      <c r="F11" s="28">
        <v>1</v>
      </c>
      <c r="G11" s="28"/>
      <c r="H11" s="28"/>
      <c r="I11" s="28"/>
      <c r="J11" s="28"/>
      <c r="K11" s="28"/>
      <c r="L11" s="28"/>
      <c r="M11" s="28"/>
      <c r="N11" s="28"/>
      <c r="O11" s="28"/>
      <c r="P11" s="28"/>
    </row>
    <row r="12" spans="1:16" ht="28.5" customHeight="1" x14ac:dyDescent="0.25">
      <c r="A12" s="52"/>
      <c r="B12" s="32" t="s">
        <v>66</v>
      </c>
      <c r="C12" s="31">
        <v>3</v>
      </c>
      <c r="D12" s="24">
        <f t="shared" si="1"/>
        <v>3</v>
      </c>
      <c r="E12" s="28"/>
      <c r="F12" s="28"/>
      <c r="G12" s="28"/>
      <c r="H12" s="28"/>
      <c r="I12" s="28">
        <v>3</v>
      </c>
      <c r="J12" s="28"/>
      <c r="K12" s="28"/>
      <c r="L12" s="28"/>
      <c r="M12" s="28"/>
      <c r="N12" s="28"/>
      <c r="O12" s="28"/>
      <c r="P12" s="28"/>
    </row>
    <row r="13" spans="1:16" ht="28.5" customHeight="1" x14ac:dyDescent="0.25">
      <c r="A13" s="52"/>
      <c r="B13" s="32" t="s">
        <v>67</v>
      </c>
      <c r="C13" s="31">
        <v>48</v>
      </c>
      <c r="D13" s="24">
        <f t="shared" si="1"/>
        <v>16</v>
      </c>
      <c r="E13" s="28"/>
      <c r="F13" s="28">
        <v>11</v>
      </c>
      <c r="G13" s="28"/>
      <c r="H13" s="28"/>
      <c r="I13" s="28">
        <v>5</v>
      </c>
      <c r="J13" s="28"/>
      <c r="K13" s="28"/>
      <c r="L13" s="28"/>
      <c r="M13" s="28"/>
      <c r="N13" s="28"/>
      <c r="O13" s="28"/>
      <c r="P13" s="28"/>
    </row>
    <row r="14" spans="1:16" ht="28.5" customHeight="1" x14ac:dyDescent="0.25">
      <c r="A14" s="52"/>
      <c r="B14" s="32" t="s">
        <v>68</v>
      </c>
      <c r="C14" s="31">
        <v>34</v>
      </c>
      <c r="D14" s="24">
        <f t="shared" si="1"/>
        <v>6</v>
      </c>
      <c r="E14" s="28"/>
      <c r="F14" s="28"/>
      <c r="G14" s="28"/>
      <c r="H14" s="28">
        <v>6</v>
      </c>
      <c r="I14" s="28"/>
      <c r="J14" s="28"/>
      <c r="K14" s="28"/>
      <c r="L14" s="28"/>
      <c r="M14" s="28"/>
      <c r="N14" s="28"/>
      <c r="O14" s="28"/>
      <c r="P14" s="28"/>
    </row>
    <row r="15" spans="1:16" ht="28.5" customHeight="1" x14ac:dyDescent="0.25">
      <c r="A15" s="52"/>
      <c r="B15" s="32" t="s">
        <v>69</v>
      </c>
      <c r="C15" s="31">
        <v>3</v>
      </c>
      <c r="D15" s="24">
        <f t="shared" si="1"/>
        <v>0</v>
      </c>
      <c r="E15" s="28"/>
      <c r="F15" s="28"/>
      <c r="G15" s="28"/>
      <c r="H15" s="28"/>
      <c r="I15" s="28"/>
      <c r="J15" s="28"/>
      <c r="K15" s="28"/>
      <c r="L15" s="28"/>
      <c r="M15" s="28"/>
      <c r="N15" s="28"/>
      <c r="O15" s="28"/>
      <c r="P15" s="28"/>
    </row>
    <row r="16" spans="1:16" ht="28.5" customHeight="1" x14ac:dyDescent="0.25">
      <c r="A16" s="52"/>
      <c r="B16" s="32" t="s">
        <v>70</v>
      </c>
      <c r="C16" s="31">
        <v>16</v>
      </c>
      <c r="D16" s="24">
        <f t="shared" si="1"/>
        <v>0</v>
      </c>
      <c r="E16" s="28"/>
      <c r="F16" s="28"/>
      <c r="G16" s="28"/>
      <c r="H16" s="28"/>
      <c r="I16" s="28"/>
      <c r="J16" s="28"/>
      <c r="K16" s="28"/>
      <c r="L16" s="28"/>
      <c r="M16" s="28"/>
      <c r="N16" s="28"/>
      <c r="O16" s="28"/>
      <c r="P16" s="28"/>
    </row>
    <row r="17" spans="1:16" ht="28.5" customHeight="1" x14ac:dyDescent="0.25">
      <c r="A17" s="52"/>
      <c r="B17" s="32" t="s">
        <v>71</v>
      </c>
      <c r="C17" s="31">
        <v>0</v>
      </c>
      <c r="D17" s="24">
        <f t="shared" si="1"/>
        <v>0</v>
      </c>
      <c r="E17" s="28"/>
      <c r="F17" s="28"/>
      <c r="G17" s="28"/>
      <c r="H17" s="28"/>
      <c r="I17" s="28"/>
      <c r="J17" s="28"/>
      <c r="K17" s="28"/>
      <c r="L17" s="28"/>
      <c r="M17" s="28"/>
      <c r="N17" s="28"/>
      <c r="O17" s="28"/>
      <c r="P17" s="28"/>
    </row>
    <row r="18" spans="1:16" ht="28.5" customHeight="1" x14ac:dyDescent="0.25">
      <c r="A18" s="52"/>
      <c r="B18" s="32" t="s">
        <v>72</v>
      </c>
      <c r="C18" s="31">
        <v>3</v>
      </c>
      <c r="D18" s="24">
        <f t="shared" si="1"/>
        <v>1</v>
      </c>
      <c r="E18" s="28"/>
      <c r="F18" s="28">
        <v>1</v>
      </c>
      <c r="G18" s="28"/>
      <c r="H18" s="28"/>
      <c r="I18" s="28"/>
      <c r="J18" s="28"/>
      <c r="K18" s="28"/>
      <c r="L18" s="28"/>
      <c r="M18" s="28"/>
      <c r="N18" s="28"/>
      <c r="O18" s="28"/>
      <c r="P18" s="28"/>
    </row>
    <row r="19" spans="1:16" ht="28.5" customHeight="1" x14ac:dyDescent="0.25">
      <c r="A19" s="52"/>
      <c r="B19" s="32" t="s">
        <v>73</v>
      </c>
      <c r="C19" s="31">
        <v>0</v>
      </c>
      <c r="D19" s="24">
        <f t="shared" si="1"/>
        <v>0</v>
      </c>
      <c r="E19" s="28"/>
      <c r="F19" s="28"/>
      <c r="G19" s="28"/>
      <c r="H19" s="28"/>
      <c r="I19" s="28"/>
      <c r="J19" s="28"/>
      <c r="K19" s="28"/>
      <c r="L19" s="28"/>
      <c r="M19" s="28"/>
      <c r="N19" s="28"/>
      <c r="O19" s="28"/>
      <c r="P19" s="28"/>
    </row>
    <row r="20" spans="1:16" ht="28.5" customHeight="1" x14ac:dyDescent="0.25">
      <c r="A20" s="52"/>
      <c r="B20" s="32" t="s">
        <v>74</v>
      </c>
      <c r="C20" s="31">
        <v>0</v>
      </c>
      <c r="D20" s="24">
        <f t="shared" si="1"/>
        <v>0</v>
      </c>
      <c r="E20" s="28"/>
      <c r="F20" s="28"/>
      <c r="G20" s="28"/>
      <c r="H20" s="28"/>
      <c r="I20" s="28"/>
      <c r="J20" s="28"/>
      <c r="K20" s="28"/>
      <c r="L20" s="28"/>
      <c r="M20" s="28"/>
      <c r="N20" s="28"/>
      <c r="O20" s="28"/>
      <c r="P20" s="28"/>
    </row>
    <row r="21" spans="1:16" ht="28.5" customHeight="1" x14ac:dyDescent="0.25">
      <c r="A21" s="52"/>
      <c r="B21" s="32" t="s">
        <v>75</v>
      </c>
      <c r="C21" s="31">
        <v>0</v>
      </c>
      <c r="D21" s="24">
        <f t="shared" si="1"/>
        <v>0</v>
      </c>
      <c r="E21" s="28"/>
      <c r="F21" s="28"/>
      <c r="G21" s="28"/>
      <c r="H21" s="28"/>
      <c r="I21" s="28"/>
      <c r="J21" s="28"/>
      <c r="K21" s="28"/>
      <c r="L21" s="28"/>
      <c r="M21" s="28"/>
      <c r="N21" s="28"/>
      <c r="O21" s="28"/>
      <c r="P21" s="28"/>
    </row>
    <row r="22" spans="1:16" ht="28.5" customHeight="1" x14ac:dyDescent="0.25">
      <c r="A22" s="52"/>
      <c r="B22" s="32" t="s">
        <v>76</v>
      </c>
      <c r="C22" s="31">
        <v>0</v>
      </c>
      <c r="D22" s="24">
        <f t="shared" si="1"/>
        <v>0</v>
      </c>
      <c r="E22" s="28"/>
      <c r="F22" s="28"/>
      <c r="G22" s="28"/>
      <c r="H22" s="28"/>
      <c r="I22" s="28"/>
      <c r="J22" s="28"/>
      <c r="K22" s="28"/>
      <c r="L22" s="28"/>
      <c r="M22" s="28"/>
      <c r="N22" s="28"/>
      <c r="O22" s="28"/>
      <c r="P22" s="28"/>
    </row>
    <row r="23" spans="1:16" ht="28.5" customHeight="1" x14ac:dyDescent="0.25">
      <c r="A23" s="52"/>
      <c r="B23" s="32" t="s">
        <v>77</v>
      </c>
      <c r="C23" s="31">
        <v>0</v>
      </c>
      <c r="D23" s="24">
        <f t="shared" si="1"/>
        <v>0</v>
      </c>
      <c r="E23" s="28"/>
      <c r="F23" s="28"/>
      <c r="G23" s="28"/>
      <c r="H23" s="28"/>
      <c r="I23" s="28"/>
      <c r="J23" s="28"/>
      <c r="K23" s="28"/>
      <c r="L23" s="28"/>
      <c r="M23" s="28"/>
      <c r="N23" s="28"/>
      <c r="O23" s="28"/>
      <c r="P23" s="28"/>
    </row>
    <row r="24" spans="1:16" ht="28.5" customHeight="1" x14ac:dyDescent="0.25">
      <c r="A24" s="52"/>
      <c r="B24" s="32" t="s">
        <v>78</v>
      </c>
      <c r="C24" s="31">
        <v>0</v>
      </c>
      <c r="D24" s="24">
        <f t="shared" si="1"/>
        <v>0</v>
      </c>
      <c r="E24" s="28"/>
      <c r="F24" s="28"/>
      <c r="G24" s="28"/>
      <c r="H24" s="28"/>
      <c r="I24" s="28"/>
      <c r="J24" s="28"/>
      <c r="K24" s="28"/>
      <c r="L24" s="28"/>
      <c r="M24" s="28"/>
      <c r="N24" s="28"/>
      <c r="O24" s="28"/>
      <c r="P24" s="28"/>
    </row>
    <row r="25" spans="1:16" ht="28.5" customHeight="1" x14ac:dyDescent="0.25">
      <c r="A25" s="52"/>
      <c r="B25" s="32" t="s">
        <v>79</v>
      </c>
      <c r="C25" s="31">
        <v>31</v>
      </c>
      <c r="D25" s="24">
        <f t="shared" si="1"/>
        <v>26</v>
      </c>
      <c r="E25" s="28">
        <v>15</v>
      </c>
      <c r="F25" s="28"/>
      <c r="G25" s="28">
        <v>2</v>
      </c>
      <c r="H25" s="28">
        <v>9</v>
      </c>
      <c r="I25" s="28"/>
      <c r="J25" s="28"/>
      <c r="K25" s="28"/>
      <c r="L25" s="28"/>
      <c r="M25" s="28"/>
      <c r="N25" s="28"/>
      <c r="O25" s="28"/>
      <c r="P25" s="28"/>
    </row>
    <row r="26" spans="1:16" ht="28.5" customHeight="1" x14ac:dyDescent="0.25">
      <c r="A26" s="52"/>
      <c r="B26" s="32" t="s">
        <v>80</v>
      </c>
      <c r="C26" s="31">
        <v>1</v>
      </c>
      <c r="D26" s="24">
        <f t="shared" si="1"/>
        <v>0</v>
      </c>
      <c r="E26" s="28"/>
      <c r="F26" s="28"/>
      <c r="G26" s="28"/>
      <c r="H26" s="28"/>
      <c r="I26" s="28"/>
      <c r="J26" s="28"/>
      <c r="K26" s="28"/>
      <c r="L26" s="28"/>
      <c r="M26" s="28"/>
      <c r="N26" s="28"/>
      <c r="O26" s="28"/>
      <c r="P26" s="28"/>
    </row>
    <row r="27" spans="1:16" ht="24" customHeight="1" x14ac:dyDescent="0.25">
      <c r="A27" s="52"/>
      <c r="B27" s="33" t="s">
        <v>81</v>
      </c>
      <c r="C27" s="31">
        <v>7</v>
      </c>
      <c r="D27" s="24">
        <f t="shared" si="1"/>
        <v>7</v>
      </c>
      <c r="E27" s="28">
        <v>6</v>
      </c>
      <c r="F27" s="28">
        <v>1</v>
      </c>
      <c r="G27" s="28"/>
      <c r="H27" s="28"/>
      <c r="I27" s="28"/>
      <c r="J27" s="28"/>
      <c r="K27" s="28"/>
      <c r="L27" s="28"/>
      <c r="M27" s="28"/>
      <c r="N27" s="28"/>
      <c r="O27" s="28"/>
      <c r="P27" s="28"/>
    </row>
    <row r="28" spans="1:16" ht="24" customHeight="1" x14ac:dyDescent="0.25">
      <c r="A28" s="52"/>
      <c r="B28" s="33" t="s">
        <v>82</v>
      </c>
      <c r="C28" s="31">
        <v>7</v>
      </c>
      <c r="D28" s="24">
        <f t="shared" si="1"/>
        <v>7</v>
      </c>
      <c r="E28" s="28"/>
      <c r="F28" s="28"/>
      <c r="G28" s="28">
        <v>6</v>
      </c>
      <c r="H28" s="28">
        <v>1</v>
      </c>
      <c r="I28" s="28"/>
      <c r="J28" s="28"/>
      <c r="K28" s="28"/>
      <c r="L28" s="28"/>
      <c r="M28" s="28"/>
      <c r="N28" s="28"/>
      <c r="O28" s="28"/>
      <c r="P28" s="28"/>
    </row>
    <row r="29" spans="1:16" ht="24" customHeight="1" x14ac:dyDescent="0.25">
      <c r="A29" s="52"/>
      <c r="B29" s="33" t="s">
        <v>83</v>
      </c>
      <c r="C29" s="31">
        <v>7</v>
      </c>
      <c r="D29" s="24">
        <f t="shared" si="1"/>
        <v>6</v>
      </c>
      <c r="E29" s="28"/>
      <c r="F29" s="28"/>
      <c r="G29" s="28"/>
      <c r="H29" s="28">
        <v>4</v>
      </c>
      <c r="I29" s="28">
        <v>2</v>
      </c>
      <c r="J29" s="28"/>
      <c r="K29" s="28"/>
      <c r="L29" s="28"/>
      <c r="M29" s="28"/>
      <c r="N29" s="28"/>
      <c r="O29" s="28"/>
      <c r="P29" s="28"/>
    </row>
    <row r="30" spans="1:16" ht="24" customHeight="1" x14ac:dyDescent="0.25">
      <c r="A30" s="52"/>
      <c r="B30" s="33" t="s">
        <v>84</v>
      </c>
      <c r="C30" s="31">
        <v>7</v>
      </c>
      <c r="D30" s="24">
        <f t="shared" si="1"/>
        <v>4</v>
      </c>
      <c r="E30" s="28"/>
      <c r="F30" s="28"/>
      <c r="G30" s="28"/>
      <c r="H30" s="28"/>
      <c r="I30" s="28">
        <v>4</v>
      </c>
      <c r="J30" s="28"/>
      <c r="K30" s="28"/>
      <c r="L30" s="28"/>
      <c r="M30" s="28"/>
      <c r="N30" s="28"/>
      <c r="O30" s="28"/>
      <c r="P30" s="28"/>
    </row>
    <row r="31" spans="1:16" ht="24" customHeight="1" x14ac:dyDescent="0.25">
      <c r="A31" s="52"/>
      <c r="B31" s="33" t="s">
        <v>85</v>
      </c>
      <c r="C31" s="31">
        <v>7</v>
      </c>
      <c r="D31" s="24">
        <f t="shared" si="1"/>
        <v>0</v>
      </c>
      <c r="E31" s="28"/>
      <c r="F31" s="28"/>
      <c r="G31" s="28"/>
      <c r="H31" s="28"/>
      <c r="I31" s="28"/>
      <c r="J31" s="28"/>
      <c r="K31" s="28"/>
      <c r="L31" s="28"/>
      <c r="M31" s="28"/>
      <c r="N31" s="28"/>
      <c r="O31" s="28"/>
      <c r="P31" s="28"/>
    </row>
    <row r="32" spans="1:16" ht="24" customHeight="1" x14ac:dyDescent="0.25">
      <c r="A32" s="52"/>
      <c r="B32" s="33" t="s">
        <v>86</v>
      </c>
      <c r="C32" s="31">
        <v>1</v>
      </c>
      <c r="D32" s="24">
        <f t="shared" si="1"/>
        <v>0</v>
      </c>
      <c r="E32" s="28"/>
      <c r="F32" s="28"/>
      <c r="G32" s="28"/>
      <c r="H32" s="28"/>
      <c r="I32" s="28"/>
      <c r="J32" s="28"/>
      <c r="K32" s="28"/>
      <c r="L32" s="28"/>
      <c r="M32" s="28"/>
      <c r="N32" s="28"/>
      <c r="O32" s="28"/>
      <c r="P32" s="28"/>
    </row>
    <row r="33" spans="1:16" ht="24" customHeight="1" x14ac:dyDescent="0.25">
      <c r="A33" s="52"/>
      <c r="B33" s="33" t="s">
        <v>87</v>
      </c>
      <c r="C33" s="31">
        <v>1</v>
      </c>
      <c r="D33" s="24">
        <f t="shared" si="1"/>
        <v>0</v>
      </c>
      <c r="E33" s="28"/>
      <c r="F33" s="28"/>
      <c r="G33" s="28"/>
      <c r="H33" s="28"/>
      <c r="I33" s="28"/>
      <c r="J33" s="28"/>
      <c r="K33" s="28"/>
      <c r="L33" s="28"/>
      <c r="M33" s="28"/>
      <c r="N33" s="28"/>
      <c r="O33" s="28"/>
      <c r="P33" s="28"/>
    </row>
    <row r="34" spans="1:16" ht="24" customHeight="1" x14ac:dyDescent="0.25">
      <c r="A34" s="52"/>
      <c r="B34" s="33" t="s">
        <v>88</v>
      </c>
      <c r="C34" s="31">
        <v>1</v>
      </c>
      <c r="D34" s="24">
        <f t="shared" si="1"/>
        <v>0</v>
      </c>
      <c r="E34" s="28"/>
      <c r="F34" s="28"/>
      <c r="G34" s="28"/>
      <c r="H34" s="28"/>
      <c r="I34" s="28"/>
      <c r="J34" s="28"/>
      <c r="K34" s="28"/>
      <c r="L34" s="28"/>
      <c r="M34" s="28"/>
      <c r="N34" s="28"/>
      <c r="O34" s="28"/>
      <c r="P34" s="28"/>
    </row>
    <row r="35" spans="1:16" ht="24" customHeight="1" x14ac:dyDescent="0.25">
      <c r="A35" s="52"/>
      <c r="B35" s="33" t="s">
        <v>89</v>
      </c>
      <c r="C35" s="31">
        <v>1</v>
      </c>
      <c r="D35" s="24">
        <f t="shared" si="1"/>
        <v>0</v>
      </c>
      <c r="E35" s="28"/>
      <c r="F35" s="28"/>
      <c r="G35" s="28"/>
      <c r="H35" s="28"/>
      <c r="I35" s="28"/>
      <c r="J35" s="28"/>
      <c r="K35" s="28"/>
      <c r="L35" s="28"/>
      <c r="M35" s="28"/>
      <c r="N35" s="28"/>
      <c r="O35" s="28"/>
      <c r="P35" s="28"/>
    </row>
    <row r="36" spans="1:16" ht="24" customHeight="1" x14ac:dyDescent="0.25">
      <c r="A36" s="52"/>
      <c r="B36" s="33" t="s">
        <v>90</v>
      </c>
      <c r="C36" s="31">
        <v>1</v>
      </c>
      <c r="D36" s="24">
        <f t="shared" si="1"/>
        <v>0</v>
      </c>
      <c r="E36" s="28"/>
      <c r="F36" s="28"/>
      <c r="G36" s="28"/>
      <c r="H36" s="28"/>
      <c r="I36" s="28"/>
      <c r="J36" s="28"/>
      <c r="K36" s="28"/>
      <c r="L36" s="28"/>
      <c r="M36" s="28"/>
      <c r="N36" s="28"/>
      <c r="O36" s="28"/>
      <c r="P36" s="28"/>
    </row>
    <row r="37" spans="1:16" ht="24" customHeight="1" x14ac:dyDescent="0.25">
      <c r="A37" s="52"/>
      <c r="B37" s="33" t="s">
        <v>91</v>
      </c>
      <c r="C37" s="31">
        <v>1</v>
      </c>
      <c r="D37" s="24">
        <f t="shared" si="1"/>
        <v>0</v>
      </c>
      <c r="E37" s="28"/>
      <c r="F37" s="28"/>
      <c r="G37" s="28"/>
      <c r="H37" s="28"/>
      <c r="I37" s="28"/>
      <c r="J37" s="28"/>
      <c r="K37" s="28"/>
      <c r="L37" s="28"/>
      <c r="M37" s="28"/>
      <c r="N37" s="28"/>
      <c r="O37" s="28"/>
      <c r="P37" s="28"/>
    </row>
    <row r="38" spans="1:16" ht="24" customHeight="1" thickBot="1" x14ac:dyDescent="0.3">
      <c r="A38" s="53"/>
      <c r="B38" s="34" t="s">
        <v>92</v>
      </c>
      <c r="C38" s="31">
        <v>1</v>
      </c>
      <c r="D38" s="24">
        <f t="shared" si="1"/>
        <v>0</v>
      </c>
      <c r="E38" s="28"/>
      <c r="F38" s="28"/>
      <c r="G38" s="28"/>
      <c r="H38" s="28"/>
      <c r="I38" s="28"/>
      <c r="J38" s="28"/>
      <c r="K38" s="28"/>
      <c r="L38" s="28"/>
      <c r="M38" s="28"/>
      <c r="N38" s="28"/>
      <c r="O38" s="28"/>
      <c r="P38" s="28"/>
    </row>
    <row r="39" spans="1:16" x14ac:dyDescent="0.25">
      <c r="C39" s="35">
        <f>SUM(C3:C38)</f>
        <v>197</v>
      </c>
      <c r="D39" s="36">
        <f>SUM(D3:D38)</f>
        <v>83</v>
      </c>
    </row>
    <row r="40" spans="1:16" x14ac:dyDescent="0.25">
      <c r="C40" s="10"/>
      <c r="D40" s="11">
        <f>D39/C39</f>
        <v>0.42131979695431471</v>
      </c>
    </row>
  </sheetData>
  <sheetProtection algorithmName="SHA-512" hashValue="Eq5bf0B88/DZHefdNsccpriHz+zvyjsSmeJqFICRlQWIVRbQ/i+Dum4O67Lhc7r2akjXnOhJijwl0wuRwfvVuw==" saltValue="CB+1KlZ5TTrKRRnd2Ew+OQ==" spinCount="100000" sheet="1" objects="1" scenarios="1" autoFilter="0"/>
  <mergeCells count="2">
    <mergeCell ref="A1:A2"/>
    <mergeCell ref="A11:A38"/>
  </mergeCells>
  <conditionalFormatting sqref="C3:D3 D4:D10">
    <cfRule type="dataBar" priority="3">
      <dataBar>
        <cfvo type="min"/>
        <cfvo type="max"/>
        <color rgb="FF008AEF"/>
      </dataBar>
      <extLst>
        <ext xmlns:x14="http://schemas.microsoft.com/office/spreadsheetml/2009/9/main" uri="{B025F937-C7B1-47D3-B67F-A62EFF666E3E}">
          <x14:id>{FD9C5DFD-27C3-44D8-9F35-6346FF8CCBA6}</x14:id>
        </ext>
      </extLst>
    </cfRule>
  </conditionalFormatting>
  <conditionalFormatting sqref="C4:D4">
    <cfRule type="dataBar" priority="4">
      <dataBar>
        <cfvo type="min"/>
        <cfvo type="max"/>
        <color rgb="FF008AEF"/>
      </dataBar>
      <extLst>
        <ext xmlns:x14="http://schemas.microsoft.com/office/spreadsheetml/2009/9/main" uri="{B025F937-C7B1-47D3-B67F-A62EFF666E3E}">
          <x14:id>{2EEE9358-D7E4-40C9-9681-266768D788C2}</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{67107E06-EAC3-48C1-BE85-0BBAB40238F4}</x14:id>
        </ext>
      </extLst>
    </cfRule>
  </conditionalFormatting>
  <conditionalFormatting sqref="C6:D6">
    <cfRule type="dataBar" priority="6">
      <dataBar>
        <cfvo type="min"/>
        <cfvo type="max"/>
        <color rgb="FF008AEF"/>
      </dataBar>
      <extLst>
        <ext xmlns:x14="http://schemas.microsoft.com/office/spreadsheetml/2009/9/main" uri="{B025F937-C7B1-47D3-B67F-A62EFF666E3E}">
          <x14:id>{BE618C59-E84D-422A-9608-3B7B0FA8A8D9}</x14:id>
        </ext>
      </extLst>
    </cfRule>
  </conditionalFormatting>
  <conditionalFormatting sqref="C7:D7">
    <cfRule type="dataBar" priority="7">
      <dataBar>
        <cfvo type="min"/>
        <cfvo type="max"/>
        <color rgb="FF008AEF"/>
      </dataBar>
      <extLst>
        <ext xmlns:x14="http://schemas.microsoft.com/office/spreadsheetml/2009/9/main" uri="{B025F937-C7B1-47D3-B67F-A62EFF666E3E}">
          <x14:id>{040CB4B7-DF64-40FB-BB22-2282E5542570}</x14:id>
        </ext>
      </extLst>
    </cfRule>
  </conditionalFormatting>
  <conditionalFormatting sqref="C8:D8">
    <cfRule type="dataBar" priority="8">
      <dataBar>
        <cfvo type="min"/>
        <cfvo type="max"/>
        <color rgb="FF008AEF"/>
      </dataBar>
      <extLst>
        <ext xmlns:x14="http://schemas.microsoft.com/office/spreadsheetml/2009/9/main" uri="{B025F937-C7B1-47D3-B67F-A62EFF666E3E}">
          <x14:id>{C9C9DDC7-30F1-4900-851A-61ADAE3F6B1C}</x14:id>
        </ext>
      </extLst>
    </cfRule>
  </conditionalFormatting>
  <conditionalFormatting sqref="C9:D9">
    <cfRule type="dataBar" priority="9">
      <dataBar>
        <cfvo type="min"/>
        <cfvo type="max"/>
        <color rgb="FF008AEF"/>
      </dataBar>
      <extLst>
        <ext xmlns:x14="http://schemas.microsoft.com/office/spreadsheetml/2009/9/main" uri="{B025F937-C7B1-47D3-B67F-A62EFF666E3E}">
          <x14:id>{2CD2BAB1-6306-4F7D-9466-3CBE2C155F76}</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{136DAF07-3A4F-422F-AD7E-618689B9EB9F}</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{719D71AE-7819-45B6-9969-BEEE281F95B3}</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{F9A69050-CBD3-42A9-AA39-6C227B2F6B57}</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{5EFA487D-27E8-45AF-A5AF-1CF9ADC04611}</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{9BD87229-0B7C-4D6D-BC5E-D2E076356569}</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{6B01CC13-7A3D-41E2-83DB-B37E05082692}</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{C9D178D0-3639-4CCA-810C-8B3E4F2018F4}</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{102459F2-5D22-4547-B78F-565B8DAF34B7}</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{6F0A5665-25B8-4245-9C44-7CC38E0C6635}</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{15964DAB-7A71-4744-824A-4E172D20004D}</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{87F2678A-EE8F-4601-A753-D118F6A7ADFA}</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{9AEBE225-421F-40BA-8E9E-B253937BFB85}</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{BDBC508E-C2AD-4DEA-981B-861ABFEB3147}</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{DD761451-FF95-4DA4-9AAF-CD6E4070A06A}</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{BE301A37-0992-4306-8CB8-2408ED6FC292}</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{9DD34AAE-34EC-4E15-B8E4-CDB505409B42}</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{45B1260B-ECB9-4ABF-8959-C88C5CEB4812}</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{56982D2D-E77B-4E1B-9D3A-EEE89C892AE8}</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{0F606923-FB06-40DF-90B9-0F19AED05BE1}</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{5ACE5298-CA2D-495C-8F77-905DD6CDAF1F}</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{6DCE49A1-8309-446F-9795-98571503B2E2}</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{4A400F50-0911-4AF9-9999-B562B22EE910}</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{DD4F6585-2896-43CE-A567-BF83EB3EFD42}</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{C981AF44-8EA6-44C4-9859-0605F61A9B8C}</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{F9EEFE19-66D4-4243-BEE8-E028B131D1B1}</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{A22527B8-0DCF-41CB-8906-EDF7FC5E5CEA}</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{21DF82F0-AB10-4B12-8AA4-C25B03C55730}</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{FB2FB2E9-D0C5-4FCB-8B9E-0D5ABC2201C7}</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{884F276F-6922-43A1-A013-33AF8862A0DC}</x14:id>
        </ext>
      </extLst>
    </cfRule>
  </conditionalFormatting>
  <conditionalFormatting sqref="E3:P38">
    <cfRule type="cellIs" dxfId="9"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FD9C5DFD-27C3-44D8-9F35-6346FF8CCBA6}">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2EEE9358-D7E4-40C9-9681-266768D788C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7107E06-EAC3-48C1-BE85-0BBAB40238F4}">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E618C59-E84D-422A-9608-3B7B0FA8A8D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40CB4B7-DF64-40FB-BB22-2282E554257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9C9DDC7-30F1-4900-851A-61ADAE3F6B1C}">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2CD2BAB1-6306-4F7D-9466-3CBE2C155F7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36DAF07-3A4F-422F-AD7E-618689B9EB9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19D71AE-7819-45B6-9969-BEEE281F95B3}">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F9A69050-CBD3-42A9-AA39-6C227B2F6B5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5EFA487D-27E8-45AF-A5AF-1CF9ADC04611}">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BD87229-0B7C-4D6D-BC5E-D2E07635656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6B01CC13-7A3D-41E2-83DB-B37E05082692}">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9D178D0-3639-4CCA-810C-8B3E4F2018F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102459F2-5D22-4547-B78F-565B8DAF34B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F0A5665-25B8-4245-9C44-7CC38E0C663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5964DAB-7A71-4744-824A-4E172D20004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7F2678A-EE8F-4601-A753-D118F6A7ADF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AEBE225-421F-40BA-8E9E-B253937BFB8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DBC508E-C2AD-4DEA-981B-861ABFEB3147}">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D761451-FF95-4DA4-9AAF-CD6E4070A06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BE301A37-0992-4306-8CB8-2408ED6FC29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DD34AAE-34EC-4E15-B8E4-CDB505409B4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5B1260B-ECB9-4ABF-8959-C88C5CEB4812}">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56982D2D-E77B-4E1B-9D3A-EEE89C892AE8}">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0F606923-FB06-40DF-90B9-0F19AED05BE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5ACE5298-CA2D-495C-8F77-905DD6CDAF1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DCE49A1-8309-446F-9795-98571503B2E2}">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4A400F50-0911-4AF9-9999-B562B22EE910}">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DD4F6585-2896-43CE-A567-BF83EB3EFD42}">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981AF44-8EA6-44C4-9859-0605F61A9B8C}">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F9EEFE19-66D4-4243-BEE8-E028B131D1B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A22527B8-0DCF-41CB-8906-EDF7FC5E5CEA}">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21DF82F0-AB10-4B12-8AA4-C25B03C55730}">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FB2FB2E9-D0C5-4FCB-8B9E-0D5ABC2201C7}">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884F276F-6922-43A1-A013-33AF8862A0DC}">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4"/>
  <sheetViews>
    <sheetView topLeftCell="B1" zoomScale="70" zoomScaleNormal="70" workbookViewId="0">
      <selection activeCell="K6" sqref="K6"/>
    </sheetView>
  </sheetViews>
  <sheetFormatPr baseColWidth="10" defaultColWidth="11.42578125" defaultRowHeight="15" x14ac:dyDescent="0.25"/>
  <cols>
    <col min="1" max="1" width="9.42578125" style="2" customWidth="1"/>
    <col min="2" max="2" width="70.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93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41" t="s">
        <v>18</v>
      </c>
      <c r="B3" s="42" t="s">
        <v>17</v>
      </c>
      <c r="C3" s="27">
        <v>2</v>
      </c>
      <c r="D3" s="24">
        <f>SUM(E3:P3)</f>
        <v>1</v>
      </c>
      <c r="E3" s="28"/>
      <c r="F3" s="28">
        <v>1</v>
      </c>
      <c r="G3" s="28"/>
      <c r="H3" s="28"/>
      <c r="I3" s="28"/>
      <c r="J3" s="28"/>
      <c r="K3" s="28"/>
      <c r="L3" s="28"/>
      <c r="M3" s="28"/>
      <c r="N3" s="28"/>
      <c r="O3" s="28"/>
      <c r="P3" s="28"/>
    </row>
    <row r="4" spans="1:16" ht="81" customHeight="1" x14ac:dyDescent="0.25">
      <c r="A4" s="40" t="s">
        <v>20</v>
      </c>
      <c r="B4" s="15" t="s">
        <v>19</v>
      </c>
      <c r="C4" s="29">
        <v>2</v>
      </c>
      <c r="D4" s="24">
        <f>SUM(E4:P4)</f>
        <v>1</v>
      </c>
      <c r="E4" s="28">
        <v>0</v>
      </c>
      <c r="F4" s="28">
        <v>0</v>
      </c>
      <c r="G4" s="28">
        <v>0</v>
      </c>
      <c r="H4" s="28">
        <v>0</v>
      </c>
      <c r="I4" s="28">
        <v>1</v>
      </c>
      <c r="J4" s="28"/>
      <c r="K4" s="28"/>
      <c r="L4" s="28"/>
      <c r="M4" s="28"/>
      <c r="N4" s="28"/>
      <c r="O4" s="28"/>
      <c r="P4" s="28"/>
    </row>
    <row r="5" spans="1:16" ht="28.5" customHeight="1" x14ac:dyDescent="0.25">
      <c r="A5" s="51" t="s">
        <v>64</v>
      </c>
      <c r="B5" s="32" t="s">
        <v>65</v>
      </c>
      <c r="C5" s="31">
        <v>3</v>
      </c>
      <c r="D5" s="24">
        <f t="shared" ref="D5:D32" si="0">SUM(E5:P5)</f>
        <v>1</v>
      </c>
      <c r="E5" s="28"/>
      <c r="F5" s="28"/>
      <c r="G5" s="28">
        <v>1</v>
      </c>
      <c r="H5" s="28"/>
      <c r="I5" s="28"/>
      <c r="J5" s="28"/>
      <c r="K5" s="28"/>
      <c r="L5" s="28"/>
      <c r="M5" s="28"/>
      <c r="N5" s="28"/>
      <c r="O5" s="28"/>
      <c r="P5" s="28"/>
    </row>
    <row r="6" spans="1:16" ht="28.5" customHeight="1" x14ac:dyDescent="0.25">
      <c r="A6" s="52"/>
      <c r="B6" s="32" t="s">
        <v>66</v>
      </c>
      <c r="C6" s="31">
        <v>3</v>
      </c>
      <c r="D6" s="24">
        <f t="shared" si="0"/>
        <v>0</v>
      </c>
      <c r="E6" s="28"/>
      <c r="F6" s="28"/>
      <c r="G6" s="28"/>
      <c r="H6" s="28"/>
      <c r="I6" s="28"/>
      <c r="J6" s="28"/>
      <c r="K6" s="28"/>
      <c r="L6" s="28"/>
      <c r="M6" s="28"/>
      <c r="N6" s="28"/>
      <c r="O6" s="28"/>
      <c r="P6" s="28"/>
    </row>
    <row r="7" spans="1:16" ht="28.5" customHeight="1" x14ac:dyDescent="0.25">
      <c r="A7" s="52"/>
      <c r="B7" s="32" t="s">
        <v>67</v>
      </c>
      <c r="C7" s="31">
        <v>48</v>
      </c>
      <c r="D7" s="24">
        <f t="shared" si="0"/>
        <v>19</v>
      </c>
      <c r="E7" s="28">
        <v>4</v>
      </c>
      <c r="F7" s="28">
        <v>3</v>
      </c>
      <c r="G7" s="28">
        <v>2</v>
      </c>
      <c r="H7" s="28">
        <v>3</v>
      </c>
      <c r="I7" s="28">
        <v>6</v>
      </c>
      <c r="J7" s="28">
        <v>1</v>
      </c>
      <c r="K7" s="28"/>
      <c r="L7" s="28"/>
      <c r="M7" s="28"/>
      <c r="N7" s="28"/>
      <c r="O7" s="28"/>
      <c r="P7" s="28"/>
    </row>
    <row r="8" spans="1:16" ht="28.5" customHeight="1" x14ac:dyDescent="0.25">
      <c r="A8" s="52"/>
      <c r="B8" s="32" t="s">
        <v>68</v>
      </c>
      <c r="C8" s="31">
        <v>36</v>
      </c>
      <c r="D8" s="24">
        <f t="shared" si="0"/>
        <v>6</v>
      </c>
      <c r="E8" s="28"/>
      <c r="F8" s="28"/>
      <c r="G8" s="28">
        <v>6</v>
      </c>
      <c r="H8" s="28"/>
      <c r="I8" s="28"/>
      <c r="J8" s="28"/>
      <c r="K8" s="28"/>
      <c r="L8" s="28"/>
      <c r="M8" s="28"/>
      <c r="N8" s="28"/>
      <c r="O8" s="28"/>
      <c r="P8" s="28"/>
    </row>
    <row r="9" spans="1:16" ht="28.5" customHeight="1" x14ac:dyDescent="0.25">
      <c r="A9" s="52"/>
      <c r="B9" s="32" t="s">
        <v>69</v>
      </c>
      <c r="C9" s="31">
        <v>0</v>
      </c>
      <c r="D9" s="24">
        <f t="shared" si="0"/>
        <v>0</v>
      </c>
      <c r="E9" s="28"/>
      <c r="F9" s="28"/>
      <c r="G9" s="28"/>
      <c r="H9" s="28"/>
      <c r="I9" s="28"/>
      <c r="J9" s="28"/>
      <c r="K9" s="28"/>
      <c r="L9" s="28"/>
      <c r="M9" s="28"/>
      <c r="N9" s="28"/>
      <c r="O9" s="28"/>
      <c r="P9" s="28"/>
    </row>
    <row r="10" spans="1:16" ht="28.5" customHeight="1" x14ac:dyDescent="0.25">
      <c r="A10" s="52"/>
      <c r="B10" s="32" t="s">
        <v>70</v>
      </c>
      <c r="C10" s="31">
        <v>0</v>
      </c>
      <c r="D10" s="24">
        <f t="shared" si="0"/>
        <v>0</v>
      </c>
      <c r="E10" s="28"/>
      <c r="F10" s="28"/>
      <c r="G10" s="28"/>
      <c r="H10" s="28"/>
      <c r="I10" s="28"/>
      <c r="J10" s="28"/>
      <c r="K10" s="28"/>
      <c r="L10" s="28"/>
      <c r="M10" s="28"/>
      <c r="N10" s="28"/>
      <c r="O10" s="28"/>
      <c r="P10" s="28"/>
    </row>
    <row r="11" spans="1:16" ht="28.5" customHeight="1" x14ac:dyDescent="0.25">
      <c r="A11" s="52"/>
      <c r="B11" s="32" t="s">
        <v>71</v>
      </c>
      <c r="C11" s="31">
        <v>0</v>
      </c>
      <c r="D11" s="24">
        <f t="shared" si="0"/>
        <v>0</v>
      </c>
      <c r="E11" s="28"/>
      <c r="F11" s="28"/>
      <c r="G11" s="28"/>
      <c r="H11" s="28"/>
      <c r="I11" s="28"/>
      <c r="J11" s="28"/>
      <c r="K11" s="28"/>
      <c r="L11" s="28"/>
      <c r="M11" s="28"/>
      <c r="N11" s="28"/>
      <c r="O11" s="28"/>
      <c r="P11" s="28"/>
    </row>
    <row r="12" spans="1:16" ht="28.5" customHeight="1" x14ac:dyDescent="0.25">
      <c r="A12" s="52"/>
      <c r="B12" s="32" t="s">
        <v>72</v>
      </c>
      <c r="C12" s="31">
        <v>0</v>
      </c>
      <c r="D12" s="24">
        <f t="shared" si="0"/>
        <v>0</v>
      </c>
      <c r="E12" s="28"/>
      <c r="F12" s="28"/>
      <c r="G12" s="28"/>
      <c r="H12" s="28"/>
      <c r="I12" s="28"/>
      <c r="J12" s="28"/>
      <c r="K12" s="28"/>
      <c r="L12" s="28"/>
      <c r="M12" s="28"/>
      <c r="N12" s="28"/>
      <c r="O12" s="28"/>
      <c r="P12" s="28"/>
    </row>
    <row r="13" spans="1:16" ht="28.5" customHeight="1" x14ac:dyDescent="0.25">
      <c r="A13" s="52"/>
      <c r="B13" s="32" t="s">
        <v>73</v>
      </c>
      <c r="C13" s="31">
        <v>0</v>
      </c>
      <c r="D13" s="24">
        <f t="shared" si="0"/>
        <v>0</v>
      </c>
      <c r="E13" s="28"/>
      <c r="F13" s="28"/>
      <c r="G13" s="28"/>
      <c r="H13" s="28"/>
      <c r="I13" s="28"/>
      <c r="J13" s="28"/>
      <c r="K13" s="28"/>
      <c r="L13" s="28"/>
      <c r="M13" s="28"/>
      <c r="N13" s="28"/>
      <c r="O13" s="28"/>
      <c r="P13" s="28"/>
    </row>
    <row r="14" spans="1:16" ht="28.5" customHeight="1" x14ac:dyDescent="0.25">
      <c r="A14" s="52"/>
      <c r="B14" s="32" t="s">
        <v>74</v>
      </c>
      <c r="C14" s="31">
        <v>0</v>
      </c>
      <c r="D14" s="24">
        <f t="shared" si="0"/>
        <v>0</v>
      </c>
      <c r="E14" s="28"/>
      <c r="F14" s="28"/>
      <c r="G14" s="28"/>
      <c r="H14" s="28"/>
      <c r="I14" s="28"/>
      <c r="J14" s="28"/>
      <c r="K14" s="28"/>
      <c r="L14" s="28"/>
      <c r="M14" s="28"/>
      <c r="N14" s="28"/>
      <c r="O14" s="28"/>
      <c r="P14" s="28"/>
    </row>
    <row r="15" spans="1:16" ht="28.5" customHeight="1" x14ac:dyDescent="0.25">
      <c r="A15" s="52"/>
      <c r="B15" s="32" t="s">
        <v>75</v>
      </c>
      <c r="C15" s="31">
        <v>3</v>
      </c>
      <c r="D15" s="24">
        <f t="shared" si="0"/>
        <v>1</v>
      </c>
      <c r="E15" s="28">
        <v>1</v>
      </c>
      <c r="F15" s="28"/>
      <c r="G15" s="28"/>
      <c r="H15" s="28"/>
      <c r="I15" s="28"/>
      <c r="J15" s="28"/>
      <c r="K15" s="28"/>
      <c r="L15" s="28"/>
      <c r="M15" s="28"/>
      <c r="N15" s="28"/>
      <c r="O15" s="28"/>
      <c r="P15" s="28"/>
    </row>
    <row r="16" spans="1:16" ht="28.5" customHeight="1" x14ac:dyDescent="0.25">
      <c r="A16" s="52"/>
      <c r="B16" s="32" t="s">
        <v>76</v>
      </c>
      <c r="C16" s="31">
        <v>0</v>
      </c>
      <c r="D16" s="24">
        <f t="shared" si="0"/>
        <v>0</v>
      </c>
      <c r="E16" s="28"/>
      <c r="F16" s="28"/>
      <c r="G16" s="28"/>
      <c r="H16" s="28"/>
      <c r="I16" s="28"/>
      <c r="J16" s="28"/>
      <c r="K16" s="28"/>
      <c r="L16" s="28"/>
      <c r="M16" s="28"/>
      <c r="N16" s="28"/>
      <c r="O16" s="28"/>
      <c r="P16" s="28"/>
    </row>
    <row r="17" spans="1:16" ht="28.5" customHeight="1" x14ac:dyDescent="0.25">
      <c r="A17" s="52"/>
      <c r="B17" s="32" t="s">
        <v>77</v>
      </c>
      <c r="C17" s="31">
        <v>0</v>
      </c>
      <c r="D17" s="24">
        <f t="shared" si="0"/>
        <v>0</v>
      </c>
      <c r="E17" s="28"/>
      <c r="F17" s="28"/>
      <c r="G17" s="28"/>
      <c r="H17" s="28"/>
      <c r="I17" s="28"/>
      <c r="J17" s="28"/>
      <c r="K17" s="28"/>
      <c r="L17" s="28"/>
      <c r="M17" s="28"/>
      <c r="N17" s="28"/>
      <c r="O17" s="28"/>
      <c r="P17" s="28"/>
    </row>
    <row r="18" spans="1:16" ht="28.5" customHeight="1" x14ac:dyDescent="0.25">
      <c r="A18" s="52"/>
      <c r="B18" s="32" t="s">
        <v>78</v>
      </c>
      <c r="C18" s="31">
        <v>0</v>
      </c>
      <c r="D18" s="24">
        <f t="shared" si="0"/>
        <v>0</v>
      </c>
      <c r="E18" s="28"/>
      <c r="F18" s="28"/>
      <c r="G18" s="28"/>
      <c r="H18" s="28"/>
      <c r="I18" s="28"/>
      <c r="J18" s="28"/>
      <c r="K18" s="28"/>
      <c r="L18" s="28"/>
      <c r="M18" s="28"/>
      <c r="N18" s="28"/>
      <c r="O18" s="28"/>
      <c r="P18" s="28"/>
    </row>
    <row r="19" spans="1:16" ht="28.5" customHeight="1" x14ac:dyDescent="0.25">
      <c r="A19" s="52"/>
      <c r="B19" s="32" t="s">
        <v>79</v>
      </c>
      <c r="C19" s="31">
        <v>43</v>
      </c>
      <c r="D19" s="24">
        <f t="shared" si="0"/>
        <v>22</v>
      </c>
      <c r="E19" s="28">
        <v>10</v>
      </c>
      <c r="F19" s="28"/>
      <c r="G19" s="28">
        <v>2</v>
      </c>
      <c r="H19" s="28">
        <v>9</v>
      </c>
      <c r="I19" s="28">
        <v>1</v>
      </c>
      <c r="J19" s="28"/>
      <c r="K19" s="28"/>
      <c r="L19" s="28"/>
      <c r="M19" s="28"/>
      <c r="N19" s="28"/>
      <c r="O19" s="28"/>
      <c r="P19" s="28"/>
    </row>
    <row r="20" spans="1:16" ht="28.5" customHeight="1" x14ac:dyDescent="0.25">
      <c r="A20" s="52"/>
      <c r="B20" s="32" t="s">
        <v>80</v>
      </c>
      <c r="C20" s="31">
        <v>2</v>
      </c>
      <c r="D20" s="24">
        <f t="shared" si="0"/>
        <v>1</v>
      </c>
      <c r="E20" s="28"/>
      <c r="F20" s="28">
        <v>1</v>
      </c>
      <c r="G20" s="28"/>
      <c r="H20" s="28"/>
      <c r="I20" s="28"/>
      <c r="J20" s="28"/>
      <c r="K20" s="28"/>
      <c r="L20" s="28"/>
      <c r="M20" s="28"/>
      <c r="N20" s="28"/>
      <c r="O20" s="28"/>
      <c r="P20" s="28"/>
    </row>
    <row r="21" spans="1:16" ht="24" customHeight="1" x14ac:dyDescent="0.25">
      <c r="A21" s="52"/>
      <c r="B21" s="33" t="s">
        <v>81</v>
      </c>
      <c r="C21" s="31">
        <v>5</v>
      </c>
      <c r="D21" s="24">
        <f t="shared" si="0"/>
        <v>5</v>
      </c>
      <c r="E21" s="28"/>
      <c r="F21" s="28">
        <v>4</v>
      </c>
      <c r="G21" s="28">
        <v>1</v>
      </c>
      <c r="H21" s="28"/>
      <c r="I21" s="28"/>
      <c r="J21" s="28"/>
      <c r="K21" s="28"/>
      <c r="L21" s="28"/>
      <c r="M21" s="28"/>
      <c r="N21" s="28"/>
      <c r="O21" s="28"/>
      <c r="P21" s="28"/>
    </row>
    <row r="22" spans="1:16" ht="24" customHeight="1" x14ac:dyDescent="0.25">
      <c r="A22" s="52"/>
      <c r="B22" s="33" t="s">
        <v>82</v>
      </c>
      <c r="C22" s="31">
        <v>5</v>
      </c>
      <c r="D22" s="24">
        <f t="shared" si="0"/>
        <v>0</v>
      </c>
      <c r="E22" s="28"/>
      <c r="F22" s="28"/>
      <c r="G22" s="28"/>
      <c r="H22" s="28"/>
      <c r="I22" s="28"/>
      <c r="J22" s="28"/>
      <c r="K22" s="28"/>
      <c r="L22" s="28"/>
      <c r="M22" s="28"/>
      <c r="N22" s="28"/>
      <c r="O22" s="28"/>
      <c r="P22" s="28"/>
    </row>
    <row r="23" spans="1:16" ht="24" customHeight="1" x14ac:dyDescent="0.25">
      <c r="A23" s="52"/>
      <c r="B23" s="33" t="s">
        <v>83</v>
      </c>
      <c r="C23" s="31">
        <v>5</v>
      </c>
      <c r="D23" s="24">
        <f t="shared" si="0"/>
        <v>5</v>
      </c>
      <c r="E23" s="28"/>
      <c r="F23" s="28"/>
      <c r="G23" s="28"/>
      <c r="H23" s="28"/>
      <c r="I23" s="28">
        <v>5</v>
      </c>
      <c r="J23" s="28"/>
      <c r="K23" s="28"/>
      <c r="L23" s="28"/>
      <c r="M23" s="28"/>
      <c r="N23" s="28"/>
      <c r="O23" s="28"/>
      <c r="P23" s="28"/>
    </row>
    <row r="24" spans="1:16" ht="24" customHeight="1" x14ac:dyDescent="0.25">
      <c r="A24" s="52"/>
      <c r="B24" s="33" t="s">
        <v>84</v>
      </c>
      <c r="C24" s="31">
        <v>5</v>
      </c>
      <c r="D24" s="24">
        <f t="shared" si="0"/>
        <v>3</v>
      </c>
      <c r="E24" s="28"/>
      <c r="F24" s="28"/>
      <c r="G24" s="28"/>
      <c r="H24" s="28"/>
      <c r="I24" s="28"/>
      <c r="J24" s="28">
        <v>3</v>
      </c>
      <c r="K24" s="28"/>
      <c r="L24" s="28"/>
      <c r="M24" s="28"/>
      <c r="N24" s="28"/>
      <c r="O24" s="28"/>
      <c r="P24" s="28"/>
    </row>
    <row r="25" spans="1:16" ht="24" customHeight="1" x14ac:dyDescent="0.25">
      <c r="A25" s="52"/>
      <c r="B25" s="33" t="s">
        <v>85</v>
      </c>
      <c r="C25" s="31">
        <v>5</v>
      </c>
      <c r="D25" s="24">
        <f t="shared" si="0"/>
        <v>0</v>
      </c>
      <c r="E25" s="28"/>
      <c r="F25" s="28"/>
      <c r="G25" s="28"/>
      <c r="H25" s="28"/>
      <c r="I25" s="28"/>
      <c r="J25" s="28"/>
      <c r="K25" s="28"/>
      <c r="L25" s="28"/>
      <c r="M25" s="28"/>
      <c r="N25" s="28"/>
      <c r="O25" s="28"/>
      <c r="P25" s="28"/>
    </row>
    <row r="26" spans="1:16" ht="24" customHeight="1" x14ac:dyDescent="0.25">
      <c r="A26" s="52"/>
      <c r="B26" s="33" t="s">
        <v>86</v>
      </c>
      <c r="C26" s="31">
        <v>1</v>
      </c>
      <c r="D26" s="24">
        <f t="shared" si="0"/>
        <v>0</v>
      </c>
      <c r="E26" s="28"/>
      <c r="F26" s="28"/>
      <c r="G26" s="28"/>
      <c r="H26" s="28"/>
      <c r="I26" s="28"/>
      <c r="J26" s="28"/>
      <c r="K26" s="28"/>
      <c r="L26" s="28"/>
      <c r="M26" s="28"/>
      <c r="N26" s="28"/>
      <c r="O26" s="28"/>
      <c r="P26" s="28"/>
    </row>
    <row r="27" spans="1:16" ht="24" customHeight="1" x14ac:dyDescent="0.25">
      <c r="A27" s="52"/>
      <c r="B27" s="33" t="s">
        <v>87</v>
      </c>
      <c r="C27" s="31">
        <v>1</v>
      </c>
      <c r="D27" s="24">
        <f t="shared" si="0"/>
        <v>0</v>
      </c>
      <c r="E27" s="28"/>
      <c r="F27" s="28"/>
      <c r="G27" s="28"/>
      <c r="H27" s="28"/>
      <c r="I27" s="28"/>
      <c r="J27" s="28"/>
      <c r="K27" s="28"/>
      <c r="L27" s="28"/>
      <c r="M27" s="28"/>
      <c r="N27" s="28"/>
      <c r="O27" s="28"/>
      <c r="P27" s="28"/>
    </row>
    <row r="28" spans="1:16" ht="24" customHeight="1" x14ac:dyDescent="0.25">
      <c r="A28" s="52"/>
      <c r="B28" s="33" t="s">
        <v>88</v>
      </c>
      <c r="C28" s="31">
        <v>1</v>
      </c>
      <c r="D28" s="24">
        <f t="shared" si="0"/>
        <v>0</v>
      </c>
      <c r="E28" s="28"/>
      <c r="F28" s="28"/>
      <c r="G28" s="28"/>
      <c r="H28" s="28"/>
      <c r="I28" s="28"/>
      <c r="J28" s="28"/>
      <c r="K28" s="28"/>
      <c r="L28" s="28"/>
      <c r="M28" s="28"/>
      <c r="N28" s="28"/>
      <c r="O28" s="28"/>
      <c r="P28" s="28"/>
    </row>
    <row r="29" spans="1:16" ht="24" customHeight="1" x14ac:dyDescent="0.25">
      <c r="A29" s="52"/>
      <c r="B29" s="33" t="s">
        <v>89</v>
      </c>
      <c r="C29" s="31">
        <v>1</v>
      </c>
      <c r="D29" s="24">
        <f t="shared" si="0"/>
        <v>0</v>
      </c>
      <c r="E29" s="28"/>
      <c r="F29" s="28"/>
      <c r="G29" s="28"/>
      <c r="H29" s="28"/>
      <c r="I29" s="28"/>
      <c r="J29" s="28"/>
      <c r="K29" s="28"/>
      <c r="L29" s="28"/>
      <c r="M29" s="28"/>
      <c r="N29" s="28"/>
      <c r="O29" s="28"/>
      <c r="P29" s="28"/>
    </row>
    <row r="30" spans="1:16" ht="24" customHeight="1" x14ac:dyDescent="0.25">
      <c r="A30" s="52"/>
      <c r="B30" s="33" t="s">
        <v>90</v>
      </c>
      <c r="C30" s="31">
        <v>1</v>
      </c>
      <c r="D30" s="24">
        <f t="shared" si="0"/>
        <v>0</v>
      </c>
      <c r="E30" s="28"/>
      <c r="F30" s="28"/>
      <c r="G30" s="28"/>
      <c r="H30" s="28"/>
      <c r="I30" s="28"/>
      <c r="J30" s="28"/>
      <c r="K30" s="28"/>
      <c r="L30" s="28"/>
      <c r="M30" s="28"/>
      <c r="N30" s="28"/>
      <c r="O30" s="28"/>
      <c r="P30" s="28"/>
    </row>
    <row r="31" spans="1:16" ht="24" customHeight="1" x14ac:dyDescent="0.25">
      <c r="A31" s="52"/>
      <c r="B31" s="33" t="s">
        <v>91</v>
      </c>
      <c r="C31" s="31">
        <v>1</v>
      </c>
      <c r="D31" s="24">
        <f t="shared" si="0"/>
        <v>0</v>
      </c>
      <c r="E31" s="28"/>
      <c r="F31" s="28"/>
      <c r="G31" s="28"/>
      <c r="H31" s="28"/>
      <c r="I31" s="28"/>
      <c r="J31" s="28"/>
      <c r="K31" s="28"/>
      <c r="L31" s="28"/>
      <c r="M31" s="28"/>
      <c r="N31" s="28"/>
      <c r="O31" s="28"/>
      <c r="P31" s="28"/>
    </row>
    <row r="32" spans="1:16" ht="24" customHeight="1" thickBot="1" x14ac:dyDescent="0.3">
      <c r="A32" s="53"/>
      <c r="B32" s="34" t="s">
        <v>92</v>
      </c>
      <c r="C32" s="31">
        <v>1</v>
      </c>
      <c r="D32" s="24">
        <f t="shared" si="0"/>
        <v>0</v>
      </c>
      <c r="E32" s="28"/>
      <c r="F32" s="28"/>
      <c r="G32" s="28"/>
      <c r="H32" s="28"/>
      <c r="I32" s="28"/>
      <c r="J32" s="28"/>
      <c r="K32" s="28"/>
      <c r="L32" s="28"/>
      <c r="M32" s="28"/>
      <c r="N32" s="28"/>
      <c r="O32" s="28"/>
      <c r="P32" s="28"/>
    </row>
    <row r="33" spans="3:4" x14ac:dyDescent="0.25">
      <c r="C33" s="35">
        <f>SUM(C3:C32)</f>
        <v>174</v>
      </c>
      <c r="D33" s="36">
        <f>SUM(D3:D32)</f>
        <v>65</v>
      </c>
    </row>
    <row r="34" spans="3:4" x14ac:dyDescent="0.25">
      <c r="C34" s="10"/>
      <c r="D34" s="11">
        <f>D33/C33</f>
        <v>0.37356321839080459</v>
      </c>
    </row>
  </sheetData>
  <sheetProtection algorithmName="SHA-512" hashValue="VojS/NV5ID0qfBzk7utuofd+wUo2LRltXkARo+9Gvk0MaOczONvgVCRXkT/DEoEli/kK8o6K0bM+DxyvLf4H3A==" saltValue="iA/SWNMvmX++R2aJfMD+hw==" spinCount="100000" sheet="1" objects="1" scenarios="1" autoFilter="0"/>
  <mergeCells count="2">
    <mergeCell ref="A1:A2"/>
    <mergeCell ref="A5:A32"/>
  </mergeCells>
  <conditionalFormatting sqref="C3:D3 D4">
    <cfRule type="dataBar" priority="45">
      <dataBar>
        <cfvo type="min"/>
        <cfvo type="max"/>
        <color rgb="FF008AEF"/>
      </dataBar>
      <extLst>
        <ext xmlns:x14="http://schemas.microsoft.com/office/spreadsheetml/2009/9/main" uri="{B025F937-C7B1-47D3-B67F-A62EFF666E3E}">
          <x14:id>{4AE9DE00-A037-4C20-8AD5-D1890D534055}</x14:id>
        </ext>
      </extLst>
    </cfRule>
  </conditionalFormatting>
  <conditionalFormatting sqref="C4:D4">
    <cfRule type="dataBar" priority="4">
      <dataBar>
        <cfvo type="min"/>
        <cfvo type="max"/>
        <color rgb="FF008AEF"/>
      </dataBar>
      <extLst>
        <ext xmlns:x14="http://schemas.microsoft.com/office/spreadsheetml/2009/9/main" uri="{B025F937-C7B1-47D3-B67F-A62EFF666E3E}">
          <x14:id>{3BEA7C6D-E6A4-4BFE-A90B-02AB95996804}</x14:id>
        </ext>
      </extLst>
    </cfRule>
  </conditionalFormatting>
  <conditionalFormatting sqref="C5:D5">
    <cfRule type="dataBar" priority="12">
      <dataBar>
        <cfvo type="min"/>
        <cfvo type="max"/>
        <color rgb="FF008AEF"/>
      </dataBar>
      <extLst>
        <ext xmlns:x14="http://schemas.microsoft.com/office/spreadsheetml/2009/9/main" uri="{B025F937-C7B1-47D3-B67F-A62EFF666E3E}">
          <x14:id>{898126FF-75C8-4FA6-A7A1-E544A9D61AE1}</x14:id>
        </ext>
      </extLst>
    </cfRule>
  </conditionalFormatting>
  <conditionalFormatting sqref="C6:D6">
    <cfRule type="dataBar" priority="39">
      <dataBar>
        <cfvo type="min"/>
        <cfvo type="max"/>
        <color rgb="FF008AEF"/>
      </dataBar>
      <extLst>
        <ext xmlns:x14="http://schemas.microsoft.com/office/spreadsheetml/2009/9/main" uri="{B025F937-C7B1-47D3-B67F-A62EFF666E3E}">
          <x14:id>{7D9E9EE4-5396-4060-9D2B-B1A015B7CBD0}</x14:id>
        </ext>
      </extLst>
    </cfRule>
  </conditionalFormatting>
  <conditionalFormatting sqref="C7:D7">
    <cfRule type="dataBar" priority="38">
      <dataBar>
        <cfvo type="min"/>
        <cfvo type="max"/>
        <color rgb="FF008AEF"/>
      </dataBar>
      <extLst>
        <ext xmlns:x14="http://schemas.microsoft.com/office/spreadsheetml/2009/9/main" uri="{B025F937-C7B1-47D3-B67F-A62EFF666E3E}">
          <x14:id>{A98EDC7F-BDEB-4664-BC1B-2FB5657C333C}</x14:id>
        </ext>
      </extLst>
    </cfRule>
  </conditionalFormatting>
  <conditionalFormatting sqref="C8:D8">
    <cfRule type="dataBar" priority="37">
      <dataBar>
        <cfvo type="min"/>
        <cfvo type="max"/>
        <color rgb="FF008AEF"/>
      </dataBar>
      <extLst>
        <ext xmlns:x14="http://schemas.microsoft.com/office/spreadsheetml/2009/9/main" uri="{B025F937-C7B1-47D3-B67F-A62EFF666E3E}">
          <x14:id>{4D40FC7E-34F2-4F5F-A503-2FF37902B2BE}</x14:id>
        </ext>
      </extLst>
    </cfRule>
  </conditionalFormatting>
  <conditionalFormatting sqref="C9:D9">
    <cfRule type="dataBar" priority="36">
      <dataBar>
        <cfvo type="min"/>
        <cfvo type="max"/>
        <color rgb="FF008AEF"/>
      </dataBar>
      <extLst>
        <ext xmlns:x14="http://schemas.microsoft.com/office/spreadsheetml/2009/9/main" uri="{B025F937-C7B1-47D3-B67F-A62EFF666E3E}">
          <x14:id>{EC467425-AE6B-45BE-BDA3-92F9D6856A65}</x14:id>
        </ext>
      </extLst>
    </cfRule>
  </conditionalFormatting>
  <conditionalFormatting sqref="C10:D10">
    <cfRule type="dataBar" priority="35">
      <dataBar>
        <cfvo type="min"/>
        <cfvo type="max"/>
        <color rgb="FF008AEF"/>
      </dataBar>
      <extLst>
        <ext xmlns:x14="http://schemas.microsoft.com/office/spreadsheetml/2009/9/main" uri="{B025F937-C7B1-47D3-B67F-A62EFF666E3E}">
          <x14:id>{C2960EB5-94D2-444E-BDA7-B828C39C722B}</x14:id>
        </ext>
      </extLst>
    </cfRule>
  </conditionalFormatting>
  <conditionalFormatting sqref="C11:D11">
    <cfRule type="dataBar" priority="34">
      <dataBar>
        <cfvo type="min"/>
        <cfvo type="max"/>
        <color rgb="FF008AEF"/>
      </dataBar>
      <extLst>
        <ext xmlns:x14="http://schemas.microsoft.com/office/spreadsheetml/2009/9/main" uri="{B025F937-C7B1-47D3-B67F-A62EFF666E3E}">
          <x14:id>{5FD513CC-DD52-4021-A2D1-6848BA6A8BBE}</x14:id>
        </ext>
      </extLst>
    </cfRule>
  </conditionalFormatting>
  <conditionalFormatting sqref="C12:D12">
    <cfRule type="dataBar" priority="33">
      <dataBar>
        <cfvo type="min"/>
        <cfvo type="max"/>
        <color rgb="FF008AEF"/>
      </dataBar>
      <extLst>
        <ext xmlns:x14="http://schemas.microsoft.com/office/spreadsheetml/2009/9/main" uri="{B025F937-C7B1-47D3-B67F-A62EFF666E3E}">
          <x14:id>{8B32FB73-AB48-45AE-B47E-8D678A01AC19}</x14:id>
        </ext>
      </extLst>
    </cfRule>
  </conditionalFormatting>
  <conditionalFormatting sqref="C13:D13">
    <cfRule type="dataBar" priority="32">
      <dataBar>
        <cfvo type="min"/>
        <cfvo type="max"/>
        <color rgb="FF008AEF"/>
      </dataBar>
      <extLst>
        <ext xmlns:x14="http://schemas.microsoft.com/office/spreadsheetml/2009/9/main" uri="{B025F937-C7B1-47D3-B67F-A62EFF666E3E}">
          <x14:id>{CCD0D83A-33D9-47F5-B7C7-F39EF626F745}</x14:id>
        </ext>
      </extLst>
    </cfRule>
  </conditionalFormatting>
  <conditionalFormatting sqref="C14:D14">
    <cfRule type="dataBar" priority="31">
      <dataBar>
        <cfvo type="min"/>
        <cfvo type="max"/>
        <color rgb="FF008AEF"/>
      </dataBar>
      <extLst>
        <ext xmlns:x14="http://schemas.microsoft.com/office/spreadsheetml/2009/9/main" uri="{B025F937-C7B1-47D3-B67F-A62EFF666E3E}">
          <x14:id>{6CA068E0-9EFF-4468-B24A-11D29EBA7709}</x14:id>
        </ext>
      </extLst>
    </cfRule>
  </conditionalFormatting>
  <conditionalFormatting sqref="C15:D15">
    <cfRule type="dataBar" priority="30">
      <dataBar>
        <cfvo type="min"/>
        <cfvo type="max"/>
        <color rgb="FF008AEF"/>
      </dataBar>
      <extLst>
        <ext xmlns:x14="http://schemas.microsoft.com/office/spreadsheetml/2009/9/main" uri="{B025F937-C7B1-47D3-B67F-A62EFF666E3E}">
          <x14:id>{FC397E6A-6D54-4DB9-AD6D-3026441D405F}</x14:id>
        </ext>
      </extLst>
    </cfRule>
  </conditionalFormatting>
  <conditionalFormatting sqref="C16:D16">
    <cfRule type="dataBar" priority="29">
      <dataBar>
        <cfvo type="min"/>
        <cfvo type="max"/>
        <color rgb="FF008AEF"/>
      </dataBar>
      <extLst>
        <ext xmlns:x14="http://schemas.microsoft.com/office/spreadsheetml/2009/9/main" uri="{B025F937-C7B1-47D3-B67F-A62EFF666E3E}">
          <x14:id>{AF81868B-A344-40D5-B307-94F191834CB3}</x14:id>
        </ext>
      </extLst>
    </cfRule>
  </conditionalFormatting>
  <conditionalFormatting sqref="C17:D17">
    <cfRule type="dataBar" priority="28">
      <dataBar>
        <cfvo type="min"/>
        <cfvo type="max"/>
        <color rgb="FF008AEF"/>
      </dataBar>
      <extLst>
        <ext xmlns:x14="http://schemas.microsoft.com/office/spreadsheetml/2009/9/main" uri="{B025F937-C7B1-47D3-B67F-A62EFF666E3E}">
          <x14:id>{60F2DFD1-F38F-4D64-89AB-C4208CB7ED7A}</x14:id>
        </ext>
      </extLst>
    </cfRule>
  </conditionalFormatting>
  <conditionalFormatting sqref="C18:D18">
    <cfRule type="dataBar" priority="27">
      <dataBar>
        <cfvo type="min"/>
        <cfvo type="max"/>
        <color rgb="FF008AEF"/>
      </dataBar>
      <extLst>
        <ext xmlns:x14="http://schemas.microsoft.com/office/spreadsheetml/2009/9/main" uri="{B025F937-C7B1-47D3-B67F-A62EFF666E3E}">
          <x14:id>{5BB92398-FA99-4DF6-9002-42208FAE3BBA}</x14:id>
        </ext>
      </extLst>
    </cfRule>
  </conditionalFormatting>
  <conditionalFormatting sqref="C19:D19">
    <cfRule type="dataBar" priority="26">
      <dataBar>
        <cfvo type="min"/>
        <cfvo type="max"/>
        <color rgb="FF008AEF"/>
      </dataBar>
      <extLst>
        <ext xmlns:x14="http://schemas.microsoft.com/office/spreadsheetml/2009/9/main" uri="{B025F937-C7B1-47D3-B67F-A62EFF666E3E}">
          <x14:id>{0955C5AA-714E-47EF-8A58-386296981A27}</x14:id>
        </ext>
      </extLst>
    </cfRule>
  </conditionalFormatting>
  <conditionalFormatting sqref="C20:D20">
    <cfRule type="dataBar" priority="25">
      <dataBar>
        <cfvo type="min"/>
        <cfvo type="max"/>
        <color rgb="FF008AEF"/>
      </dataBar>
      <extLst>
        <ext xmlns:x14="http://schemas.microsoft.com/office/spreadsheetml/2009/9/main" uri="{B025F937-C7B1-47D3-B67F-A62EFF666E3E}">
          <x14:id>{F2566CA8-EB93-4D93-9D38-BD81934EECD5}</x14:id>
        </ext>
      </extLst>
    </cfRule>
  </conditionalFormatting>
  <conditionalFormatting sqref="C21:D21">
    <cfRule type="dataBar" priority="24">
      <dataBar>
        <cfvo type="min"/>
        <cfvo type="max"/>
        <color rgb="FF008AEF"/>
      </dataBar>
      <extLst>
        <ext xmlns:x14="http://schemas.microsoft.com/office/spreadsheetml/2009/9/main" uri="{B025F937-C7B1-47D3-B67F-A62EFF666E3E}">
          <x14:id>{601B63D5-7816-4F84-B5A2-1352D7D3FB78}</x14:id>
        </ext>
      </extLst>
    </cfRule>
  </conditionalFormatting>
  <conditionalFormatting sqref="C22:D22">
    <cfRule type="dataBar" priority="23">
      <dataBar>
        <cfvo type="min"/>
        <cfvo type="max"/>
        <color rgb="FF008AEF"/>
      </dataBar>
      <extLst>
        <ext xmlns:x14="http://schemas.microsoft.com/office/spreadsheetml/2009/9/main" uri="{B025F937-C7B1-47D3-B67F-A62EFF666E3E}">
          <x14:id>{9916184B-74EC-4E72-AC1A-8C0D8B89161C}</x14:id>
        </ext>
      </extLst>
    </cfRule>
  </conditionalFormatting>
  <conditionalFormatting sqref="C23:D23">
    <cfRule type="dataBar" priority="22">
      <dataBar>
        <cfvo type="min"/>
        <cfvo type="max"/>
        <color rgb="FF008AEF"/>
      </dataBar>
      <extLst>
        <ext xmlns:x14="http://schemas.microsoft.com/office/spreadsheetml/2009/9/main" uri="{B025F937-C7B1-47D3-B67F-A62EFF666E3E}">
          <x14:id>{96DDA8E0-3107-492A-8656-FB8B1FFFFBA4}</x14:id>
        </ext>
      </extLst>
    </cfRule>
  </conditionalFormatting>
  <conditionalFormatting sqref="C24:D24">
    <cfRule type="dataBar" priority="21">
      <dataBar>
        <cfvo type="min"/>
        <cfvo type="max"/>
        <color rgb="FF008AEF"/>
      </dataBar>
      <extLst>
        <ext xmlns:x14="http://schemas.microsoft.com/office/spreadsheetml/2009/9/main" uri="{B025F937-C7B1-47D3-B67F-A62EFF666E3E}">
          <x14:id>{7B32D79E-C4A8-4D2E-A0C6-613A4F1577BB}</x14:id>
        </ext>
      </extLst>
    </cfRule>
  </conditionalFormatting>
  <conditionalFormatting sqref="C25:D25">
    <cfRule type="dataBar" priority="20">
      <dataBar>
        <cfvo type="min"/>
        <cfvo type="max"/>
        <color rgb="FF008AEF"/>
      </dataBar>
      <extLst>
        <ext xmlns:x14="http://schemas.microsoft.com/office/spreadsheetml/2009/9/main" uri="{B025F937-C7B1-47D3-B67F-A62EFF666E3E}">
          <x14:id>{5254A6A0-B985-4238-9428-E9241BAA1F21}</x14:id>
        </ext>
      </extLst>
    </cfRule>
  </conditionalFormatting>
  <conditionalFormatting sqref="C26:D26">
    <cfRule type="dataBar" priority="19">
      <dataBar>
        <cfvo type="min"/>
        <cfvo type="max"/>
        <color rgb="FF008AEF"/>
      </dataBar>
      <extLst>
        <ext xmlns:x14="http://schemas.microsoft.com/office/spreadsheetml/2009/9/main" uri="{B025F937-C7B1-47D3-B67F-A62EFF666E3E}">
          <x14:id>{D5DA0A5F-1017-4564-A5EF-26526D381E01}</x14:id>
        </ext>
      </extLst>
    </cfRule>
  </conditionalFormatting>
  <conditionalFormatting sqref="C27:D27">
    <cfRule type="dataBar" priority="18">
      <dataBar>
        <cfvo type="min"/>
        <cfvo type="max"/>
        <color rgb="FF008AEF"/>
      </dataBar>
      <extLst>
        <ext xmlns:x14="http://schemas.microsoft.com/office/spreadsheetml/2009/9/main" uri="{B025F937-C7B1-47D3-B67F-A62EFF666E3E}">
          <x14:id>{9049BCFD-419F-41D4-BAFE-1055DD0A217A}</x14:id>
        </ext>
      </extLst>
    </cfRule>
  </conditionalFormatting>
  <conditionalFormatting sqref="C28:D28">
    <cfRule type="dataBar" priority="17">
      <dataBar>
        <cfvo type="min"/>
        <cfvo type="max"/>
        <color rgb="FF008AEF"/>
      </dataBar>
      <extLst>
        <ext xmlns:x14="http://schemas.microsoft.com/office/spreadsheetml/2009/9/main" uri="{B025F937-C7B1-47D3-B67F-A62EFF666E3E}">
          <x14:id>{6D49502A-595D-4829-A991-3B715F49793D}</x14:id>
        </ext>
      </extLst>
    </cfRule>
  </conditionalFormatting>
  <conditionalFormatting sqref="C29:D29">
    <cfRule type="dataBar" priority="16">
      <dataBar>
        <cfvo type="min"/>
        <cfvo type="max"/>
        <color rgb="FF008AEF"/>
      </dataBar>
      <extLst>
        <ext xmlns:x14="http://schemas.microsoft.com/office/spreadsheetml/2009/9/main" uri="{B025F937-C7B1-47D3-B67F-A62EFF666E3E}">
          <x14:id>{E4F32798-6C6A-4A6A-A657-1F3368B60769}</x14:id>
        </ext>
      </extLst>
    </cfRule>
  </conditionalFormatting>
  <conditionalFormatting sqref="C30:D30">
    <cfRule type="dataBar" priority="15">
      <dataBar>
        <cfvo type="min"/>
        <cfvo type="max"/>
        <color rgb="FF008AEF"/>
      </dataBar>
      <extLst>
        <ext xmlns:x14="http://schemas.microsoft.com/office/spreadsheetml/2009/9/main" uri="{B025F937-C7B1-47D3-B67F-A62EFF666E3E}">
          <x14:id>{129C9D7A-8A28-4BD7-8344-C8874A27894D}</x14:id>
        </ext>
      </extLst>
    </cfRule>
  </conditionalFormatting>
  <conditionalFormatting sqref="C31:D31">
    <cfRule type="dataBar" priority="14">
      <dataBar>
        <cfvo type="min"/>
        <cfvo type="max"/>
        <color rgb="FF008AEF"/>
      </dataBar>
      <extLst>
        <ext xmlns:x14="http://schemas.microsoft.com/office/spreadsheetml/2009/9/main" uri="{B025F937-C7B1-47D3-B67F-A62EFF666E3E}">
          <x14:id>{C107EEFD-9AF1-4055-8726-F49D317C4C40}</x14:id>
        </ext>
      </extLst>
    </cfRule>
  </conditionalFormatting>
  <conditionalFormatting sqref="C32:D32">
    <cfRule type="dataBar" priority="13">
      <dataBar>
        <cfvo type="min"/>
        <cfvo type="max"/>
        <color rgb="FF008AEF"/>
      </dataBar>
      <extLst>
        <ext xmlns:x14="http://schemas.microsoft.com/office/spreadsheetml/2009/9/main" uri="{B025F937-C7B1-47D3-B67F-A62EFF666E3E}">
          <x14:id>{E8978489-CB8A-4122-BF55-A431096EC460}</x14:id>
        </ext>
      </extLst>
    </cfRule>
  </conditionalFormatting>
  <conditionalFormatting sqref="E3:P32">
    <cfRule type="cellIs" dxfId="8"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AE9DE00-A037-4C20-8AD5-D1890D534055}">
            <x14:dataBar minLength="0" maxLength="100" gradient="0">
              <x14:cfvo type="autoMin"/>
              <x14:cfvo type="autoMax"/>
              <x14:negativeFillColor rgb="FFFF0000"/>
              <x14:axisColor rgb="FF000000"/>
            </x14:dataBar>
          </x14:cfRule>
          <xm:sqref>C3:D3 D4</xm:sqref>
        </x14:conditionalFormatting>
        <x14:conditionalFormatting xmlns:xm="http://schemas.microsoft.com/office/excel/2006/main">
          <x14:cfRule type="dataBar" id="{3BEA7C6D-E6A4-4BFE-A90B-02AB9599680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98126FF-75C8-4FA6-A7A1-E544A9D61AE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D9E9EE4-5396-4060-9D2B-B1A015B7CBD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A98EDC7F-BDEB-4664-BC1B-2FB5657C333C}">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4D40FC7E-34F2-4F5F-A503-2FF37902B2BE}">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C467425-AE6B-45BE-BDA3-92F9D6856A6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C2960EB5-94D2-444E-BDA7-B828C39C722B}">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FD513CC-DD52-4021-A2D1-6848BA6A8BB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B32FB73-AB48-45AE-B47E-8D678A01AC1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CCD0D83A-33D9-47F5-B7C7-F39EF626F745}">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CA068E0-9EFF-4468-B24A-11D29EBA770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C397E6A-6D54-4DB9-AD6D-3026441D405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F81868B-A344-40D5-B307-94F191834CB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60F2DFD1-F38F-4D64-89AB-C4208CB7ED7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BB92398-FA99-4DF6-9002-42208FAE3BB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955C5AA-714E-47EF-8A58-386296981A2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2566CA8-EB93-4D93-9D38-BD81934EECD5}">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01B63D5-7816-4F84-B5A2-1352D7D3FB78}">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916184B-74EC-4E72-AC1A-8C0D8B89161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6DDA8E0-3107-492A-8656-FB8B1FFFFBA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B32D79E-C4A8-4D2E-A0C6-613A4F1577B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254A6A0-B985-4238-9428-E9241BAA1F2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5DA0A5F-1017-4564-A5EF-26526D381E01}">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049BCFD-419F-41D4-BAFE-1055DD0A217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D49502A-595D-4829-A991-3B715F49793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4F32798-6C6A-4A6A-A657-1F3368B60769}">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129C9D7A-8A28-4BD7-8344-C8874A27894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107EEFD-9AF1-4055-8726-F49D317C4C40}">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E8978489-CB8A-4122-BF55-A431096EC460}">
            <x14:dataBar minLength="0" maxLength="100" gradient="0">
              <x14:cfvo type="autoMin"/>
              <x14:cfvo type="autoMax"/>
              <x14:negativeFillColor rgb="FFFF0000"/>
              <x14:axisColor rgb="FF000000"/>
            </x14:dataBar>
          </x14:cfRule>
          <xm:sqref>C32:D32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8"/>
  <sheetViews>
    <sheetView zoomScale="60" zoomScaleNormal="60" workbookViewId="0">
      <selection activeCell="J6" sqref="J6"/>
    </sheetView>
  </sheetViews>
  <sheetFormatPr baseColWidth="10" defaultColWidth="11.42578125" defaultRowHeight="15" x14ac:dyDescent="0.25"/>
  <cols>
    <col min="1" max="1" width="8.28515625" style="2" customWidth="1"/>
    <col min="2" max="2" width="82.28515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34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 t="shared" ref="D3:D8" si="0">SUM(E3:P3)</f>
        <v>1</v>
      </c>
      <c r="E3" s="28"/>
      <c r="F3" s="28"/>
      <c r="G3" s="28"/>
      <c r="H3" s="28"/>
      <c r="I3" s="28"/>
      <c r="J3" s="28">
        <v>1</v>
      </c>
      <c r="K3" s="28"/>
      <c r="L3" s="28"/>
      <c r="M3" s="28"/>
      <c r="N3" s="28"/>
      <c r="O3" s="28"/>
      <c r="P3" s="28"/>
    </row>
    <row r="4" spans="1:16" ht="81" customHeight="1" x14ac:dyDescent="0.25">
      <c r="A4" s="40" t="s">
        <v>20</v>
      </c>
      <c r="B4" s="16" t="s">
        <v>19</v>
      </c>
      <c r="C4" s="29">
        <v>2</v>
      </c>
      <c r="D4" s="24">
        <f t="shared" si="0"/>
        <v>0</v>
      </c>
      <c r="E4" s="28">
        <v>0</v>
      </c>
      <c r="F4" s="28">
        <v>0</v>
      </c>
      <c r="G4" s="28">
        <v>0</v>
      </c>
      <c r="H4" s="28">
        <v>0</v>
      </c>
      <c r="I4" s="28"/>
      <c r="J4" s="28"/>
      <c r="K4" s="28"/>
      <c r="L4" s="28"/>
      <c r="M4" s="28"/>
      <c r="N4" s="28"/>
      <c r="O4" s="28"/>
      <c r="P4" s="28"/>
    </row>
    <row r="5" spans="1:16" ht="81" customHeight="1" x14ac:dyDescent="0.25">
      <c r="A5" s="37" t="s">
        <v>18</v>
      </c>
      <c r="B5" s="5" t="s">
        <v>23</v>
      </c>
      <c r="C5" s="30">
        <v>1</v>
      </c>
      <c r="D5" s="24">
        <f t="shared" si="0"/>
        <v>0</v>
      </c>
      <c r="E5" s="28"/>
      <c r="F5" s="28"/>
      <c r="G5" s="28"/>
      <c r="H5" s="28"/>
      <c r="I5" s="28"/>
      <c r="J5" s="28"/>
      <c r="K5" s="28"/>
      <c r="L5" s="28"/>
      <c r="M5" s="28"/>
      <c r="N5" s="28"/>
      <c r="O5" s="28"/>
      <c r="P5" s="28"/>
    </row>
    <row r="6" spans="1:16" ht="81" customHeight="1" x14ac:dyDescent="0.25">
      <c r="A6" s="39" t="s">
        <v>22</v>
      </c>
      <c r="B6" s="17" t="s">
        <v>35</v>
      </c>
      <c r="C6" s="31">
        <v>2</v>
      </c>
      <c r="D6" s="24">
        <f t="shared" si="0"/>
        <v>0</v>
      </c>
      <c r="E6" s="28">
        <v>0</v>
      </c>
      <c r="F6" s="28">
        <v>0</v>
      </c>
      <c r="G6" s="28">
        <v>0</v>
      </c>
      <c r="H6" s="28">
        <v>0</v>
      </c>
      <c r="I6" s="28"/>
      <c r="J6" s="28"/>
      <c r="K6" s="28"/>
      <c r="L6" s="28"/>
      <c r="M6" s="28"/>
      <c r="N6" s="28"/>
      <c r="O6" s="28"/>
      <c r="P6" s="28"/>
    </row>
    <row r="7" spans="1:16" ht="81" customHeight="1" x14ac:dyDescent="0.25">
      <c r="A7" s="37" t="s">
        <v>18</v>
      </c>
      <c r="B7" s="5" t="s">
        <v>24</v>
      </c>
      <c r="C7" s="31">
        <v>2</v>
      </c>
      <c r="D7" s="24">
        <f t="shared" si="0"/>
        <v>0</v>
      </c>
      <c r="E7" s="28"/>
      <c r="F7" s="28"/>
      <c r="G7" s="28"/>
      <c r="H7" s="28"/>
      <c r="I7" s="28"/>
      <c r="J7" s="28"/>
      <c r="K7" s="28"/>
      <c r="L7" s="28"/>
      <c r="M7" s="28"/>
      <c r="N7" s="28"/>
      <c r="O7" s="28"/>
      <c r="P7" s="28"/>
    </row>
    <row r="8" spans="1:16" ht="81" customHeight="1" x14ac:dyDescent="0.25">
      <c r="A8" s="37" t="s">
        <v>18</v>
      </c>
      <c r="B8" s="5" t="s">
        <v>25</v>
      </c>
      <c r="C8" s="31">
        <v>1</v>
      </c>
      <c r="D8" s="24">
        <f t="shared" si="0"/>
        <v>0</v>
      </c>
      <c r="E8" s="28"/>
      <c r="F8" s="28"/>
      <c r="G8" s="28"/>
      <c r="H8" s="28"/>
      <c r="I8" s="28"/>
      <c r="J8" s="28"/>
      <c r="K8" s="28"/>
      <c r="L8" s="28"/>
      <c r="M8" s="28"/>
      <c r="N8" s="28"/>
      <c r="O8" s="28"/>
      <c r="P8" s="28"/>
    </row>
    <row r="9" spans="1:16" ht="28.5" customHeight="1" x14ac:dyDescent="0.25">
      <c r="A9" s="51" t="s">
        <v>64</v>
      </c>
      <c r="B9" s="32" t="s">
        <v>65</v>
      </c>
      <c r="C9" s="31">
        <v>3</v>
      </c>
      <c r="D9" s="24">
        <f t="shared" ref="D9:D36" si="1">SUM(E9:P9)</f>
        <v>3</v>
      </c>
      <c r="E9" s="28">
        <v>1</v>
      </c>
      <c r="F9" s="28">
        <v>1</v>
      </c>
      <c r="G9" s="28">
        <v>1</v>
      </c>
      <c r="H9" s="28"/>
      <c r="I9" s="28"/>
      <c r="J9" s="28"/>
      <c r="K9" s="28"/>
      <c r="L9" s="28"/>
      <c r="M9" s="28"/>
      <c r="N9" s="28"/>
      <c r="O9" s="28"/>
      <c r="P9" s="28"/>
    </row>
    <row r="10" spans="1:16" ht="28.5" customHeight="1" x14ac:dyDescent="0.25">
      <c r="A10" s="52"/>
      <c r="B10" s="32" t="s">
        <v>66</v>
      </c>
      <c r="C10" s="31">
        <v>3</v>
      </c>
      <c r="D10" s="24">
        <f t="shared" si="1"/>
        <v>8</v>
      </c>
      <c r="E10" s="28">
        <v>7</v>
      </c>
      <c r="F10" s="28"/>
      <c r="G10" s="28">
        <v>1</v>
      </c>
      <c r="H10" s="28"/>
      <c r="I10" s="28"/>
      <c r="J10" s="28"/>
      <c r="K10" s="28"/>
      <c r="L10" s="28"/>
      <c r="M10" s="28"/>
      <c r="N10" s="28"/>
      <c r="O10" s="28"/>
      <c r="P10" s="28"/>
    </row>
    <row r="11" spans="1:16" ht="28.5" customHeight="1" x14ac:dyDescent="0.25">
      <c r="A11" s="52"/>
      <c r="B11" s="32" t="s">
        <v>67</v>
      </c>
      <c r="C11" s="31">
        <v>84</v>
      </c>
      <c r="D11" s="24">
        <f t="shared" si="1"/>
        <v>29</v>
      </c>
      <c r="E11" s="28"/>
      <c r="F11" s="28">
        <v>6</v>
      </c>
      <c r="G11" s="28">
        <v>7</v>
      </c>
      <c r="H11" s="28">
        <v>7</v>
      </c>
      <c r="I11" s="28">
        <v>7</v>
      </c>
      <c r="J11" s="28">
        <v>2</v>
      </c>
      <c r="K11" s="28"/>
      <c r="L11" s="28"/>
      <c r="M11" s="28"/>
      <c r="N11" s="28"/>
      <c r="O11" s="28"/>
      <c r="P11" s="28"/>
    </row>
    <row r="12" spans="1:16" ht="28.5" customHeight="1" x14ac:dyDescent="0.25">
      <c r="A12" s="52"/>
      <c r="B12" s="32" t="s">
        <v>68</v>
      </c>
      <c r="C12" s="31">
        <v>57</v>
      </c>
      <c r="D12" s="24">
        <f t="shared" si="1"/>
        <v>14</v>
      </c>
      <c r="E12" s="28"/>
      <c r="F12" s="28"/>
      <c r="G12" s="28">
        <v>14</v>
      </c>
      <c r="H12" s="28"/>
      <c r="I12" s="28"/>
      <c r="J12" s="28"/>
      <c r="K12" s="28"/>
      <c r="L12" s="28"/>
      <c r="M12" s="28"/>
      <c r="N12" s="28"/>
      <c r="O12" s="28"/>
      <c r="P12" s="28"/>
    </row>
    <row r="13" spans="1:16" ht="28.5" customHeight="1" x14ac:dyDescent="0.25">
      <c r="A13" s="52"/>
      <c r="B13" s="32" t="s">
        <v>69</v>
      </c>
      <c r="C13" s="31">
        <v>0</v>
      </c>
      <c r="D13" s="24">
        <f t="shared" si="1"/>
        <v>0</v>
      </c>
      <c r="E13" s="28"/>
      <c r="F13" s="28"/>
      <c r="G13" s="28"/>
      <c r="H13" s="28"/>
      <c r="I13" s="28"/>
      <c r="J13" s="28"/>
      <c r="K13" s="28"/>
      <c r="L13" s="28"/>
      <c r="M13" s="28"/>
      <c r="N13" s="28"/>
      <c r="O13" s="28"/>
      <c r="P13" s="28"/>
    </row>
    <row r="14" spans="1:16" ht="28.5" customHeight="1" x14ac:dyDescent="0.25">
      <c r="A14" s="52"/>
      <c r="B14" s="32" t="s">
        <v>70</v>
      </c>
      <c r="C14" s="31">
        <v>4</v>
      </c>
      <c r="D14" s="24">
        <f t="shared" si="1"/>
        <v>0</v>
      </c>
      <c r="E14" s="28"/>
      <c r="F14" s="28"/>
      <c r="G14" s="28"/>
      <c r="H14" s="28"/>
      <c r="I14" s="28"/>
      <c r="J14" s="28"/>
      <c r="K14" s="28"/>
      <c r="L14" s="28"/>
      <c r="M14" s="28"/>
      <c r="N14" s="28"/>
      <c r="O14" s="28"/>
      <c r="P14" s="28"/>
    </row>
    <row r="15" spans="1:16" ht="28.5" customHeight="1" x14ac:dyDescent="0.25">
      <c r="A15" s="52"/>
      <c r="B15" s="32" t="s">
        <v>71</v>
      </c>
      <c r="C15" s="31">
        <v>0</v>
      </c>
      <c r="D15" s="24">
        <f t="shared" si="1"/>
        <v>0</v>
      </c>
      <c r="E15" s="28"/>
      <c r="F15" s="28"/>
      <c r="G15" s="28"/>
      <c r="H15" s="28"/>
      <c r="I15" s="28"/>
      <c r="J15" s="28"/>
      <c r="K15" s="28"/>
      <c r="L15" s="28"/>
      <c r="M15" s="28"/>
      <c r="N15" s="28"/>
      <c r="O15" s="28"/>
      <c r="P15" s="28"/>
    </row>
    <row r="16" spans="1:16" ht="28.5" customHeight="1" x14ac:dyDescent="0.25">
      <c r="A16" s="52"/>
      <c r="B16" s="32" t="s">
        <v>72</v>
      </c>
      <c r="C16" s="31">
        <v>0</v>
      </c>
      <c r="D16" s="24">
        <f t="shared" si="1"/>
        <v>0</v>
      </c>
      <c r="E16" s="28"/>
      <c r="F16" s="28"/>
      <c r="G16" s="28"/>
      <c r="H16" s="28"/>
      <c r="I16" s="28"/>
      <c r="J16" s="28"/>
      <c r="K16" s="28"/>
      <c r="L16" s="28"/>
      <c r="M16" s="28"/>
      <c r="N16" s="28"/>
      <c r="O16" s="28"/>
      <c r="P16" s="28"/>
    </row>
    <row r="17" spans="1:16" ht="28.5" customHeight="1" x14ac:dyDescent="0.25">
      <c r="A17" s="52"/>
      <c r="B17" s="32" t="s">
        <v>73</v>
      </c>
      <c r="C17" s="31">
        <v>13</v>
      </c>
      <c r="D17" s="24">
        <f t="shared" si="1"/>
        <v>8</v>
      </c>
      <c r="E17" s="28">
        <v>5</v>
      </c>
      <c r="F17" s="28">
        <v>2</v>
      </c>
      <c r="G17" s="28"/>
      <c r="H17" s="28"/>
      <c r="I17" s="28">
        <v>1</v>
      </c>
      <c r="J17" s="28"/>
      <c r="K17" s="28"/>
      <c r="L17" s="28"/>
      <c r="M17" s="28"/>
      <c r="N17" s="28"/>
      <c r="O17" s="28"/>
      <c r="P17" s="28"/>
    </row>
    <row r="18" spans="1:16" ht="28.5" customHeight="1" x14ac:dyDescent="0.25">
      <c r="A18" s="52"/>
      <c r="B18" s="32" t="s">
        <v>74</v>
      </c>
      <c r="C18" s="31">
        <v>4</v>
      </c>
      <c r="D18" s="24">
        <f t="shared" si="1"/>
        <v>2</v>
      </c>
      <c r="E18" s="28"/>
      <c r="F18" s="28">
        <v>1</v>
      </c>
      <c r="G18" s="28"/>
      <c r="H18" s="28">
        <v>1</v>
      </c>
      <c r="I18" s="28"/>
      <c r="J18" s="28"/>
      <c r="K18" s="28"/>
      <c r="L18" s="28"/>
      <c r="M18" s="28"/>
      <c r="N18" s="28"/>
      <c r="O18" s="28"/>
      <c r="P18" s="28"/>
    </row>
    <row r="19" spans="1:16" ht="28.5" customHeight="1" x14ac:dyDescent="0.25">
      <c r="A19" s="52"/>
      <c r="B19" s="32" t="s">
        <v>75</v>
      </c>
      <c r="C19" s="31">
        <v>2</v>
      </c>
      <c r="D19" s="24">
        <f t="shared" si="1"/>
        <v>1</v>
      </c>
      <c r="E19" s="28"/>
      <c r="F19" s="28"/>
      <c r="G19" s="28"/>
      <c r="H19" s="28"/>
      <c r="I19" s="28">
        <v>1</v>
      </c>
      <c r="J19" s="28"/>
      <c r="K19" s="28"/>
      <c r="L19" s="28"/>
      <c r="M19" s="28"/>
      <c r="N19" s="28"/>
      <c r="O19" s="28"/>
      <c r="P19" s="28"/>
    </row>
    <row r="20" spans="1:16" ht="28.5" customHeight="1" x14ac:dyDescent="0.25">
      <c r="A20" s="52"/>
      <c r="B20" s="32" t="s">
        <v>76</v>
      </c>
      <c r="C20" s="31">
        <v>5</v>
      </c>
      <c r="D20" s="24">
        <f t="shared" si="1"/>
        <v>0</v>
      </c>
      <c r="E20" s="28"/>
      <c r="F20" s="28"/>
      <c r="G20" s="28"/>
      <c r="H20" s="28"/>
      <c r="I20" s="28"/>
      <c r="J20" s="28"/>
      <c r="K20" s="28"/>
      <c r="L20" s="28"/>
      <c r="M20" s="28"/>
      <c r="N20" s="28"/>
      <c r="O20" s="28"/>
      <c r="P20" s="28"/>
    </row>
    <row r="21" spans="1:16" ht="28.5" customHeight="1" x14ac:dyDescent="0.25">
      <c r="A21" s="52"/>
      <c r="B21" s="32" t="s">
        <v>77</v>
      </c>
      <c r="C21" s="31">
        <v>0</v>
      </c>
      <c r="D21" s="24">
        <f t="shared" si="1"/>
        <v>0</v>
      </c>
      <c r="E21" s="28"/>
      <c r="F21" s="28"/>
      <c r="G21" s="28"/>
      <c r="H21" s="28"/>
      <c r="I21" s="28"/>
      <c r="J21" s="28"/>
      <c r="K21" s="28"/>
      <c r="L21" s="28"/>
      <c r="M21" s="28"/>
      <c r="N21" s="28"/>
      <c r="O21" s="28"/>
      <c r="P21" s="28"/>
    </row>
    <row r="22" spans="1:16" ht="28.5" customHeight="1" x14ac:dyDescent="0.25">
      <c r="A22" s="52"/>
      <c r="B22" s="32" t="s">
        <v>78</v>
      </c>
      <c r="C22" s="31">
        <v>0</v>
      </c>
      <c r="D22" s="24">
        <f t="shared" si="1"/>
        <v>0</v>
      </c>
      <c r="E22" s="28"/>
      <c r="F22" s="28"/>
      <c r="G22" s="28"/>
      <c r="H22" s="28"/>
      <c r="I22" s="28"/>
      <c r="J22" s="28"/>
      <c r="K22" s="28"/>
      <c r="L22" s="28"/>
      <c r="M22" s="28"/>
      <c r="N22" s="28"/>
      <c r="O22" s="28"/>
      <c r="P22" s="28"/>
    </row>
    <row r="23" spans="1:16" ht="28.5" customHeight="1" x14ac:dyDescent="0.25">
      <c r="A23" s="52"/>
      <c r="B23" s="32" t="s">
        <v>79</v>
      </c>
      <c r="C23" s="31">
        <v>72</v>
      </c>
      <c r="D23" s="24">
        <f t="shared" si="1"/>
        <v>30</v>
      </c>
      <c r="E23" s="28">
        <v>6</v>
      </c>
      <c r="F23" s="28">
        <v>6</v>
      </c>
      <c r="G23" s="28">
        <v>6</v>
      </c>
      <c r="H23" s="28">
        <v>6</v>
      </c>
      <c r="I23" s="28">
        <v>6</v>
      </c>
      <c r="J23" s="28"/>
      <c r="K23" s="28"/>
      <c r="L23" s="28"/>
      <c r="M23" s="28"/>
      <c r="N23" s="28"/>
      <c r="O23" s="28"/>
      <c r="P23" s="28"/>
    </row>
    <row r="24" spans="1:16" ht="28.5" customHeight="1" x14ac:dyDescent="0.25">
      <c r="A24" s="52"/>
      <c r="B24" s="32" t="s">
        <v>80</v>
      </c>
      <c r="C24" s="31">
        <v>0</v>
      </c>
      <c r="D24" s="24">
        <f t="shared" si="1"/>
        <v>0</v>
      </c>
      <c r="E24" s="28"/>
      <c r="F24" s="28"/>
      <c r="G24" s="28"/>
      <c r="H24" s="28"/>
      <c r="I24" s="28"/>
      <c r="J24" s="28"/>
      <c r="K24" s="28"/>
      <c r="L24" s="28"/>
      <c r="M24" s="28"/>
      <c r="N24" s="28"/>
      <c r="O24" s="28"/>
      <c r="P24" s="28"/>
    </row>
    <row r="25" spans="1:16" ht="24" customHeight="1" x14ac:dyDescent="0.25">
      <c r="A25" s="52"/>
      <c r="B25" s="33" t="s">
        <v>81</v>
      </c>
      <c r="C25" s="31">
        <v>5</v>
      </c>
      <c r="D25" s="24">
        <f t="shared" si="1"/>
        <v>4</v>
      </c>
      <c r="E25" s="28"/>
      <c r="F25" s="28">
        <v>2</v>
      </c>
      <c r="G25" s="28">
        <v>2</v>
      </c>
      <c r="H25" s="28"/>
      <c r="I25" s="28"/>
      <c r="J25" s="28"/>
      <c r="K25" s="28"/>
      <c r="L25" s="28"/>
      <c r="M25" s="28"/>
      <c r="N25" s="28"/>
      <c r="O25" s="28"/>
      <c r="P25" s="28"/>
    </row>
    <row r="26" spans="1:16" ht="24" customHeight="1" x14ac:dyDescent="0.25">
      <c r="A26" s="52"/>
      <c r="B26" s="33" t="s">
        <v>82</v>
      </c>
      <c r="C26" s="31">
        <v>5</v>
      </c>
      <c r="D26" s="24">
        <f t="shared" si="1"/>
        <v>4</v>
      </c>
      <c r="E26" s="28"/>
      <c r="F26" s="28"/>
      <c r="G26" s="28">
        <v>1</v>
      </c>
      <c r="H26" s="28">
        <v>3</v>
      </c>
      <c r="I26" s="28"/>
      <c r="J26" s="28"/>
      <c r="K26" s="28"/>
      <c r="L26" s="28"/>
      <c r="M26" s="28"/>
      <c r="N26" s="28"/>
      <c r="O26" s="28"/>
      <c r="P26" s="28"/>
    </row>
    <row r="27" spans="1:16" ht="24" customHeight="1" x14ac:dyDescent="0.25">
      <c r="A27" s="52"/>
      <c r="B27" s="33" t="s">
        <v>83</v>
      </c>
      <c r="C27" s="31">
        <v>5</v>
      </c>
      <c r="D27" s="24">
        <f t="shared" si="1"/>
        <v>0</v>
      </c>
      <c r="E27" s="28"/>
      <c r="F27" s="28"/>
      <c r="G27" s="28"/>
      <c r="H27" s="28"/>
      <c r="I27" s="28"/>
      <c r="J27" s="28"/>
      <c r="K27" s="28"/>
      <c r="L27" s="28"/>
      <c r="M27" s="28"/>
      <c r="N27" s="28"/>
      <c r="O27" s="28"/>
      <c r="P27" s="28"/>
    </row>
    <row r="28" spans="1:16" ht="24" customHeight="1" x14ac:dyDescent="0.25">
      <c r="A28" s="52"/>
      <c r="B28" s="33" t="s">
        <v>84</v>
      </c>
      <c r="C28" s="31">
        <v>5</v>
      </c>
      <c r="D28" s="24">
        <f t="shared" si="1"/>
        <v>0</v>
      </c>
      <c r="E28" s="28"/>
      <c r="F28" s="28"/>
      <c r="G28" s="28"/>
      <c r="H28" s="28"/>
      <c r="I28" s="28"/>
      <c r="J28" s="28"/>
      <c r="K28" s="28"/>
      <c r="L28" s="28"/>
      <c r="M28" s="28"/>
      <c r="N28" s="28"/>
      <c r="O28" s="28"/>
      <c r="P28" s="28"/>
    </row>
    <row r="29" spans="1:16" ht="24" customHeight="1" x14ac:dyDescent="0.25">
      <c r="A29" s="52"/>
      <c r="B29" s="33" t="s">
        <v>85</v>
      </c>
      <c r="C29" s="31">
        <v>5</v>
      </c>
      <c r="D29" s="24">
        <f t="shared" si="1"/>
        <v>0</v>
      </c>
      <c r="E29" s="28"/>
      <c r="F29" s="28"/>
      <c r="G29" s="28"/>
      <c r="H29" s="28"/>
      <c r="I29" s="28"/>
      <c r="J29" s="28"/>
      <c r="K29" s="28"/>
      <c r="L29" s="28"/>
      <c r="M29" s="28"/>
      <c r="N29" s="28"/>
      <c r="O29" s="28"/>
      <c r="P29" s="28"/>
    </row>
    <row r="30" spans="1:16" ht="24" customHeight="1" x14ac:dyDescent="0.25">
      <c r="A30" s="52"/>
      <c r="B30" s="33" t="s">
        <v>86</v>
      </c>
      <c r="C30" s="31">
        <v>1</v>
      </c>
      <c r="D30" s="24">
        <f t="shared" si="1"/>
        <v>0</v>
      </c>
      <c r="E30" s="28"/>
      <c r="F30" s="28"/>
      <c r="G30" s="28"/>
      <c r="H30" s="28"/>
      <c r="I30" s="28"/>
      <c r="J30" s="28"/>
      <c r="K30" s="28"/>
      <c r="L30" s="28"/>
      <c r="M30" s="28"/>
      <c r="N30" s="28"/>
      <c r="O30" s="28"/>
      <c r="P30" s="28"/>
    </row>
    <row r="31" spans="1:16" ht="24" customHeight="1" x14ac:dyDescent="0.25">
      <c r="A31" s="52"/>
      <c r="B31" s="33" t="s">
        <v>87</v>
      </c>
      <c r="C31" s="31">
        <v>1</v>
      </c>
      <c r="D31" s="24">
        <f t="shared" si="1"/>
        <v>0</v>
      </c>
      <c r="E31" s="28"/>
      <c r="F31" s="28"/>
      <c r="G31" s="28"/>
      <c r="H31" s="28"/>
      <c r="I31" s="28"/>
      <c r="J31" s="28"/>
      <c r="K31" s="28"/>
      <c r="L31" s="28"/>
      <c r="M31" s="28"/>
      <c r="N31" s="28"/>
      <c r="O31" s="28"/>
      <c r="P31" s="28"/>
    </row>
    <row r="32" spans="1:16" ht="24" customHeight="1" x14ac:dyDescent="0.25">
      <c r="A32" s="52"/>
      <c r="B32" s="33" t="s">
        <v>88</v>
      </c>
      <c r="C32" s="31">
        <v>1</v>
      </c>
      <c r="D32" s="24">
        <f t="shared" si="1"/>
        <v>0</v>
      </c>
      <c r="E32" s="28"/>
      <c r="F32" s="28"/>
      <c r="G32" s="28"/>
      <c r="H32" s="28"/>
      <c r="I32" s="28"/>
      <c r="J32" s="28"/>
      <c r="K32" s="28"/>
      <c r="L32" s="28"/>
      <c r="M32" s="28"/>
      <c r="N32" s="28"/>
      <c r="O32" s="28"/>
      <c r="P32" s="28"/>
    </row>
    <row r="33" spans="1:16" ht="24" customHeight="1" x14ac:dyDescent="0.25">
      <c r="A33" s="52"/>
      <c r="B33" s="33" t="s">
        <v>89</v>
      </c>
      <c r="C33" s="31">
        <v>1</v>
      </c>
      <c r="D33" s="24">
        <f t="shared" si="1"/>
        <v>0</v>
      </c>
      <c r="E33" s="28"/>
      <c r="F33" s="28"/>
      <c r="G33" s="28"/>
      <c r="H33" s="28"/>
      <c r="I33" s="28"/>
      <c r="J33" s="28"/>
      <c r="K33" s="28"/>
      <c r="L33" s="28"/>
      <c r="M33" s="28"/>
      <c r="N33" s="28"/>
      <c r="O33" s="28"/>
      <c r="P33" s="28"/>
    </row>
    <row r="34" spans="1:16" ht="24" customHeight="1" x14ac:dyDescent="0.25">
      <c r="A34" s="52"/>
      <c r="B34" s="33" t="s">
        <v>90</v>
      </c>
      <c r="C34" s="31">
        <v>1</v>
      </c>
      <c r="D34" s="24">
        <f t="shared" si="1"/>
        <v>0</v>
      </c>
      <c r="E34" s="28"/>
      <c r="F34" s="28"/>
      <c r="G34" s="28"/>
      <c r="H34" s="28"/>
      <c r="I34" s="28"/>
      <c r="J34" s="28"/>
      <c r="K34" s="28"/>
      <c r="L34" s="28"/>
      <c r="M34" s="28"/>
      <c r="N34" s="28"/>
      <c r="O34" s="28"/>
      <c r="P34" s="28"/>
    </row>
    <row r="35" spans="1:16" ht="24" customHeight="1" x14ac:dyDescent="0.25">
      <c r="A35" s="52"/>
      <c r="B35" s="33" t="s">
        <v>91</v>
      </c>
      <c r="C35" s="31">
        <v>1</v>
      </c>
      <c r="D35" s="24">
        <f t="shared" si="1"/>
        <v>0</v>
      </c>
      <c r="E35" s="28"/>
      <c r="F35" s="28"/>
      <c r="G35" s="28"/>
      <c r="H35" s="28"/>
      <c r="I35" s="28"/>
      <c r="J35" s="28"/>
      <c r="K35" s="28"/>
      <c r="L35" s="28"/>
      <c r="M35" s="28"/>
      <c r="N35" s="28"/>
      <c r="O35" s="28"/>
      <c r="P35" s="28"/>
    </row>
    <row r="36" spans="1:16" ht="24" customHeight="1" thickBot="1" x14ac:dyDescent="0.3">
      <c r="A36" s="53"/>
      <c r="B36" s="34" t="s">
        <v>92</v>
      </c>
      <c r="C36" s="31">
        <v>1</v>
      </c>
      <c r="D36" s="24">
        <f t="shared" si="1"/>
        <v>0</v>
      </c>
      <c r="E36" s="28"/>
      <c r="F36" s="28"/>
      <c r="G36" s="28"/>
      <c r="H36" s="28"/>
      <c r="I36" s="28"/>
      <c r="J36" s="28"/>
      <c r="K36" s="28"/>
      <c r="L36" s="28"/>
      <c r="M36" s="28"/>
      <c r="N36" s="28"/>
      <c r="O36" s="28"/>
      <c r="P36" s="28"/>
    </row>
    <row r="37" spans="1:16" x14ac:dyDescent="0.25">
      <c r="C37" s="35">
        <f>SUM(C3:C36)</f>
        <v>289</v>
      </c>
      <c r="D37" s="36">
        <f>SUM(D3:D36)</f>
        <v>104</v>
      </c>
    </row>
    <row r="38" spans="1:16" x14ac:dyDescent="0.25">
      <c r="C38" s="10"/>
      <c r="D38" s="11">
        <f>D37/C37</f>
        <v>0.35986159169550175</v>
      </c>
    </row>
  </sheetData>
  <sheetProtection algorithmName="SHA-512" hashValue="M6qz5bFQX+ldpahuRlR4+3FtviBpDw7UFMDDC2E5BXy+dvoVx/s5Ja9C1wjxn/ZM1TVx6kpg+aqXIiPieYBUyA==" saltValue="BQ7JDEMMfmom98aKCd/yCg==" spinCount="100000" sheet="1" objects="1" scenarios="1" autoFilter="0"/>
  <mergeCells count="2">
    <mergeCell ref="A1:A2"/>
    <mergeCell ref="A9:A36"/>
  </mergeCells>
  <conditionalFormatting sqref="C3:D3 D4:D8">
    <cfRule type="dataBar" priority="46">
      <dataBar>
        <cfvo type="min"/>
        <cfvo type="max"/>
        <color rgb="FF008AEF"/>
      </dataBar>
      <extLst>
        <ext xmlns:x14="http://schemas.microsoft.com/office/spreadsheetml/2009/9/main" uri="{B025F937-C7B1-47D3-B67F-A62EFF666E3E}">
          <x14:id>{881A2236-8380-4E1E-BFBC-23CD35258B39}</x14:id>
        </ext>
      </extLst>
    </cfRule>
  </conditionalFormatting>
  <conditionalFormatting sqref="C4:D4">
    <cfRule type="dataBar" priority="4">
      <dataBar>
        <cfvo type="min"/>
        <cfvo type="max"/>
        <color rgb="FF008AEF"/>
      </dataBar>
      <extLst>
        <ext xmlns:x14="http://schemas.microsoft.com/office/spreadsheetml/2009/9/main" uri="{B025F937-C7B1-47D3-B67F-A62EFF666E3E}">
          <x14:id>{B6DA1007-4A5E-4BF5-B7EE-B9E23D33859D}</x14:id>
        </ext>
      </extLst>
    </cfRule>
  </conditionalFormatting>
  <conditionalFormatting sqref="C5:D5">
    <cfRule type="dataBar" priority="5">
      <dataBar>
        <cfvo type="min"/>
        <cfvo type="max"/>
        <color rgb="FF008AEF"/>
      </dataBar>
      <extLst>
        <ext xmlns:x14="http://schemas.microsoft.com/office/spreadsheetml/2009/9/main" uri="{B025F937-C7B1-47D3-B67F-A62EFF666E3E}">
          <x14:id>{1D4BEE76-5A22-475F-BEE1-7FC4BD83C031}</x14:id>
        </ext>
      </extLst>
    </cfRule>
  </conditionalFormatting>
  <conditionalFormatting sqref="C6:D6">
    <cfRule type="dataBar" priority="6">
      <dataBar>
        <cfvo type="min"/>
        <cfvo type="max"/>
        <color rgb="FF008AEF"/>
      </dataBar>
      <extLst>
        <ext xmlns:x14="http://schemas.microsoft.com/office/spreadsheetml/2009/9/main" uri="{B025F937-C7B1-47D3-B67F-A62EFF666E3E}">
          <x14:id>{010A2CAC-3E01-4604-9AC9-A64F670A1281}</x14:id>
        </ext>
      </extLst>
    </cfRule>
  </conditionalFormatting>
  <conditionalFormatting sqref="C7:D7">
    <cfRule type="dataBar" priority="7">
      <dataBar>
        <cfvo type="min"/>
        <cfvo type="max"/>
        <color rgb="FF008AEF"/>
      </dataBar>
      <extLst>
        <ext xmlns:x14="http://schemas.microsoft.com/office/spreadsheetml/2009/9/main" uri="{B025F937-C7B1-47D3-B67F-A62EFF666E3E}">
          <x14:id>{6CD00F37-30A6-4D74-9C5B-8A83AC83888E}</x14:id>
        </ext>
      </extLst>
    </cfRule>
  </conditionalFormatting>
  <conditionalFormatting sqref="C8:D8">
    <cfRule type="dataBar" priority="8">
      <dataBar>
        <cfvo type="min"/>
        <cfvo type="max"/>
        <color rgb="FF008AEF"/>
      </dataBar>
      <extLst>
        <ext xmlns:x14="http://schemas.microsoft.com/office/spreadsheetml/2009/9/main" uri="{B025F937-C7B1-47D3-B67F-A62EFF666E3E}">
          <x14:id>{2CD352B5-C5F1-41FF-9338-ABFEE0A2F500}</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{4D395F89-C977-4C48-B85A-1E3783A98B24}</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{54004F74-56D0-4512-B145-8F5DE45D2966}</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{3F4D68BD-60C3-48C6-AAD4-B32491179F31}</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{B229495A-03B1-4E63-B300-F1F968F28C0D}</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{D327BDB2-0D96-4CBE-9EF8-652533FCAF8C}</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{FFA443B2-F379-4AE6-854A-96F565E1B778}</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{FB98707F-36E2-4C55-8874-07AF770E4FC2}</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{00B4EA5F-9308-4AE8-92D4-39355E4306A4}</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{0820D486-CD7D-4324-9B5B-CFE4B1AD70E1}</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{EBC2AEA3-C39D-43EB-8EE5-E60D5600F2C3}</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{DF8EF013-6134-4167-9A9E-2490BDB7ABC6}</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{71079D4A-29D0-44EE-B11E-C3CD390DA060}</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{4AEB456F-D1A3-4D90-99F3-1E76591CF1FD}</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{29BCEF08-8EC6-404C-A0DD-7EC26F334EAC}</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{2EEC8DA8-549F-423C-BCF2-4C2BADEC44DB}</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{CC4256DB-18F3-4C46-9840-2808803B5229}</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{65D9F57E-F7A8-4530-95C9-0C45E716AAEF}</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{A3ED03A6-9EFC-4C44-861E-18880704DD9A}</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{5F2529DC-8E6E-48B2-8B5B-5A9DA49AF47A}</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{3A407495-8EC0-4A59-AFC9-3E901937A6F0}</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{8FE91FB1-FD10-476C-842F-297B17E7F61D}</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{0C6416DF-FA39-4BB8-B33B-BB7B4CC24222}</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{AA4B1710-5CA5-404A-95D5-518779700C00}</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{FDFBF1C6-03FF-4D4A-A20E-6AE2DBBD4637}</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{4CDA95AC-53DA-49B9-89AB-51D63399D36C}</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{93C2C53F-3362-4B9B-8B92-DE35B6962C48}</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{D5A68350-8C33-4EA8-AF26-BDA76A9C6418}</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{0506A058-8042-4E77-8B37-D5B62F595BB1}</x14:id>
        </ext>
      </extLst>
    </cfRule>
  </conditionalFormatting>
  <conditionalFormatting sqref="E3:P36">
    <cfRule type="cellIs" dxfId="7"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81A2236-8380-4E1E-BFBC-23CD35258B39}">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B6DA1007-4A5E-4BF5-B7EE-B9E23D33859D}">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1D4BEE76-5A22-475F-BEE1-7FC4BD83C03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10A2CAC-3E01-4604-9AC9-A64F670A1281}">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6CD00F37-30A6-4D74-9C5B-8A83AC83888E}">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2CD352B5-C5F1-41FF-9338-ABFEE0A2F50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4D395F89-C977-4C48-B85A-1E3783A98B2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54004F74-56D0-4512-B145-8F5DE45D296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3F4D68BD-60C3-48C6-AAD4-B32491179F31}">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229495A-03B1-4E63-B300-F1F968F28C0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327BDB2-0D96-4CBE-9EF8-652533FCAF8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FA443B2-F379-4AE6-854A-96F565E1B77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B98707F-36E2-4C55-8874-07AF770E4FC2}">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00B4EA5F-9308-4AE8-92D4-39355E4306A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0820D486-CD7D-4324-9B5B-CFE4B1AD70E1}">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BC2AEA3-C39D-43EB-8EE5-E60D5600F2C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F8EF013-6134-4167-9A9E-2490BDB7ABC6}">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71079D4A-29D0-44EE-B11E-C3CD390DA06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4AEB456F-D1A3-4D90-99F3-1E76591CF1FD}">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29BCEF08-8EC6-404C-A0DD-7EC26F334EA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EEC8DA8-549F-423C-BCF2-4C2BADEC44DB}">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C4256DB-18F3-4C46-9840-2808803B5229}">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65D9F57E-F7A8-4530-95C9-0C45E716AAEF}">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A3ED03A6-9EFC-4C44-861E-18880704DD9A}">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5F2529DC-8E6E-48B2-8B5B-5A9DA49AF47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A407495-8EC0-4A59-AFC9-3E901937A6F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8FE91FB1-FD10-476C-842F-297B17E7F61D}">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0C6416DF-FA39-4BB8-B33B-BB7B4CC24222}">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AA4B1710-5CA5-404A-95D5-518779700C00}">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DFBF1C6-03FF-4D4A-A20E-6AE2DBBD463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CDA95AC-53DA-49B9-89AB-51D63399D36C}">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93C2C53F-3362-4B9B-8B92-DE35B6962C48}">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5A68350-8C33-4EA8-AF26-BDA76A9C6418}">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0506A058-8042-4E77-8B37-D5B62F595BB1}">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38"/>
  <sheetViews>
    <sheetView zoomScale="60" zoomScaleNormal="60" workbookViewId="0">
      <selection activeCell="L24" sqref="L24"/>
    </sheetView>
  </sheetViews>
  <sheetFormatPr baseColWidth="10" defaultColWidth="11.42578125" defaultRowHeight="15" x14ac:dyDescent="0.25"/>
  <cols>
    <col min="1" max="1" width="7.42578125" style="2" customWidth="1"/>
    <col min="2" max="2" width="96"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36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 t="shared" ref="D3:D8" si="0">SUM(E3:P3)</f>
        <v>0</v>
      </c>
      <c r="E3" s="28"/>
      <c r="F3" s="28"/>
      <c r="G3" s="28"/>
      <c r="H3" s="28"/>
      <c r="I3" s="28"/>
      <c r="J3" s="28"/>
      <c r="K3" s="28"/>
      <c r="L3" s="28"/>
      <c r="M3" s="28"/>
      <c r="N3" s="28"/>
      <c r="O3" s="28"/>
      <c r="P3" s="28"/>
    </row>
    <row r="4" spans="1:16" ht="81" customHeight="1" x14ac:dyDescent="0.25">
      <c r="A4" s="38" t="s">
        <v>20</v>
      </c>
      <c r="B4" s="7" t="s">
        <v>19</v>
      </c>
      <c r="C4" s="29">
        <v>2</v>
      </c>
      <c r="D4" s="24">
        <f t="shared" si="0"/>
        <v>0</v>
      </c>
      <c r="E4" s="28">
        <v>0</v>
      </c>
      <c r="F4" s="28">
        <v>0</v>
      </c>
      <c r="G4" s="28">
        <v>0</v>
      </c>
      <c r="H4" s="28">
        <v>0</v>
      </c>
      <c r="I4" s="28"/>
      <c r="J4" s="28"/>
      <c r="K4" s="28"/>
      <c r="L4" s="28"/>
      <c r="M4" s="28"/>
      <c r="N4" s="28"/>
      <c r="O4" s="28"/>
      <c r="P4" s="28"/>
    </row>
    <row r="5" spans="1:16" ht="81" customHeight="1" x14ac:dyDescent="0.25">
      <c r="A5" s="39" t="s">
        <v>22</v>
      </c>
      <c r="B5" s="8" t="s">
        <v>21</v>
      </c>
      <c r="C5" s="30">
        <v>2</v>
      </c>
      <c r="D5" s="24">
        <f t="shared" si="0"/>
        <v>0</v>
      </c>
      <c r="E5" s="28">
        <v>0</v>
      </c>
      <c r="F5" s="28">
        <v>0</v>
      </c>
      <c r="G5" s="28">
        <v>0</v>
      </c>
      <c r="H5" s="28">
        <v>0</v>
      </c>
      <c r="I5" s="28"/>
      <c r="J5" s="28"/>
      <c r="K5" s="28"/>
      <c r="L5" s="28"/>
      <c r="M5" s="28"/>
      <c r="N5" s="28"/>
      <c r="O5" s="28"/>
      <c r="P5" s="28"/>
    </row>
    <row r="6" spans="1:16" ht="81" customHeight="1" x14ac:dyDescent="0.25">
      <c r="A6" s="37" t="s">
        <v>18</v>
      </c>
      <c r="B6" s="5" t="s">
        <v>23</v>
      </c>
      <c r="C6" s="31">
        <v>1</v>
      </c>
      <c r="D6" s="24">
        <f t="shared" si="0"/>
        <v>0</v>
      </c>
      <c r="E6" s="28"/>
      <c r="F6" s="28"/>
      <c r="G6" s="28"/>
      <c r="H6" s="28"/>
      <c r="I6" s="28"/>
      <c r="J6" s="28"/>
      <c r="K6" s="28"/>
      <c r="L6" s="28"/>
      <c r="M6" s="28"/>
      <c r="N6" s="28"/>
      <c r="O6" s="28"/>
      <c r="P6" s="28"/>
    </row>
    <row r="7" spans="1:16" ht="81" customHeight="1" x14ac:dyDescent="0.25">
      <c r="A7" s="37" t="s">
        <v>18</v>
      </c>
      <c r="B7" s="5" t="s">
        <v>24</v>
      </c>
      <c r="C7" s="31">
        <v>2</v>
      </c>
      <c r="D7" s="24">
        <f t="shared" si="0"/>
        <v>1</v>
      </c>
      <c r="E7" s="28"/>
      <c r="F7" s="28"/>
      <c r="G7" s="28"/>
      <c r="H7" s="28">
        <v>1</v>
      </c>
      <c r="I7" s="28"/>
      <c r="J7" s="28"/>
      <c r="K7" s="28"/>
      <c r="L7" s="28"/>
      <c r="M7" s="28"/>
      <c r="N7" s="28"/>
      <c r="O7" s="28"/>
      <c r="P7" s="28"/>
    </row>
    <row r="8" spans="1:16" ht="81" customHeight="1" x14ac:dyDescent="0.25">
      <c r="A8" s="37" t="s">
        <v>18</v>
      </c>
      <c r="B8" s="5" t="s">
        <v>25</v>
      </c>
      <c r="C8" s="31">
        <v>1</v>
      </c>
      <c r="D8" s="24">
        <f t="shared" si="0"/>
        <v>0</v>
      </c>
      <c r="E8" s="28"/>
      <c r="F8" s="28"/>
      <c r="G8" s="28"/>
      <c r="H8" s="28"/>
      <c r="I8" s="28"/>
      <c r="J8" s="28"/>
      <c r="K8" s="28"/>
      <c r="L8" s="28"/>
      <c r="M8" s="28"/>
      <c r="N8" s="28"/>
      <c r="O8" s="28"/>
      <c r="P8" s="28"/>
    </row>
    <row r="9" spans="1:16" ht="28.5" customHeight="1" x14ac:dyDescent="0.25">
      <c r="A9" s="51" t="s">
        <v>64</v>
      </c>
      <c r="B9" s="32" t="s">
        <v>65</v>
      </c>
      <c r="C9" s="31">
        <v>3</v>
      </c>
      <c r="D9" s="24">
        <f t="shared" ref="D9:D36" si="1">SUM(E9:P9)</f>
        <v>0</v>
      </c>
      <c r="E9" s="28"/>
      <c r="F9" s="28"/>
      <c r="G9" s="28"/>
      <c r="H9" s="28"/>
      <c r="I9" s="28"/>
      <c r="J9" s="28"/>
      <c r="K9" s="28"/>
      <c r="L9" s="28"/>
      <c r="M9" s="28"/>
      <c r="N9" s="28"/>
      <c r="O9" s="28"/>
      <c r="P9" s="28"/>
    </row>
    <row r="10" spans="1:16" ht="28.5" customHeight="1" x14ac:dyDescent="0.25">
      <c r="A10" s="52"/>
      <c r="B10" s="32" t="s">
        <v>66</v>
      </c>
      <c r="C10" s="31">
        <v>3</v>
      </c>
      <c r="D10" s="24">
        <f t="shared" si="1"/>
        <v>0</v>
      </c>
      <c r="E10" s="28"/>
      <c r="F10" s="28"/>
      <c r="G10" s="28"/>
      <c r="H10" s="28"/>
      <c r="I10" s="28"/>
      <c r="J10" s="28"/>
      <c r="K10" s="28"/>
      <c r="L10" s="28"/>
      <c r="M10" s="28"/>
      <c r="N10" s="28"/>
      <c r="O10" s="28"/>
      <c r="P10" s="28"/>
    </row>
    <row r="11" spans="1:16" ht="28.5" customHeight="1" x14ac:dyDescent="0.25">
      <c r="A11" s="52"/>
      <c r="B11" s="32" t="s">
        <v>67</v>
      </c>
      <c r="C11" s="31">
        <v>52</v>
      </c>
      <c r="D11" s="24">
        <f t="shared" si="1"/>
        <v>22</v>
      </c>
      <c r="E11" s="28">
        <v>4</v>
      </c>
      <c r="F11" s="28">
        <v>5</v>
      </c>
      <c r="G11" s="28">
        <v>4</v>
      </c>
      <c r="H11" s="28">
        <v>4</v>
      </c>
      <c r="I11" s="28">
        <v>5</v>
      </c>
      <c r="J11" s="28"/>
      <c r="K11" s="28"/>
      <c r="L11" s="28"/>
      <c r="M11" s="28"/>
      <c r="N11" s="28"/>
      <c r="O11" s="28"/>
      <c r="P11" s="28"/>
    </row>
    <row r="12" spans="1:16" ht="28.5" customHeight="1" x14ac:dyDescent="0.25">
      <c r="A12" s="52"/>
      <c r="B12" s="32" t="s">
        <v>68</v>
      </c>
      <c r="C12" s="31">
        <v>52</v>
      </c>
      <c r="D12" s="24">
        <f t="shared" si="1"/>
        <v>0</v>
      </c>
      <c r="E12" s="28"/>
      <c r="F12" s="28"/>
      <c r="G12" s="28"/>
      <c r="H12" s="28"/>
      <c r="I12" s="28"/>
      <c r="J12" s="28"/>
      <c r="K12" s="28"/>
      <c r="L12" s="28"/>
      <c r="M12" s="28"/>
      <c r="N12" s="28"/>
      <c r="O12" s="28"/>
      <c r="P12" s="28"/>
    </row>
    <row r="13" spans="1:16" ht="28.5" customHeight="1" x14ac:dyDescent="0.25">
      <c r="A13" s="52"/>
      <c r="B13" s="32" t="s">
        <v>69</v>
      </c>
      <c r="C13" s="31">
        <v>0</v>
      </c>
      <c r="D13" s="24">
        <f t="shared" si="1"/>
        <v>0</v>
      </c>
      <c r="E13" s="28"/>
      <c r="F13" s="28"/>
      <c r="G13" s="28"/>
      <c r="H13" s="28"/>
      <c r="I13" s="28"/>
      <c r="J13" s="28"/>
      <c r="K13" s="28"/>
      <c r="L13" s="28"/>
      <c r="M13" s="28"/>
      <c r="N13" s="28"/>
      <c r="O13" s="28"/>
      <c r="P13" s="28"/>
    </row>
    <row r="14" spans="1:16" ht="28.5" customHeight="1" x14ac:dyDescent="0.25">
      <c r="A14" s="52"/>
      <c r="B14" s="32" t="s">
        <v>70</v>
      </c>
      <c r="C14" s="31">
        <v>0</v>
      </c>
      <c r="D14" s="24">
        <f t="shared" si="1"/>
        <v>0</v>
      </c>
      <c r="E14" s="28"/>
      <c r="F14" s="28"/>
      <c r="G14" s="28"/>
      <c r="H14" s="28"/>
      <c r="I14" s="28"/>
      <c r="J14" s="28"/>
      <c r="K14" s="28"/>
      <c r="L14" s="28"/>
      <c r="M14" s="28"/>
      <c r="N14" s="28"/>
      <c r="O14" s="28"/>
      <c r="P14" s="28"/>
    </row>
    <row r="15" spans="1:16" ht="28.5" customHeight="1" x14ac:dyDescent="0.25">
      <c r="A15" s="52"/>
      <c r="B15" s="32" t="s">
        <v>71</v>
      </c>
      <c r="C15" s="31">
        <v>0</v>
      </c>
      <c r="D15" s="24">
        <f t="shared" si="1"/>
        <v>0</v>
      </c>
      <c r="E15" s="28"/>
      <c r="F15" s="28"/>
      <c r="G15" s="28"/>
      <c r="H15" s="28"/>
      <c r="I15" s="28"/>
      <c r="J15" s="28"/>
      <c r="K15" s="28"/>
      <c r="L15" s="28"/>
      <c r="M15" s="28"/>
      <c r="N15" s="28"/>
      <c r="O15" s="28"/>
      <c r="P15" s="28"/>
    </row>
    <row r="16" spans="1:16" ht="28.5" customHeight="1" x14ac:dyDescent="0.25">
      <c r="A16" s="52"/>
      <c r="B16" s="32" t="s">
        <v>72</v>
      </c>
      <c r="C16" s="31">
        <v>0</v>
      </c>
      <c r="D16" s="24">
        <f t="shared" si="1"/>
        <v>0</v>
      </c>
      <c r="E16" s="28"/>
      <c r="F16" s="28"/>
      <c r="G16" s="28"/>
      <c r="H16" s="28"/>
      <c r="I16" s="28"/>
      <c r="J16" s="28"/>
      <c r="K16" s="28"/>
      <c r="L16" s="28"/>
      <c r="M16" s="28"/>
      <c r="N16" s="28"/>
      <c r="O16" s="28"/>
      <c r="P16" s="28"/>
    </row>
    <row r="17" spans="1:16" ht="28.5" customHeight="1" x14ac:dyDescent="0.25">
      <c r="A17" s="52"/>
      <c r="B17" s="32" t="s">
        <v>73</v>
      </c>
      <c r="C17" s="31">
        <v>0</v>
      </c>
      <c r="D17" s="24">
        <f t="shared" si="1"/>
        <v>0</v>
      </c>
      <c r="E17" s="28"/>
      <c r="F17" s="28"/>
      <c r="G17" s="28"/>
      <c r="H17" s="28"/>
      <c r="I17" s="28"/>
      <c r="J17" s="28"/>
      <c r="K17" s="28"/>
      <c r="L17" s="28"/>
      <c r="M17" s="28"/>
      <c r="N17" s="28"/>
      <c r="O17" s="28"/>
      <c r="P17" s="28"/>
    </row>
    <row r="18" spans="1:16" ht="28.5" customHeight="1" x14ac:dyDescent="0.25">
      <c r="A18" s="52"/>
      <c r="B18" s="32" t="s">
        <v>74</v>
      </c>
      <c r="C18" s="31">
        <v>0</v>
      </c>
      <c r="D18" s="24">
        <f t="shared" si="1"/>
        <v>0</v>
      </c>
      <c r="E18" s="28"/>
      <c r="F18" s="28"/>
      <c r="G18" s="28"/>
      <c r="H18" s="28"/>
      <c r="I18" s="28"/>
      <c r="J18" s="28"/>
      <c r="K18" s="28"/>
      <c r="L18" s="28"/>
      <c r="M18" s="28"/>
      <c r="N18" s="28"/>
      <c r="O18" s="28"/>
      <c r="P18" s="28"/>
    </row>
    <row r="19" spans="1:16" ht="28.5" customHeight="1" x14ac:dyDescent="0.25">
      <c r="A19" s="52"/>
      <c r="B19" s="32" t="s">
        <v>75</v>
      </c>
      <c r="C19" s="31">
        <v>0</v>
      </c>
      <c r="D19" s="24">
        <f t="shared" si="1"/>
        <v>0</v>
      </c>
      <c r="E19" s="28"/>
      <c r="F19" s="28"/>
      <c r="G19" s="28"/>
      <c r="H19" s="28"/>
      <c r="I19" s="28"/>
      <c r="J19" s="28"/>
      <c r="K19" s="28"/>
      <c r="L19" s="28"/>
      <c r="M19" s="28"/>
      <c r="N19" s="28"/>
      <c r="O19" s="28"/>
      <c r="P19" s="28"/>
    </row>
    <row r="20" spans="1:16" ht="28.5" customHeight="1" x14ac:dyDescent="0.25">
      <c r="A20" s="52"/>
      <c r="B20" s="32" t="s">
        <v>76</v>
      </c>
      <c r="C20" s="31">
        <v>0</v>
      </c>
      <c r="D20" s="24">
        <f t="shared" si="1"/>
        <v>0</v>
      </c>
      <c r="E20" s="28"/>
      <c r="F20" s="28"/>
      <c r="G20" s="28"/>
      <c r="H20" s="28"/>
      <c r="I20" s="28"/>
      <c r="J20" s="28"/>
      <c r="K20" s="28"/>
      <c r="L20" s="28"/>
      <c r="M20" s="28"/>
      <c r="N20" s="28"/>
      <c r="O20" s="28"/>
      <c r="P20" s="28"/>
    </row>
    <row r="21" spans="1:16" ht="28.5" customHeight="1" x14ac:dyDescent="0.25">
      <c r="A21" s="52"/>
      <c r="B21" s="32" t="s">
        <v>77</v>
      </c>
      <c r="C21" s="31">
        <v>0</v>
      </c>
      <c r="D21" s="24">
        <f t="shared" si="1"/>
        <v>0</v>
      </c>
      <c r="E21" s="28"/>
      <c r="F21" s="28"/>
      <c r="G21" s="28"/>
      <c r="H21" s="28"/>
      <c r="I21" s="28"/>
      <c r="J21" s="28"/>
      <c r="K21" s="28"/>
      <c r="L21" s="28"/>
      <c r="M21" s="28"/>
      <c r="N21" s="28"/>
      <c r="O21" s="28"/>
      <c r="P21" s="28"/>
    </row>
    <row r="22" spans="1:16" ht="28.5" customHeight="1" x14ac:dyDescent="0.25">
      <c r="A22" s="52"/>
      <c r="B22" s="32" t="s">
        <v>78</v>
      </c>
      <c r="C22" s="31">
        <v>0</v>
      </c>
      <c r="D22" s="24">
        <f t="shared" si="1"/>
        <v>0</v>
      </c>
      <c r="E22" s="28"/>
      <c r="F22" s="28"/>
      <c r="G22" s="28"/>
      <c r="H22" s="28"/>
      <c r="I22" s="28"/>
      <c r="J22" s="28"/>
      <c r="K22" s="28"/>
      <c r="L22" s="28"/>
      <c r="M22" s="28"/>
      <c r="N22" s="28"/>
      <c r="O22" s="28"/>
      <c r="P22" s="28"/>
    </row>
    <row r="23" spans="1:16" ht="28.5" customHeight="1" x14ac:dyDescent="0.25">
      <c r="A23" s="52"/>
      <c r="B23" s="32" t="s">
        <v>79</v>
      </c>
      <c r="C23" s="31">
        <v>56</v>
      </c>
      <c r="D23" s="24">
        <f t="shared" si="1"/>
        <v>27</v>
      </c>
      <c r="E23" s="28">
        <v>14</v>
      </c>
      <c r="F23" s="28"/>
      <c r="G23" s="28"/>
      <c r="H23" s="28">
        <v>13</v>
      </c>
      <c r="I23" s="28"/>
      <c r="J23" s="28"/>
      <c r="K23" s="28"/>
      <c r="L23" s="28"/>
      <c r="M23" s="28"/>
      <c r="N23" s="28"/>
      <c r="O23" s="28"/>
      <c r="P23" s="28"/>
    </row>
    <row r="24" spans="1:16" ht="28.5" customHeight="1" x14ac:dyDescent="0.25">
      <c r="A24" s="52"/>
      <c r="B24" s="32" t="s">
        <v>80</v>
      </c>
      <c r="C24" s="31">
        <v>0</v>
      </c>
      <c r="D24" s="24">
        <f t="shared" si="1"/>
        <v>0</v>
      </c>
      <c r="E24" s="28"/>
      <c r="F24" s="28"/>
      <c r="G24" s="28"/>
      <c r="H24" s="28"/>
      <c r="I24" s="28"/>
      <c r="J24" s="28"/>
      <c r="K24" s="28"/>
      <c r="L24" s="28"/>
      <c r="M24" s="28"/>
      <c r="N24" s="28"/>
      <c r="O24" s="28"/>
      <c r="P24" s="28"/>
    </row>
    <row r="25" spans="1:16" ht="24" customHeight="1" x14ac:dyDescent="0.25">
      <c r="A25" s="52"/>
      <c r="B25" s="33" t="s">
        <v>81</v>
      </c>
      <c r="C25" s="31">
        <v>3</v>
      </c>
      <c r="D25" s="24">
        <f t="shared" si="1"/>
        <v>3</v>
      </c>
      <c r="E25" s="28"/>
      <c r="F25" s="28"/>
      <c r="G25" s="28">
        <v>3</v>
      </c>
      <c r="H25" s="28"/>
      <c r="I25" s="28"/>
      <c r="J25" s="28"/>
      <c r="K25" s="28"/>
      <c r="L25" s="28"/>
      <c r="M25" s="28"/>
      <c r="N25" s="28"/>
      <c r="O25" s="28"/>
      <c r="P25" s="28"/>
    </row>
    <row r="26" spans="1:16" ht="24" customHeight="1" x14ac:dyDescent="0.25">
      <c r="A26" s="52"/>
      <c r="B26" s="33" t="s">
        <v>82</v>
      </c>
      <c r="C26" s="31">
        <v>3</v>
      </c>
      <c r="D26" s="24">
        <f t="shared" si="1"/>
        <v>3</v>
      </c>
      <c r="E26" s="28"/>
      <c r="F26" s="28"/>
      <c r="G26" s="28"/>
      <c r="H26" s="28">
        <v>3</v>
      </c>
      <c r="I26" s="28"/>
      <c r="J26" s="28"/>
      <c r="K26" s="28"/>
      <c r="L26" s="28"/>
      <c r="M26" s="28"/>
      <c r="N26" s="28"/>
      <c r="O26" s="28"/>
      <c r="P26" s="28"/>
    </row>
    <row r="27" spans="1:16" ht="24" customHeight="1" x14ac:dyDescent="0.25">
      <c r="A27" s="52"/>
      <c r="B27" s="33" t="s">
        <v>83</v>
      </c>
      <c r="C27" s="31">
        <v>3</v>
      </c>
      <c r="D27" s="24">
        <f t="shared" si="1"/>
        <v>3</v>
      </c>
      <c r="E27" s="28"/>
      <c r="F27" s="28"/>
      <c r="G27" s="28"/>
      <c r="H27" s="28"/>
      <c r="I27" s="28">
        <v>3</v>
      </c>
      <c r="J27" s="28"/>
      <c r="K27" s="28"/>
      <c r="L27" s="28"/>
      <c r="M27" s="28"/>
      <c r="N27" s="28"/>
      <c r="O27" s="28"/>
      <c r="P27" s="28"/>
    </row>
    <row r="28" spans="1:16" ht="24" customHeight="1" x14ac:dyDescent="0.25">
      <c r="A28" s="52"/>
      <c r="B28" s="33" t="s">
        <v>84</v>
      </c>
      <c r="C28" s="31">
        <v>3</v>
      </c>
      <c r="D28" s="24">
        <f t="shared" si="1"/>
        <v>0</v>
      </c>
      <c r="E28" s="28"/>
      <c r="F28" s="28"/>
      <c r="G28" s="28"/>
      <c r="H28" s="28"/>
      <c r="I28" s="28"/>
      <c r="J28" s="28"/>
      <c r="K28" s="28"/>
      <c r="L28" s="28"/>
      <c r="M28" s="28"/>
      <c r="N28" s="28"/>
      <c r="O28" s="28"/>
      <c r="P28" s="28"/>
    </row>
    <row r="29" spans="1:16" ht="24" customHeight="1" x14ac:dyDescent="0.25">
      <c r="A29" s="52"/>
      <c r="B29" s="33" t="s">
        <v>85</v>
      </c>
      <c r="C29" s="31">
        <v>3</v>
      </c>
      <c r="D29" s="24">
        <f t="shared" si="1"/>
        <v>0</v>
      </c>
      <c r="E29" s="28"/>
      <c r="F29" s="28"/>
      <c r="G29" s="28"/>
      <c r="H29" s="28"/>
      <c r="I29" s="28"/>
      <c r="J29" s="28"/>
      <c r="K29" s="28"/>
      <c r="L29" s="28"/>
      <c r="M29" s="28"/>
      <c r="N29" s="28"/>
      <c r="O29" s="28"/>
      <c r="P29" s="28"/>
    </row>
    <row r="30" spans="1:16" ht="24" customHeight="1" x14ac:dyDescent="0.25">
      <c r="A30" s="52"/>
      <c r="B30" s="33" t="s">
        <v>86</v>
      </c>
      <c r="C30" s="31">
        <v>1</v>
      </c>
      <c r="D30" s="24">
        <f t="shared" si="1"/>
        <v>0</v>
      </c>
      <c r="E30" s="28"/>
      <c r="F30" s="28"/>
      <c r="G30" s="28"/>
      <c r="H30" s="28"/>
      <c r="I30" s="28"/>
      <c r="J30" s="28"/>
      <c r="K30" s="28"/>
      <c r="L30" s="28"/>
      <c r="M30" s="28"/>
      <c r="N30" s="28"/>
      <c r="O30" s="28"/>
      <c r="P30" s="28"/>
    </row>
    <row r="31" spans="1:16" ht="24" customHeight="1" x14ac:dyDescent="0.25">
      <c r="A31" s="52"/>
      <c r="B31" s="33" t="s">
        <v>87</v>
      </c>
      <c r="C31" s="31">
        <v>1</v>
      </c>
      <c r="D31" s="24">
        <f t="shared" si="1"/>
        <v>0</v>
      </c>
      <c r="E31" s="28"/>
      <c r="F31" s="28"/>
      <c r="G31" s="28"/>
      <c r="H31" s="28"/>
      <c r="I31" s="28"/>
      <c r="J31" s="28"/>
      <c r="K31" s="28"/>
      <c r="L31" s="28"/>
      <c r="M31" s="28"/>
      <c r="N31" s="28"/>
      <c r="O31" s="28"/>
      <c r="P31" s="28"/>
    </row>
    <row r="32" spans="1:16" ht="24" customHeight="1" x14ac:dyDescent="0.25">
      <c r="A32" s="52"/>
      <c r="B32" s="33" t="s">
        <v>88</v>
      </c>
      <c r="C32" s="31">
        <v>1</v>
      </c>
      <c r="D32" s="24">
        <f t="shared" si="1"/>
        <v>0</v>
      </c>
      <c r="E32" s="28"/>
      <c r="F32" s="28"/>
      <c r="G32" s="28"/>
      <c r="H32" s="28"/>
      <c r="I32" s="28"/>
      <c r="J32" s="28"/>
      <c r="K32" s="28"/>
      <c r="L32" s="28"/>
      <c r="M32" s="28"/>
      <c r="N32" s="28"/>
      <c r="O32" s="28"/>
      <c r="P32" s="28"/>
    </row>
    <row r="33" spans="1:16" ht="24" customHeight="1" x14ac:dyDescent="0.25">
      <c r="A33" s="52"/>
      <c r="B33" s="33" t="s">
        <v>89</v>
      </c>
      <c r="C33" s="31">
        <v>1</v>
      </c>
      <c r="D33" s="24">
        <f t="shared" si="1"/>
        <v>0</v>
      </c>
      <c r="E33" s="28"/>
      <c r="F33" s="28"/>
      <c r="G33" s="28"/>
      <c r="H33" s="28"/>
      <c r="I33" s="28"/>
      <c r="J33" s="28"/>
      <c r="K33" s="28"/>
      <c r="L33" s="28"/>
      <c r="M33" s="28"/>
      <c r="N33" s="28"/>
      <c r="O33" s="28"/>
      <c r="P33" s="28"/>
    </row>
    <row r="34" spans="1:16" ht="24" customHeight="1" x14ac:dyDescent="0.25">
      <c r="A34" s="52"/>
      <c r="B34" s="33" t="s">
        <v>90</v>
      </c>
      <c r="C34" s="31">
        <v>1</v>
      </c>
      <c r="D34" s="24">
        <f t="shared" si="1"/>
        <v>0</v>
      </c>
      <c r="E34" s="28"/>
      <c r="F34" s="28"/>
      <c r="G34" s="28"/>
      <c r="H34" s="28"/>
      <c r="I34" s="28"/>
      <c r="J34" s="28"/>
      <c r="K34" s="28"/>
      <c r="L34" s="28"/>
      <c r="M34" s="28"/>
      <c r="N34" s="28"/>
      <c r="O34" s="28"/>
      <c r="P34" s="28"/>
    </row>
    <row r="35" spans="1:16" ht="24" customHeight="1" x14ac:dyDescent="0.25">
      <c r="A35" s="52"/>
      <c r="B35" s="33" t="s">
        <v>91</v>
      </c>
      <c r="C35" s="31">
        <v>1</v>
      </c>
      <c r="D35" s="24">
        <f t="shared" si="1"/>
        <v>0</v>
      </c>
      <c r="E35" s="28"/>
      <c r="F35" s="28"/>
      <c r="G35" s="28"/>
      <c r="H35" s="28"/>
      <c r="I35" s="28"/>
      <c r="J35" s="28"/>
      <c r="K35" s="28"/>
      <c r="L35" s="28"/>
      <c r="M35" s="28"/>
      <c r="N35" s="28"/>
      <c r="O35" s="28"/>
      <c r="P35" s="28"/>
    </row>
    <row r="36" spans="1:16" ht="24" customHeight="1" thickBot="1" x14ac:dyDescent="0.3">
      <c r="A36" s="53"/>
      <c r="B36" s="34" t="s">
        <v>92</v>
      </c>
      <c r="C36" s="31">
        <v>1</v>
      </c>
      <c r="D36" s="24">
        <f t="shared" si="1"/>
        <v>0</v>
      </c>
      <c r="E36" s="28"/>
      <c r="F36" s="28"/>
      <c r="G36" s="28"/>
      <c r="H36" s="28"/>
      <c r="I36" s="28"/>
      <c r="J36" s="28"/>
      <c r="K36" s="28"/>
      <c r="L36" s="28"/>
      <c r="M36" s="28"/>
      <c r="N36" s="28"/>
      <c r="O36" s="28"/>
      <c r="P36" s="28"/>
    </row>
    <row r="37" spans="1:16" x14ac:dyDescent="0.25">
      <c r="C37" s="35">
        <f>SUM(C3:C36)</f>
        <v>198</v>
      </c>
      <c r="D37" s="36">
        <f>SUM(D3:D36)</f>
        <v>59</v>
      </c>
    </row>
    <row r="38" spans="1:16" x14ac:dyDescent="0.25">
      <c r="C38" s="10"/>
      <c r="D38" s="11">
        <f>D37/C37</f>
        <v>0.29797979797979796</v>
      </c>
    </row>
  </sheetData>
  <sheetProtection algorithmName="SHA-512" hashValue="rMQhCvQPL9gDWMlZNzoMy8Pu1zht9OJEY8yFHN1x0ZLXIKVOoKr/I/3KuglW3xs0iLwfvtW7x2XdDLLMhI9qhA==" saltValue="j1M5SV6dAzHTowhIVVXYsg==" spinCount="100000" sheet="1" objects="1" scenarios="1" autoFilter="0"/>
  <mergeCells count="2">
    <mergeCell ref="A1:A2"/>
    <mergeCell ref="A9:A36"/>
  </mergeCells>
  <conditionalFormatting sqref="C3:D3 D4:D8">
    <cfRule type="dataBar" priority="47">
      <dataBar>
        <cfvo type="min"/>
        <cfvo type="max"/>
        <color rgb="FF008AEF"/>
      </dataBar>
      <extLst>
        <ext xmlns:x14="http://schemas.microsoft.com/office/spreadsheetml/2009/9/main" uri="{B025F937-C7B1-47D3-B67F-A62EFF666E3E}">
          <x14:id>{0B91EEC9-F301-4318-B080-04E67A665D2A}</x14:id>
        </ext>
      </extLst>
    </cfRule>
  </conditionalFormatting>
  <conditionalFormatting sqref="C4:D4">
    <cfRule type="dataBar" priority="4">
      <dataBar>
        <cfvo type="min"/>
        <cfvo type="max"/>
        <color rgb="FF008AEF"/>
      </dataBar>
      <extLst>
        <ext xmlns:x14="http://schemas.microsoft.com/office/spreadsheetml/2009/9/main" uri="{B025F937-C7B1-47D3-B67F-A62EFF666E3E}">
          <x14:id>{DFD3F2CE-C751-4335-960E-3980A5814DEC}</x14:id>
        </ext>
      </extLst>
    </cfRule>
  </conditionalFormatting>
  <conditionalFormatting sqref="C5:D5">
    <cfRule type="dataBar" priority="5">
      <dataBar>
        <cfvo type="min"/>
        <cfvo type="max"/>
        <color rgb="FF008AEF"/>
      </dataBar>
      <extLst>
        <ext xmlns:x14="http://schemas.microsoft.com/office/spreadsheetml/2009/9/main" uri="{B025F937-C7B1-47D3-B67F-A62EFF666E3E}">
          <x14:id>{19BD3CF2-CA49-48B1-A032-E78C9F5856D0}</x14:id>
        </ext>
      </extLst>
    </cfRule>
  </conditionalFormatting>
  <conditionalFormatting sqref="C6:D6">
    <cfRule type="dataBar" priority="6">
      <dataBar>
        <cfvo type="min"/>
        <cfvo type="max"/>
        <color rgb="FF008AEF"/>
      </dataBar>
      <extLst>
        <ext xmlns:x14="http://schemas.microsoft.com/office/spreadsheetml/2009/9/main" uri="{B025F937-C7B1-47D3-B67F-A62EFF666E3E}">
          <x14:id>{75C01754-1E5E-4FAB-AE46-5B5C5B455EE0}</x14:id>
        </ext>
      </extLst>
    </cfRule>
  </conditionalFormatting>
  <conditionalFormatting sqref="C7:D7">
    <cfRule type="dataBar" priority="7">
      <dataBar>
        <cfvo type="min"/>
        <cfvo type="max"/>
        <color rgb="FF008AEF"/>
      </dataBar>
      <extLst>
        <ext xmlns:x14="http://schemas.microsoft.com/office/spreadsheetml/2009/9/main" uri="{B025F937-C7B1-47D3-B67F-A62EFF666E3E}">
          <x14:id>{7B943571-8299-482E-A952-A46A81A76DC0}</x14:id>
        </ext>
      </extLst>
    </cfRule>
  </conditionalFormatting>
  <conditionalFormatting sqref="C8:D8">
    <cfRule type="dataBar" priority="8">
      <dataBar>
        <cfvo type="min"/>
        <cfvo type="max"/>
        <color rgb="FF008AEF"/>
      </dataBar>
      <extLst>
        <ext xmlns:x14="http://schemas.microsoft.com/office/spreadsheetml/2009/9/main" uri="{B025F937-C7B1-47D3-B67F-A62EFF666E3E}">
          <x14:id>{1E077A9D-41CA-4766-96DB-3FF38A2F2313}</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{54026764-F14C-4BE5-A6D4-7129F8A9D8DF}</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{F0A5629A-64FF-4129-BA00-FA14DB6C3342}</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{4D6B5E43-DD94-4F16-A0E0-BEC1F9FDB687}</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{F8BC648B-347B-40A5-8D55-5250A5735EEC}</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{70325790-AC07-4187-B1D6-09A4EA26E46B}</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{7BEB31E0-151A-43FF-BE36-414C93A3CCAE}</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{2FE34A18-65C8-4211-9D42-77491AA8259C}</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{59DA8D0E-D4DB-40E3-BD5A-CE4E1B6D4B61}</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{5017FEEA-DF40-44FB-8852-57CB51E0DE0B}</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{14614A32-29A0-4369-B5C9-01211F53590A}</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{51FEA8AB-611B-4D74-962D-5D04C0CE2378}</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{DA4C08B3-615B-4C08-A698-0BE288046979}</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{95ABB38F-FF79-4B68-A918-0423248558E3}</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{CFAAD3E2-DE63-495A-8580-0C419AD7E1A7}</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{A77AA303-1B94-4083-AE2F-44BBD1D52715}</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{DAF37EBB-6C45-444C-A2C5-155FCDE1F247}</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{47005FFA-58FE-43B1-896E-8503ADF2649C}</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{1A4E3987-BD83-459A-BF2B-9E6248606294}</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{E7B93B60-B119-48F9-8D44-AFB7F6511706}</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{A8ED99BF-8B48-4DF1-A29A-40653D785EA3}</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{E9E12104-D28E-47B4-8D0E-6780964DD4E4}</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{B5999858-F189-4567-92F7-C90171049B55}</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{64E79706-17DD-44A4-B358-4CC7A8083949}</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{C9B6DF94-D275-4742-AA22-E3D8653162A6}</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{D45DDA10-0902-4463-BD85-DBA38FD5C811}</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{79DC2149-B2DC-46C0-A0A9-AC205623BF57}</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{73C61780-2F55-4590-ADB9-2F25FACBEA35}</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{07AE642C-942D-463E-8353-C631178B275D}</x14:id>
        </ext>
      </extLst>
    </cfRule>
  </conditionalFormatting>
  <conditionalFormatting sqref="E3:P36">
    <cfRule type="cellIs" dxfId="6"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B91EEC9-F301-4318-B080-04E67A665D2A}">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DFD3F2CE-C751-4335-960E-3980A5814DE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19BD3CF2-CA49-48B1-A032-E78C9F5856D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5C01754-1E5E-4FAB-AE46-5B5C5B455EE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B943571-8299-482E-A952-A46A81A76DC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1E077A9D-41CA-4766-96DB-3FF38A2F231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4026764-F14C-4BE5-A6D4-7129F8A9D8DF}">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0A5629A-64FF-4129-BA00-FA14DB6C334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4D6B5E43-DD94-4F16-A0E0-BEC1F9FDB68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F8BC648B-347B-40A5-8D55-5250A5735EEC}">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0325790-AC07-4187-B1D6-09A4EA26E46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BEB31E0-151A-43FF-BE36-414C93A3CCA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FE34A18-65C8-4211-9D42-77491AA8259C}">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59DA8D0E-D4DB-40E3-BD5A-CE4E1B6D4B61}">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5017FEEA-DF40-44FB-8852-57CB51E0DE0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4614A32-29A0-4369-B5C9-01211F53590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51FEA8AB-611B-4D74-962D-5D04C0CE2378}">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DA4C08B3-615B-4C08-A698-0BE288046979}">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5ABB38F-FF79-4B68-A918-0423248558E3}">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FAAD3E2-DE63-495A-8580-0C419AD7E1A7}">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77AA303-1B94-4083-AE2F-44BBD1D52715}">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DAF37EBB-6C45-444C-A2C5-155FCDE1F24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7005FFA-58FE-43B1-896E-8503ADF2649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1A4E3987-BD83-459A-BF2B-9E624860629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7B93B60-B119-48F9-8D44-AFB7F6511706}">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A8ED99BF-8B48-4DF1-A29A-40653D785EA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9E12104-D28E-47B4-8D0E-6780964DD4E4}">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B5999858-F189-4567-92F7-C90171049B5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64E79706-17DD-44A4-B358-4CC7A8083949}">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9B6DF94-D275-4742-AA22-E3D8653162A6}">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45DDA10-0902-4463-BD85-DBA38FD5C81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79DC2149-B2DC-46C0-A0A9-AC205623BF57}">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3C61780-2F55-4590-ADB9-2F25FACBEA35}">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07AE642C-942D-463E-8353-C631178B275D}">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8"/>
  <sheetViews>
    <sheetView zoomScale="60" zoomScaleNormal="60" workbookViewId="0">
      <selection activeCell="H5" sqref="H5"/>
    </sheetView>
  </sheetViews>
  <sheetFormatPr baseColWidth="10" defaultColWidth="11.42578125" defaultRowHeight="15" x14ac:dyDescent="0.25"/>
  <cols>
    <col min="1" max="1" width="9.140625" style="2" customWidth="1"/>
    <col min="2" max="2" width="78.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94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 t="shared" ref="D3:D8" si="0">SUM(E3:P3)</f>
        <v>1</v>
      </c>
      <c r="E3" s="28"/>
      <c r="F3" s="28"/>
      <c r="G3" s="28"/>
      <c r="H3" s="28">
        <v>1</v>
      </c>
      <c r="I3" s="28"/>
      <c r="J3" s="28"/>
      <c r="K3" s="28"/>
      <c r="L3" s="28"/>
      <c r="M3" s="28"/>
      <c r="N3" s="28"/>
      <c r="O3" s="28"/>
      <c r="P3" s="28"/>
    </row>
    <row r="4" spans="1:16" ht="81" customHeight="1" x14ac:dyDescent="0.25">
      <c r="A4" s="38" t="s">
        <v>20</v>
      </c>
      <c r="B4" s="7" t="s">
        <v>19</v>
      </c>
      <c r="C4" s="29">
        <v>2</v>
      </c>
      <c r="D4" s="24">
        <f t="shared" si="0"/>
        <v>0</v>
      </c>
      <c r="E4" s="28">
        <v>0</v>
      </c>
      <c r="F4" s="28">
        <v>0</v>
      </c>
      <c r="G4" s="28">
        <v>0</v>
      </c>
      <c r="H4" s="28">
        <v>0</v>
      </c>
      <c r="I4" s="28"/>
      <c r="J4" s="28"/>
      <c r="K4" s="28"/>
      <c r="L4" s="28"/>
      <c r="M4" s="28"/>
      <c r="N4" s="28"/>
      <c r="O4" s="28"/>
      <c r="P4" s="28"/>
    </row>
    <row r="5" spans="1:16" ht="81" customHeight="1" x14ac:dyDescent="0.25">
      <c r="A5" s="39" t="s">
        <v>22</v>
      </c>
      <c r="B5" s="8" t="s">
        <v>21</v>
      </c>
      <c r="C5" s="30">
        <v>2</v>
      </c>
      <c r="D5" s="24">
        <f t="shared" si="0"/>
        <v>0</v>
      </c>
      <c r="E5" s="28">
        <v>0</v>
      </c>
      <c r="F5" s="28">
        <v>0</v>
      </c>
      <c r="G5" s="28">
        <v>0</v>
      </c>
      <c r="H5" s="28">
        <v>0</v>
      </c>
      <c r="I5" s="28"/>
      <c r="J5" s="28"/>
      <c r="K5" s="28"/>
      <c r="L5" s="28"/>
      <c r="M5" s="28"/>
      <c r="N5" s="28"/>
      <c r="O5" s="28"/>
      <c r="P5" s="28"/>
    </row>
    <row r="6" spans="1:16" ht="81" customHeight="1" x14ac:dyDescent="0.25">
      <c r="A6" s="37" t="s">
        <v>18</v>
      </c>
      <c r="B6" s="5" t="s">
        <v>23</v>
      </c>
      <c r="C6" s="31">
        <v>1</v>
      </c>
      <c r="D6" s="24">
        <f t="shared" si="0"/>
        <v>0</v>
      </c>
      <c r="E6" s="28"/>
      <c r="F6" s="28"/>
      <c r="G6" s="28"/>
      <c r="H6" s="28"/>
      <c r="I6" s="28"/>
      <c r="J6" s="28"/>
      <c r="K6" s="28"/>
      <c r="L6" s="28"/>
      <c r="M6" s="28"/>
      <c r="N6" s="28"/>
      <c r="O6" s="28"/>
      <c r="P6" s="28"/>
    </row>
    <row r="7" spans="1:16" ht="81" customHeight="1" x14ac:dyDescent="0.25">
      <c r="A7" s="37" t="s">
        <v>18</v>
      </c>
      <c r="B7" s="5" t="s">
        <v>24</v>
      </c>
      <c r="C7" s="31">
        <v>2</v>
      </c>
      <c r="D7" s="24">
        <f t="shared" si="0"/>
        <v>1</v>
      </c>
      <c r="E7" s="28"/>
      <c r="F7" s="28"/>
      <c r="G7" s="28"/>
      <c r="H7" s="28"/>
      <c r="I7" s="28"/>
      <c r="J7" s="28">
        <v>1</v>
      </c>
      <c r="K7" s="28"/>
      <c r="L7" s="28"/>
      <c r="M7" s="28"/>
      <c r="N7" s="28"/>
      <c r="O7" s="28"/>
      <c r="P7" s="28"/>
    </row>
    <row r="8" spans="1:16" ht="81" customHeight="1" x14ac:dyDescent="0.25">
      <c r="A8" s="37" t="s">
        <v>18</v>
      </c>
      <c r="B8" s="5" t="s">
        <v>25</v>
      </c>
      <c r="C8" s="31">
        <v>1</v>
      </c>
      <c r="D8" s="24">
        <f t="shared" si="0"/>
        <v>0</v>
      </c>
      <c r="E8" s="28"/>
      <c r="F8" s="28"/>
      <c r="G8" s="28"/>
      <c r="H8" s="28"/>
      <c r="I8" s="28"/>
      <c r="J8" s="28"/>
      <c r="K8" s="28"/>
      <c r="L8" s="28"/>
      <c r="M8" s="28"/>
      <c r="N8" s="28"/>
      <c r="O8" s="28"/>
      <c r="P8" s="28"/>
    </row>
    <row r="9" spans="1:16" ht="28.5" customHeight="1" x14ac:dyDescent="0.25">
      <c r="A9" s="51" t="s">
        <v>64</v>
      </c>
      <c r="B9" s="32" t="s">
        <v>65</v>
      </c>
      <c r="C9" s="31">
        <v>3</v>
      </c>
      <c r="D9" s="24">
        <f t="shared" ref="D9:D36" si="1">SUM(E9:P9)</f>
        <v>0</v>
      </c>
      <c r="E9" s="28"/>
      <c r="F9" s="28"/>
      <c r="G9" s="28"/>
      <c r="H9" s="28"/>
      <c r="I9" s="28"/>
      <c r="J9" s="28"/>
      <c r="K9" s="28"/>
      <c r="L9" s="28"/>
      <c r="M9" s="28"/>
      <c r="N9" s="28"/>
      <c r="O9" s="28"/>
      <c r="P9" s="28"/>
    </row>
    <row r="10" spans="1:16" ht="28.5" customHeight="1" x14ac:dyDescent="0.25">
      <c r="A10" s="52"/>
      <c r="B10" s="32" t="s">
        <v>66</v>
      </c>
      <c r="C10" s="31">
        <v>3</v>
      </c>
      <c r="D10" s="24">
        <f t="shared" si="1"/>
        <v>1</v>
      </c>
      <c r="E10" s="28"/>
      <c r="F10" s="28"/>
      <c r="G10" s="28">
        <v>1</v>
      </c>
      <c r="H10" s="28"/>
      <c r="I10" s="28"/>
      <c r="J10" s="28"/>
      <c r="K10" s="28"/>
      <c r="L10" s="28"/>
      <c r="M10" s="28"/>
      <c r="N10" s="28"/>
      <c r="O10" s="28"/>
      <c r="P10" s="28"/>
    </row>
    <row r="11" spans="1:16" ht="28.5" customHeight="1" x14ac:dyDescent="0.25">
      <c r="A11" s="52"/>
      <c r="B11" s="32" t="s">
        <v>67</v>
      </c>
      <c r="C11" s="31">
        <v>24</v>
      </c>
      <c r="D11" s="24">
        <f t="shared" si="1"/>
        <v>4</v>
      </c>
      <c r="E11" s="28"/>
      <c r="F11" s="28">
        <v>4</v>
      </c>
      <c r="G11" s="28"/>
      <c r="H11" s="28"/>
      <c r="I11" s="28"/>
      <c r="J11" s="28"/>
      <c r="K11" s="28"/>
      <c r="L11" s="28"/>
      <c r="M11" s="28"/>
      <c r="N11" s="28"/>
      <c r="O11" s="28"/>
      <c r="P11" s="28"/>
    </row>
    <row r="12" spans="1:16" ht="28.5" customHeight="1" x14ac:dyDescent="0.25">
      <c r="A12" s="52"/>
      <c r="B12" s="32" t="s">
        <v>68</v>
      </c>
      <c r="C12" s="31">
        <v>87</v>
      </c>
      <c r="D12" s="24">
        <f t="shared" si="1"/>
        <v>0</v>
      </c>
      <c r="E12" s="28"/>
      <c r="F12" s="28"/>
      <c r="G12" s="28"/>
      <c r="H12" s="28"/>
      <c r="I12" s="28"/>
      <c r="J12" s="28"/>
      <c r="K12" s="28"/>
      <c r="L12" s="28"/>
      <c r="M12" s="28"/>
      <c r="N12" s="28"/>
      <c r="O12" s="28"/>
      <c r="P12" s="28"/>
    </row>
    <row r="13" spans="1:16" ht="28.5" customHeight="1" x14ac:dyDescent="0.25">
      <c r="A13" s="52"/>
      <c r="B13" s="32" t="s">
        <v>69</v>
      </c>
      <c r="C13" s="31">
        <v>0</v>
      </c>
      <c r="D13" s="24">
        <f t="shared" si="1"/>
        <v>0</v>
      </c>
      <c r="E13" s="28"/>
      <c r="F13" s="28"/>
      <c r="G13" s="28"/>
      <c r="H13" s="28"/>
      <c r="I13" s="28"/>
      <c r="J13" s="28"/>
      <c r="K13" s="28"/>
      <c r="L13" s="28"/>
      <c r="M13" s="28"/>
      <c r="N13" s="28"/>
      <c r="O13" s="28"/>
      <c r="P13" s="28"/>
    </row>
    <row r="14" spans="1:16" ht="28.5" customHeight="1" x14ac:dyDescent="0.25">
      <c r="A14" s="52"/>
      <c r="B14" s="32" t="s">
        <v>70</v>
      </c>
      <c r="C14" s="31">
        <v>7</v>
      </c>
      <c r="D14" s="24">
        <f t="shared" si="1"/>
        <v>0</v>
      </c>
      <c r="E14" s="28"/>
      <c r="F14" s="28"/>
      <c r="G14" s="28"/>
      <c r="H14" s="28"/>
      <c r="I14" s="28"/>
      <c r="J14" s="28"/>
      <c r="K14" s="28"/>
      <c r="L14" s="28"/>
      <c r="M14" s="28"/>
      <c r="N14" s="28"/>
      <c r="O14" s="28"/>
      <c r="P14" s="28"/>
    </row>
    <row r="15" spans="1:16" ht="28.5" customHeight="1" x14ac:dyDescent="0.25">
      <c r="A15" s="52"/>
      <c r="B15" s="32" t="s">
        <v>71</v>
      </c>
      <c r="C15" s="31">
        <v>0</v>
      </c>
      <c r="D15" s="24">
        <f t="shared" si="1"/>
        <v>0</v>
      </c>
      <c r="E15" s="28"/>
      <c r="F15" s="28"/>
      <c r="G15" s="28"/>
      <c r="H15" s="28"/>
      <c r="I15" s="28"/>
      <c r="J15" s="28"/>
      <c r="K15" s="28"/>
      <c r="L15" s="28"/>
      <c r="M15" s="28"/>
      <c r="N15" s="28"/>
      <c r="O15" s="28"/>
      <c r="P15" s="28"/>
    </row>
    <row r="16" spans="1:16" ht="28.5" customHeight="1" x14ac:dyDescent="0.25">
      <c r="A16" s="52"/>
      <c r="B16" s="32" t="s">
        <v>72</v>
      </c>
      <c r="C16" s="31">
        <v>0</v>
      </c>
      <c r="D16" s="24">
        <f t="shared" si="1"/>
        <v>0</v>
      </c>
      <c r="E16" s="28"/>
      <c r="F16" s="28"/>
      <c r="G16" s="28"/>
      <c r="H16" s="28"/>
      <c r="I16" s="28"/>
      <c r="J16" s="28"/>
      <c r="K16" s="28"/>
      <c r="L16" s="28"/>
      <c r="M16" s="28"/>
      <c r="N16" s="28"/>
      <c r="O16" s="28"/>
      <c r="P16" s="28"/>
    </row>
    <row r="17" spans="1:16" ht="28.5" customHeight="1" x14ac:dyDescent="0.25">
      <c r="A17" s="52"/>
      <c r="B17" s="32" t="s">
        <v>73</v>
      </c>
      <c r="C17" s="31">
        <v>0</v>
      </c>
      <c r="D17" s="24">
        <f t="shared" si="1"/>
        <v>0</v>
      </c>
      <c r="E17" s="28"/>
      <c r="F17" s="28"/>
      <c r="G17" s="28"/>
      <c r="H17" s="28"/>
      <c r="I17" s="28"/>
      <c r="J17" s="28"/>
      <c r="K17" s="28"/>
      <c r="L17" s="28"/>
      <c r="M17" s="28"/>
      <c r="N17" s="28"/>
      <c r="O17" s="28"/>
      <c r="P17" s="28"/>
    </row>
    <row r="18" spans="1:16" ht="28.5" customHeight="1" x14ac:dyDescent="0.25">
      <c r="A18" s="52"/>
      <c r="B18" s="32" t="s">
        <v>74</v>
      </c>
      <c r="C18" s="31">
        <v>1</v>
      </c>
      <c r="D18" s="24">
        <f t="shared" si="1"/>
        <v>0</v>
      </c>
      <c r="E18" s="28"/>
      <c r="F18" s="28"/>
      <c r="G18" s="28"/>
      <c r="H18" s="28"/>
      <c r="I18" s="28"/>
      <c r="J18" s="28"/>
      <c r="K18" s="28"/>
      <c r="L18" s="28"/>
      <c r="M18" s="28"/>
      <c r="N18" s="28"/>
      <c r="O18" s="28"/>
      <c r="P18" s="28"/>
    </row>
    <row r="19" spans="1:16" ht="28.5" customHeight="1" x14ac:dyDescent="0.25">
      <c r="A19" s="52"/>
      <c r="B19" s="32" t="s">
        <v>75</v>
      </c>
      <c r="C19" s="31">
        <v>1</v>
      </c>
      <c r="D19" s="24">
        <f t="shared" si="1"/>
        <v>0</v>
      </c>
      <c r="E19" s="28"/>
      <c r="F19" s="28"/>
      <c r="G19" s="28"/>
      <c r="H19" s="28"/>
      <c r="I19" s="28"/>
      <c r="J19" s="28"/>
      <c r="K19" s="28"/>
      <c r="L19" s="28"/>
      <c r="M19" s="28"/>
      <c r="N19" s="28"/>
      <c r="O19" s="28"/>
      <c r="P19" s="28"/>
    </row>
    <row r="20" spans="1:16" ht="28.5" customHeight="1" x14ac:dyDescent="0.25">
      <c r="A20" s="52"/>
      <c r="B20" s="32" t="s">
        <v>76</v>
      </c>
      <c r="C20" s="31">
        <v>0</v>
      </c>
      <c r="D20" s="24">
        <f t="shared" si="1"/>
        <v>0</v>
      </c>
      <c r="E20" s="28"/>
      <c r="F20" s="28"/>
      <c r="G20" s="28"/>
      <c r="H20" s="28"/>
      <c r="I20" s="28"/>
      <c r="J20" s="28"/>
      <c r="K20" s="28"/>
      <c r="L20" s="28"/>
      <c r="M20" s="28"/>
      <c r="N20" s="28"/>
      <c r="O20" s="28"/>
      <c r="P20" s="28"/>
    </row>
    <row r="21" spans="1:16" ht="28.5" customHeight="1" x14ac:dyDescent="0.25">
      <c r="A21" s="52"/>
      <c r="B21" s="32" t="s">
        <v>77</v>
      </c>
      <c r="C21" s="31">
        <v>0</v>
      </c>
      <c r="D21" s="24">
        <f t="shared" si="1"/>
        <v>0</v>
      </c>
      <c r="E21" s="28"/>
      <c r="F21" s="28"/>
      <c r="G21" s="28"/>
      <c r="H21" s="28"/>
      <c r="I21" s="28"/>
      <c r="J21" s="28"/>
      <c r="K21" s="28"/>
      <c r="L21" s="28"/>
      <c r="M21" s="28"/>
      <c r="N21" s="28"/>
      <c r="O21" s="28"/>
      <c r="P21" s="28"/>
    </row>
    <row r="22" spans="1:16" ht="28.5" customHeight="1" x14ac:dyDescent="0.25">
      <c r="A22" s="52"/>
      <c r="B22" s="32" t="s">
        <v>78</v>
      </c>
      <c r="C22" s="31">
        <v>0</v>
      </c>
      <c r="D22" s="24">
        <f t="shared" si="1"/>
        <v>0</v>
      </c>
      <c r="E22" s="28"/>
      <c r="F22" s="28"/>
      <c r="G22" s="28"/>
      <c r="H22" s="28"/>
      <c r="I22" s="28"/>
      <c r="J22" s="28"/>
      <c r="K22" s="28"/>
      <c r="L22" s="28"/>
      <c r="M22" s="28"/>
      <c r="N22" s="28"/>
      <c r="O22" s="28"/>
      <c r="P22" s="28"/>
    </row>
    <row r="23" spans="1:16" ht="28.5" customHeight="1" x14ac:dyDescent="0.25">
      <c r="A23" s="52"/>
      <c r="B23" s="32" t="s">
        <v>79</v>
      </c>
      <c r="C23" s="31">
        <v>72</v>
      </c>
      <c r="D23" s="24">
        <f t="shared" si="1"/>
        <v>36</v>
      </c>
      <c r="E23" s="28"/>
      <c r="F23" s="28"/>
      <c r="G23" s="28">
        <v>18</v>
      </c>
      <c r="H23" s="28"/>
      <c r="I23" s="28">
        <v>18</v>
      </c>
      <c r="J23" s="28"/>
      <c r="K23" s="28"/>
      <c r="L23" s="28"/>
      <c r="M23" s="28"/>
      <c r="N23" s="28"/>
      <c r="O23" s="28"/>
      <c r="P23" s="28"/>
    </row>
    <row r="24" spans="1:16" ht="28.5" customHeight="1" x14ac:dyDescent="0.25">
      <c r="A24" s="52"/>
      <c r="B24" s="32" t="s">
        <v>80</v>
      </c>
      <c r="C24" s="31">
        <v>1</v>
      </c>
      <c r="D24" s="24">
        <f t="shared" si="1"/>
        <v>0</v>
      </c>
      <c r="E24" s="28"/>
      <c r="F24" s="28"/>
      <c r="G24" s="28"/>
      <c r="H24" s="28"/>
      <c r="I24" s="28"/>
      <c r="J24" s="28"/>
      <c r="K24" s="28"/>
      <c r="L24" s="28"/>
      <c r="M24" s="28"/>
      <c r="N24" s="28"/>
      <c r="O24" s="28"/>
      <c r="P24" s="28"/>
    </row>
    <row r="25" spans="1:16" ht="24" customHeight="1" x14ac:dyDescent="0.25">
      <c r="A25" s="52"/>
      <c r="B25" s="33" t="s">
        <v>81</v>
      </c>
      <c r="C25" s="31">
        <v>6</v>
      </c>
      <c r="D25" s="24">
        <f t="shared" si="1"/>
        <v>6</v>
      </c>
      <c r="E25" s="28"/>
      <c r="F25" s="28">
        <v>1</v>
      </c>
      <c r="G25" s="28">
        <v>5</v>
      </c>
      <c r="H25" s="28"/>
      <c r="I25" s="28"/>
      <c r="J25" s="28"/>
      <c r="K25" s="28"/>
      <c r="L25" s="28"/>
      <c r="M25" s="28"/>
      <c r="N25" s="28"/>
      <c r="O25" s="28"/>
      <c r="P25" s="28"/>
    </row>
    <row r="26" spans="1:16" ht="24" customHeight="1" x14ac:dyDescent="0.25">
      <c r="A26" s="52"/>
      <c r="B26" s="33" t="s">
        <v>82</v>
      </c>
      <c r="C26" s="31">
        <v>6</v>
      </c>
      <c r="D26" s="24">
        <f t="shared" si="1"/>
        <v>0</v>
      </c>
      <c r="E26" s="28"/>
      <c r="F26" s="28"/>
      <c r="G26" s="28"/>
      <c r="H26" s="28"/>
      <c r="I26" s="28"/>
      <c r="J26" s="28"/>
      <c r="K26" s="28"/>
      <c r="L26" s="28"/>
      <c r="M26" s="28"/>
      <c r="N26" s="28"/>
      <c r="O26" s="28"/>
      <c r="P26" s="28"/>
    </row>
    <row r="27" spans="1:16" ht="24" customHeight="1" x14ac:dyDescent="0.25">
      <c r="A27" s="52"/>
      <c r="B27" s="33" t="s">
        <v>83</v>
      </c>
      <c r="C27" s="31">
        <v>6</v>
      </c>
      <c r="D27" s="24">
        <f t="shared" si="1"/>
        <v>5</v>
      </c>
      <c r="E27" s="28"/>
      <c r="F27" s="28"/>
      <c r="G27" s="28"/>
      <c r="H27" s="28"/>
      <c r="I27" s="28">
        <v>5</v>
      </c>
      <c r="J27" s="28"/>
      <c r="K27" s="28"/>
      <c r="L27" s="28"/>
      <c r="M27" s="28"/>
      <c r="N27" s="28"/>
      <c r="O27" s="28"/>
      <c r="P27" s="28"/>
    </row>
    <row r="28" spans="1:16" ht="24" customHeight="1" x14ac:dyDescent="0.25">
      <c r="A28" s="52"/>
      <c r="B28" s="33" t="s">
        <v>84</v>
      </c>
      <c r="C28" s="31">
        <v>6</v>
      </c>
      <c r="D28" s="24">
        <f t="shared" si="1"/>
        <v>0</v>
      </c>
      <c r="E28" s="28"/>
      <c r="F28" s="28"/>
      <c r="G28" s="28"/>
      <c r="H28" s="28"/>
      <c r="I28" s="28"/>
      <c r="J28" s="28"/>
      <c r="K28" s="28"/>
      <c r="L28" s="28"/>
      <c r="M28" s="28"/>
      <c r="N28" s="28"/>
      <c r="O28" s="28"/>
      <c r="P28" s="28"/>
    </row>
    <row r="29" spans="1:16" ht="24" customHeight="1" x14ac:dyDescent="0.25">
      <c r="A29" s="52"/>
      <c r="B29" s="33" t="s">
        <v>85</v>
      </c>
      <c r="C29" s="31">
        <v>6</v>
      </c>
      <c r="D29" s="24">
        <f t="shared" si="1"/>
        <v>0</v>
      </c>
      <c r="E29" s="28"/>
      <c r="F29" s="28"/>
      <c r="G29" s="28"/>
      <c r="H29" s="28"/>
      <c r="I29" s="28"/>
      <c r="J29" s="28"/>
      <c r="K29" s="28"/>
      <c r="L29" s="28"/>
      <c r="M29" s="28"/>
      <c r="N29" s="28"/>
      <c r="O29" s="28"/>
      <c r="P29" s="28"/>
    </row>
    <row r="30" spans="1:16" ht="24" customHeight="1" x14ac:dyDescent="0.25">
      <c r="A30" s="52"/>
      <c r="B30" s="33" t="s">
        <v>86</v>
      </c>
      <c r="C30" s="31">
        <v>1</v>
      </c>
      <c r="D30" s="24">
        <f t="shared" si="1"/>
        <v>0</v>
      </c>
      <c r="E30" s="28"/>
      <c r="F30" s="28"/>
      <c r="G30" s="28"/>
      <c r="H30" s="28"/>
      <c r="I30" s="28"/>
      <c r="J30" s="28"/>
      <c r="K30" s="28"/>
      <c r="L30" s="28"/>
      <c r="M30" s="28"/>
      <c r="N30" s="28"/>
      <c r="O30" s="28"/>
      <c r="P30" s="28"/>
    </row>
    <row r="31" spans="1:16" ht="24" customHeight="1" x14ac:dyDescent="0.25">
      <c r="A31" s="52"/>
      <c r="B31" s="33" t="s">
        <v>87</v>
      </c>
      <c r="C31" s="31">
        <v>1</v>
      </c>
      <c r="D31" s="24">
        <f t="shared" si="1"/>
        <v>0</v>
      </c>
      <c r="E31" s="28"/>
      <c r="F31" s="28"/>
      <c r="G31" s="28"/>
      <c r="H31" s="28"/>
      <c r="I31" s="28"/>
      <c r="J31" s="28"/>
      <c r="K31" s="28"/>
      <c r="L31" s="28"/>
      <c r="M31" s="28"/>
      <c r="N31" s="28"/>
      <c r="O31" s="28"/>
      <c r="P31" s="28"/>
    </row>
    <row r="32" spans="1:16" ht="24" customHeight="1" x14ac:dyDescent="0.25">
      <c r="A32" s="52"/>
      <c r="B32" s="33" t="s">
        <v>88</v>
      </c>
      <c r="C32" s="31">
        <v>1</v>
      </c>
      <c r="D32" s="24">
        <f t="shared" si="1"/>
        <v>0</v>
      </c>
      <c r="E32" s="28"/>
      <c r="F32" s="28"/>
      <c r="G32" s="28"/>
      <c r="H32" s="28"/>
      <c r="I32" s="28"/>
      <c r="J32" s="28"/>
      <c r="K32" s="28"/>
      <c r="L32" s="28"/>
      <c r="M32" s="28"/>
      <c r="N32" s="28"/>
      <c r="O32" s="28"/>
      <c r="P32" s="28"/>
    </row>
    <row r="33" spans="1:16" ht="24" customHeight="1" x14ac:dyDescent="0.25">
      <c r="A33" s="52"/>
      <c r="B33" s="33" t="s">
        <v>89</v>
      </c>
      <c r="C33" s="31">
        <v>1</v>
      </c>
      <c r="D33" s="24">
        <f t="shared" si="1"/>
        <v>0</v>
      </c>
      <c r="E33" s="28"/>
      <c r="F33" s="28"/>
      <c r="G33" s="28"/>
      <c r="H33" s="28"/>
      <c r="I33" s="28"/>
      <c r="J33" s="28"/>
      <c r="K33" s="28"/>
      <c r="L33" s="28"/>
      <c r="M33" s="28"/>
      <c r="N33" s="28"/>
      <c r="O33" s="28"/>
      <c r="P33" s="28"/>
    </row>
    <row r="34" spans="1:16" ht="24" customHeight="1" x14ac:dyDescent="0.25">
      <c r="A34" s="52"/>
      <c r="B34" s="33" t="s">
        <v>90</v>
      </c>
      <c r="C34" s="31">
        <v>1</v>
      </c>
      <c r="D34" s="24">
        <f t="shared" si="1"/>
        <v>0</v>
      </c>
      <c r="E34" s="28"/>
      <c r="F34" s="28"/>
      <c r="G34" s="28"/>
      <c r="H34" s="28"/>
      <c r="I34" s="28"/>
      <c r="J34" s="28"/>
      <c r="K34" s="28"/>
      <c r="L34" s="28"/>
      <c r="M34" s="28"/>
      <c r="N34" s="28"/>
      <c r="O34" s="28"/>
      <c r="P34" s="28"/>
    </row>
    <row r="35" spans="1:16" ht="24" customHeight="1" x14ac:dyDescent="0.25">
      <c r="A35" s="52"/>
      <c r="B35" s="33" t="s">
        <v>91</v>
      </c>
      <c r="C35" s="31">
        <v>1</v>
      </c>
      <c r="D35" s="24">
        <f t="shared" si="1"/>
        <v>0</v>
      </c>
      <c r="E35" s="28"/>
      <c r="F35" s="28"/>
      <c r="G35" s="28"/>
      <c r="H35" s="28"/>
      <c r="I35" s="28"/>
      <c r="J35" s="28"/>
      <c r="K35" s="28"/>
      <c r="L35" s="28"/>
      <c r="M35" s="28"/>
      <c r="N35" s="28"/>
      <c r="O35" s="28"/>
      <c r="P35" s="28"/>
    </row>
    <row r="36" spans="1:16" ht="24" customHeight="1" thickBot="1" x14ac:dyDescent="0.3">
      <c r="A36" s="53"/>
      <c r="B36" s="34" t="s">
        <v>92</v>
      </c>
      <c r="C36" s="31">
        <v>1</v>
      </c>
      <c r="D36" s="24">
        <f t="shared" si="1"/>
        <v>0</v>
      </c>
      <c r="E36" s="28"/>
      <c r="F36" s="28"/>
      <c r="G36" s="28"/>
      <c r="H36" s="28"/>
      <c r="I36" s="28"/>
      <c r="J36" s="28"/>
      <c r="K36" s="28"/>
      <c r="L36" s="28"/>
      <c r="M36" s="28"/>
      <c r="N36" s="28"/>
      <c r="O36" s="28"/>
      <c r="P36" s="28"/>
    </row>
    <row r="37" spans="1:16" x14ac:dyDescent="0.25">
      <c r="C37" s="35">
        <f>SUM(C3:C36)</f>
        <v>246</v>
      </c>
      <c r="D37" s="36">
        <f>SUM(D3:D36)</f>
        <v>54</v>
      </c>
    </row>
    <row r="38" spans="1:16" x14ac:dyDescent="0.25">
      <c r="C38" s="10"/>
      <c r="D38" s="11">
        <f>D37/C37</f>
        <v>0.21951219512195122</v>
      </c>
    </row>
  </sheetData>
  <sheetProtection algorithmName="SHA-512" hashValue="WvNrOn0YqWtVvCsJxuHz5jLE7KjQhgStF9SM2hxMu1ebCroMcOgIYA641mBI1kt2pTm1IE0rs+nO9lLY3bFjMQ==" saltValue="qcIYKKCgSuz6K/8c4HQyIA==" spinCount="100000" sheet="1" objects="1" scenarios="1" autoFilter="0"/>
  <mergeCells count="2">
    <mergeCell ref="A1:A2"/>
    <mergeCell ref="A9:A36"/>
  </mergeCells>
  <conditionalFormatting sqref="C3:D3 D4:D8">
    <cfRule type="dataBar" priority="48">
      <dataBar>
        <cfvo type="min"/>
        <cfvo type="max"/>
        <color rgb="FF008AEF"/>
      </dataBar>
      <extLst>
        <ext xmlns:x14="http://schemas.microsoft.com/office/spreadsheetml/2009/9/main" uri="{B025F937-C7B1-47D3-B67F-A62EFF666E3E}">
          <x14:id>{5BC4FBD8-5ACA-43D8-B712-1FA82C508A10}</x14:id>
        </ext>
      </extLst>
    </cfRule>
  </conditionalFormatting>
  <conditionalFormatting sqref="C4:D4">
    <cfRule type="dataBar" priority="4">
      <dataBar>
        <cfvo type="min"/>
        <cfvo type="max"/>
        <color rgb="FF008AEF"/>
      </dataBar>
      <extLst>
        <ext xmlns:x14="http://schemas.microsoft.com/office/spreadsheetml/2009/9/main" uri="{B025F937-C7B1-47D3-B67F-A62EFF666E3E}">
          <x14:id>{BBFE62AE-32F7-4E68-A761-30674EA291C7}</x14:id>
        </ext>
      </extLst>
    </cfRule>
  </conditionalFormatting>
  <conditionalFormatting sqref="C5:D5">
    <cfRule type="dataBar" priority="5">
      <dataBar>
        <cfvo type="min"/>
        <cfvo type="max"/>
        <color rgb="FF008AEF"/>
      </dataBar>
      <extLst>
        <ext xmlns:x14="http://schemas.microsoft.com/office/spreadsheetml/2009/9/main" uri="{B025F937-C7B1-47D3-B67F-A62EFF666E3E}">
          <x14:id>{5F2F86DE-4034-43B9-AC74-F7897DFDA73D}</x14:id>
        </ext>
      </extLst>
    </cfRule>
  </conditionalFormatting>
  <conditionalFormatting sqref="C6:D6">
    <cfRule type="dataBar" priority="6">
      <dataBar>
        <cfvo type="min"/>
        <cfvo type="max"/>
        <color rgb="FF008AEF"/>
      </dataBar>
      <extLst>
        <ext xmlns:x14="http://schemas.microsoft.com/office/spreadsheetml/2009/9/main" uri="{B025F937-C7B1-47D3-B67F-A62EFF666E3E}">
          <x14:id>{C3AC4B1A-367D-4AD4-879D-2CF6CDF6F013}</x14:id>
        </ext>
      </extLst>
    </cfRule>
  </conditionalFormatting>
  <conditionalFormatting sqref="C7:D7">
    <cfRule type="dataBar" priority="7">
      <dataBar>
        <cfvo type="min"/>
        <cfvo type="max"/>
        <color rgb="FF008AEF"/>
      </dataBar>
      <extLst>
        <ext xmlns:x14="http://schemas.microsoft.com/office/spreadsheetml/2009/9/main" uri="{B025F937-C7B1-47D3-B67F-A62EFF666E3E}">
          <x14:id>{6124107F-ADF3-4D71-A892-CA22022EAAB7}</x14:id>
        </ext>
      </extLst>
    </cfRule>
  </conditionalFormatting>
  <conditionalFormatting sqref="C8:D8">
    <cfRule type="dataBar" priority="8">
      <dataBar>
        <cfvo type="min"/>
        <cfvo type="max"/>
        <color rgb="FF008AEF"/>
      </dataBar>
      <extLst>
        <ext xmlns:x14="http://schemas.microsoft.com/office/spreadsheetml/2009/9/main" uri="{B025F937-C7B1-47D3-B67F-A62EFF666E3E}">
          <x14:id>{B604A31B-9BDB-42BE-87CA-E92DCF6D8DED}</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{51D2836E-2BA4-42B9-B2AE-951262F3B37D}</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{7894564D-0955-4F7C-B476-1ED9C66D2147}</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{C08741D9-828E-43D6-AA30-364F3C2E768C}</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{7B8EED8B-2CCA-4865-ACB5-AC586214E704}</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{E441FD93-80B4-4DD9-B349-15BB86BA42B5}</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{0EA8E2B9-F664-471A-8442-9483F3603E55}</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{F0E04824-B408-43E8-958E-AE8D6D5D8DC8}</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{9EE206E8-761D-4DC0-9750-4E239B222DE9}</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{62D58BAA-3E73-4809-BACA-DEF3D561EC20}</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{BB1422C4-C114-42D0-AE1D-D3BAC10F8013}</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{172DC092-E77A-4830-B970-D66E65E8436B}</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{E622CAE4-C6C8-4F53-9183-8D1C8031D722}</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{3F6D868B-8AD3-43D0-9575-EDC0361ED9DF}</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{8CF9F975-DF8D-4BC9-AA06-0FCCC59EEB87}</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{3C2CCB93-C266-49C1-A6BE-526C687EE67A}</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{A061F6C1-B606-4649-BAB8-30B1A6C2E1C3}</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{36D5C395-8CBC-44E7-B91F-4BEA59DA9914}</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{65196E4D-B0ED-4344-A573-064F7185F3CB}</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{1424C6B0-FFF7-4D78-B6FF-1341A01B5B35}</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{F5EDD35E-0795-47B3-B348-D89870FB7FCB}</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{DC6D88D7-4097-433D-9CF6-0D900C47408B}</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{B9874701-1181-4E80-8810-0C4A2DFDE917}</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{B6982E07-1A09-40DE-97AB-139E16A12FF6}</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{886A7346-973C-4C1D-88B2-B7470CBA2602}</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{AA7E97F9-D4BB-45A6-9B60-4439985A98D2}</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{7CE01711-5BC2-4759-B96E-8DB6A0977A17}</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{E5A084E8-24DB-4D8F-9BCA-E650A49999AF}</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{300060D2-35AC-4B7A-B482-0BD927F5AEED}</x14:id>
        </ext>
      </extLst>
    </cfRule>
  </conditionalFormatting>
  <conditionalFormatting sqref="E3:P36">
    <cfRule type="cellIs" dxfId="5"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BC4FBD8-5ACA-43D8-B712-1FA82C508A10}">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BBFE62AE-32F7-4E68-A761-30674EA291C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5F2F86DE-4034-43B9-AC74-F7897DFDA73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C3AC4B1A-367D-4AD4-879D-2CF6CDF6F01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6124107F-ADF3-4D71-A892-CA22022EAAB7}">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604A31B-9BDB-42BE-87CA-E92DCF6D8DE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1D2836E-2BA4-42B9-B2AE-951262F3B37D}">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7894564D-0955-4F7C-B476-1ED9C66D2147}">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08741D9-828E-43D6-AA30-364F3C2E768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B8EED8B-2CCA-4865-ACB5-AC586214E704}">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E441FD93-80B4-4DD9-B349-15BB86BA42B5}">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0EA8E2B9-F664-471A-8442-9483F3603E55}">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0E04824-B408-43E8-958E-AE8D6D5D8DC8}">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9EE206E8-761D-4DC0-9750-4E239B222DE9}">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62D58BAA-3E73-4809-BACA-DEF3D561EC2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BB1422C4-C114-42D0-AE1D-D3BAC10F801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72DC092-E77A-4830-B970-D66E65E8436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622CAE4-C6C8-4F53-9183-8D1C8031D72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F6D868B-8AD3-43D0-9575-EDC0361ED9D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CF9F975-DF8D-4BC9-AA06-0FCCC59EEB87}">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3C2CCB93-C266-49C1-A6BE-526C687EE67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A061F6C1-B606-4649-BAB8-30B1A6C2E1C3}">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36D5C395-8CBC-44E7-B91F-4BEA59DA991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65196E4D-B0ED-4344-A573-064F7185F3CB}">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424C6B0-FFF7-4D78-B6FF-1341A01B5B3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F5EDD35E-0795-47B3-B348-D89870FB7FCB}">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DC6D88D7-4097-433D-9CF6-0D900C47408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B9874701-1181-4E80-8810-0C4A2DFDE91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B6982E07-1A09-40DE-97AB-139E16A12FF6}">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886A7346-973C-4C1D-88B2-B7470CBA2602}">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AA7E97F9-D4BB-45A6-9B60-4439985A98D2}">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7CE01711-5BC2-4759-B96E-8DB6A0977A17}">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E5A084E8-24DB-4D8F-9BCA-E650A49999AF}">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300060D2-35AC-4B7A-B482-0BD927F5AEED}">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P38"/>
  <sheetViews>
    <sheetView topLeftCell="B1" zoomScale="70" zoomScaleNormal="70" workbookViewId="0">
      <selection activeCell="J17" sqref="J17"/>
    </sheetView>
  </sheetViews>
  <sheetFormatPr baseColWidth="10" defaultColWidth="11.42578125" defaultRowHeight="15" x14ac:dyDescent="0.25"/>
  <cols>
    <col min="1" max="1" width="9.42578125" style="2" customWidth="1"/>
    <col min="2" max="2" width="67.42578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37</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 t="shared" ref="D3:D8" si="0">SUM(E3:P3)</f>
        <v>1</v>
      </c>
      <c r="E3" s="28"/>
      <c r="F3" s="28"/>
      <c r="G3" s="28"/>
      <c r="H3" s="28">
        <v>1</v>
      </c>
      <c r="I3" s="28"/>
      <c r="J3" s="28"/>
      <c r="K3" s="28"/>
      <c r="L3" s="28"/>
      <c r="M3" s="28"/>
      <c r="N3" s="28"/>
      <c r="O3" s="28"/>
      <c r="P3" s="28"/>
    </row>
    <row r="4" spans="1:16" ht="81" customHeight="1" x14ac:dyDescent="0.25">
      <c r="A4" s="38" t="s">
        <v>20</v>
      </c>
      <c r="B4" s="7" t="s">
        <v>19</v>
      </c>
      <c r="C4" s="29">
        <v>2</v>
      </c>
      <c r="D4" s="24">
        <f t="shared" si="0"/>
        <v>0</v>
      </c>
      <c r="E4" s="28">
        <v>0</v>
      </c>
      <c r="F4" s="28">
        <v>0</v>
      </c>
      <c r="G4" s="28">
        <v>0</v>
      </c>
      <c r="H4" s="28">
        <v>0</v>
      </c>
      <c r="I4" s="28"/>
      <c r="J4" s="28"/>
      <c r="K4" s="28"/>
      <c r="L4" s="28"/>
      <c r="M4" s="28"/>
      <c r="N4" s="28"/>
      <c r="O4" s="28"/>
      <c r="P4" s="28"/>
    </row>
    <row r="5" spans="1:16" ht="81" customHeight="1" x14ac:dyDescent="0.25">
      <c r="A5" s="39" t="s">
        <v>22</v>
      </c>
      <c r="B5" s="8" t="s">
        <v>38</v>
      </c>
      <c r="C5" s="30">
        <v>1</v>
      </c>
      <c r="D5" s="24">
        <f t="shared" si="0"/>
        <v>0</v>
      </c>
      <c r="E5" s="28">
        <v>0</v>
      </c>
      <c r="F5" s="28">
        <v>0</v>
      </c>
      <c r="G5" s="28">
        <v>0</v>
      </c>
      <c r="H5" s="28">
        <v>0</v>
      </c>
      <c r="I5" s="28"/>
      <c r="J5" s="28"/>
      <c r="K5" s="28"/>
      <c r="L5" s="28"/>
      <c r="M5" s="28"/>
      <c r="N5" s="28"/>
      <c r="O5" s="28"/>
      <c r="P5" s="28"/>
    </row>
    <row r="6" spans="1:16" ht="81" customHeight="1" x14ac:dyDescent="0.25">
      <c r="A6" s="37" t="s">
        <v>18</v>
      </c>
      <c r="B6" s="5" t="s">
        <v>29</v>
      </c>
      <c r="C6" s="31">
        <v>2</v>
      </c>
      <c r="D6" s="24">
        <f t="shared" si="0"/>
        <v>0</v>
      </c>
      <c r="E6" s="28"/>
      <c r="F6" s="28"/>
      <c r="G6" s="28"/>
      <c r="H6" s="28"/>
      <c r="I6" s="28"/>
      <c r="J6" s="28"/>
      <c r="K6" s="28"/>
      <c r="L6" s="28"/>
      <c r="M6" s="28"/>
      <c r="N6" s="28"/>
      <c r="O6" s="28"/>
      <c r="P6" s="28"/>
    </row>
    <row r="7" spans="1:16" ht="81" customHeight="1" x14ac:dyDescent="0.25">
      <c r="A7" s="37" t="s">
        <v>18</v>
      </c>
      <c r="B7" s="5" t="s">
        <v>30</v>
      </c>
      <c r="C7" s="31">
        <v>2</v>
      </c>
      <c r="D7" s="24">
        <f t="shared" si="0"/>
        <v>0</v>
      </c>
      <c r="E7" s="28"/>
      <c r="F7" s="28"/>
      <c r="G7" s="28"/>
      <c r="H7" s="28"/>
      <c r="I7" s="28"/>
      <c r="J7" s="28"/>
      <c r="K7" s="28"/>
      <c r="L7" s="28"/>
      <c r="M7" s="28"/>
      <c r="N7" s="28"/>
      <c r="O7" s="28"/>
      <c r="P7" s="28"/>
    </row>
    <row r="8" spans="1:16" ht="81" customHeight="1" x14ac:dyDescent="0.25">
      <c r="A8" s="37" t="s">
        <v>18</v>
      </c>
      <c r="B8" s="5" t="s">
        <v>31</v>
      </c>
      <c r="C8" s="31">
        <v>1</v>
      </c>
      <c r="D8" s="24">
        <f t="shared" si="0"/>
        <v>0</v>
      </c>
      <c r="E8" s="28"/>
      <c r="F8" s="28"/>
      <c r="G8" s="28"/>
      <c r="H8" s="28"/>
      <c r="I8" s="28"/>
      <c r="J8" s="28"/>
      <c r="K8" s="28"/>
      <c r="L8" s="28"/>
      <c r="M8" s="28"/>
      <c r="N8" s="28"/>
      <c r="O8" s="28"/>
      <c r="P8" s="28"/>
    </row>
    <row r="9" spans="1:16" ht="28.5" customHeight="1" x14ac:dyDescent="0.25">
      <c r="A9" s="51" t="s">
        <v>64</v>
      </c>
      <c r="B9" s="32" t="s">
        <v>65</v>
      </c>
      <c r="C9" s="31">
        <v>3</v>
      </c>
      <c r="D9" s="24">
        <f t="shared" ref="D9:D36" si="1">SUM(E9:P9)</f>
        <v>0</v>
      </c>
      <c r="E9" s="28"/>
      <c r="F9" s="28"/>
      <c r="G9" s="28"/>
      <c r="H9" s="28"/>
      <c r="I9" s="28"/>
      <c r="J9" s="28"/>
      <c r="K9" s="28"/>
      <c r="L9" s="28"/>
      <c r="M9" s="28"/>
      <c r="N9" s="28"/>
      <c r="O9" s="28"/>
      <c r="P9" s="28"/>
    </row>
    <row r="10" spans="1:16" ht="28.5" customHeight="1" x14ac:dyDescent="0.25">
      <c r="A10" s="52"/>
      <c r="B10" s="32" t="s">
        <v>66</v>
      </c>
      <c r="C10" s="31">
        <v>3</v>
      </c>
      <c r="D10" s="24">
        <f t="shared" si="1"/>
        <v>0</v>
      </c>
      <c r="E10" s="28"/>
      <c r="F10" s="28"/>
      <c r="G10" s="28"/>
      <c r="H10" s="28"/>
      <c r="I10" s="28"/>
      <c r="J10" s="28"/>
      <c r="K10" s="28"/>
      <c r="L10" s="28"/>
      <c r="M10" s="28"/>
      <c r="N10" s="28"/>
      <c r="O10" s="28"/>
      <c r="P10" s="28"/>
    </row>
    <row r="11" spans="1:16" ht="28.5" customHeight="1" x14ac:dyDescent="0.25">
      <c r="A11" s="52"/>
      <c r="B11" s="32" t="s">
        <v>67</v>
      </c>
      <c r="C11" s="31">
        <v>41</v>
      </c>
      <c r="D11" s="24">
        <f t="shared" si="1"/>
        <v>19</v>
      </c>
      <c r="E11" s="28"/>
      <c r="F11" s="28">
        <v>5</v>
      </c>
      <c r="G11" s="28">
        <v>5</v>
      </c>
      <c r="H11" s="28">
        <v>5</v>
      </c>
      <c r="I11" s="28">
        <v>4</v>
      </c>
      <c r="J11" s="28"/>
      <c r="K11" s="28"/>
      <c r="L11" s="28"/>
      <c r="M11" s="28"/>
      <c r="N11" s="28"/>
      <c r="O11" s="28"/>
      <c r="P11" s="28"/>
    </row>
    <row r="12" spans="1:16" ht="28.5" customHeight="1" x14ac:dyDescent="0.25">
      <c r="A12" s="52"/>
      <c r="B12" s="32" t="s">
        <v>68</v>
      </c>
      <c r="C12" s="31">
        <v>97</v>
      </c>
      <c r="D12" s="24">
        <f t="shared" si="1"/>
        <v>50</v>
      </c>
      <c r="E12" s="28"/>
      <c r="F12" s="28"/>
      <c r="G12" s="28">
        <v>26</v>
      </c>
      <c r="H12" s="28">
        <v>24</v>
      </c>
      <c r="I12" s="28"/>
      <c r="J12" s="28"/>
      <c r="K12" s="28"/>
      <c r="L12" s="28"/>
      <c r="M12" s="28"/>
      <c r="N12" s="28"/>
      <c r="O12" s="28"/>
      <c r="P12" s="28"/>
    </row>
    <row r="13" spans="1:16" ht="28.5" customHeight="1" x14ac:dyDescent="0.25">
      <c r="A13" s="52"/>
      <c r="B13" s="32" t="s">
        <v>69</v>
      </c>
      <c r="C13" s="31">
        <v>0</v>
      </c>
      <c r="D13" s="24">
        <f t="shared" si="1"/>
        <v>0</v>
      </c>
      <c r="E13" s="28"/>
      <c r="F13" s="28"/>
      <c r="G13" s="28"/>
      <c r="H13" s="28"/>
      <c r="I13" s="28"/>
      <c r="J13" s="28"/>
      <c r="K13" s="28"/>
      <c r="L13" s="28"/>
      <c r="M13" s="28"/>
      <c r="N13" s="28"/>
      <c r="O13" s="28"/>
      <c r="P13" s="28"/>
    </row>
    <row r="14" spans="1:16" ht="28.5" customHeight="1" x14ac:dyDescent="0.25">
      <c r="A14" s="52"/>
      <c r="B14" s="32" t="s">
        <v>70</v>
      </c>
      <c r="C14" s="31">
        <v>2</v>
      </c>
      <c r="D14" s="24">
        <f t="shared" si="1"/>
        <v>0</v>
      </c>
      <c r="E14" s="28"/>
      <c r="F14" s="28"/>
      <c r="G14" s="28"/>
      <c r="H14" s="28"/>
      <c r="I14" s="28"/>
      <c r="J14" s="28"/>
      <c r="K14" s="28"/>
      <c r="L14" s="28"/>
      <c r="M14" s="28"/>
      <c r="N14" s="28"/>
      <c r="O14" s="28"/>
      <c r="P14" s="28"/>
    </row>
    <row r="15" spans="1:16" ht="28.5" customHeight="1" x14ac:dyDescent="0.25">
      <c r="A15" s="52"/>
      <c r="B15" s="32" t="s">
        <v>71</v>
      </c>
      <c r="C15" s="31">
        <v>0</v>
      </c>
      <c r="D15" s="24">
        <f t="shared" si="1"/>
        <v>0</v>
      </c>
      <c r="E15" s="28"/>
      <c r="F15" s="28"/>
      <c r="G15" s="28"/>
      <c r="H15" s="28"/>
      <c r="I15" s="28"/>
      <c r="J15" s="28"/>
      <c r="K15" s="28"/>
      <c r="L15" s="28"/>
      <c r="M15" s="28"/>
      <c r="N15" s="28"/>
      <c r="O15" s="28"/>
      <c r="P15" s="28"/>
    </row>
    <row r="16" spans="1:16" ht="28.5" customHeight="1" x14ac:dyDescent="0.25">
      <c r="A16" s="52"/>
      <c r="B16" s="32" t="s">
        <v>72</v>
      </c>
      <c r="C16" s="31">
        <v>0</v>
      </c>
      <c r="D16" s="24">
        <f t="shared" si="1"/>
        <v>0</v>
      </c>
      <c r="E16" s="28"/>
      <c r="F16" s="28"/>
      <c r="G16" s="28"/>
      <c r="H16" s="28"/>
      <c r="I16" s="28"/>
      <c r="J16" s="28"/>
      <c r="K16" s="28"/>
      <c r="L16" s="28"/>
      <c r="M16" s="28"/>
      <c r="N16" s="28"/>
      <c r="O16" s="28"/>
      <c r="P16" s="28"/>
    </row>
    <row r="17" spans="1:16" ht="28.5" customHeight="1" x14ac:dyDescent="0.25">
      <c r="A17" s="52"/>
      <c r="B17" s="32" t="s">
        <v>73</v>
      </c>
      <c r="C17" s="31">
        <v>0</v>
      </c>
      <c r="D17" s="24">
        <f t="shared" si="1"/>
        <v>0</v>
      </c>
      <c r="E17" s="28"/>
      <c r="F17" s="28"/>
      <c r="G17" s="28"/>
      <c r="H17" s="28"/>
      <c r="I17" s="28"/>
      <c r="J17" s="28"/>
      <c r="K17" s="28"/>
      <c r="L17" s="28"/>
      <c r="M17" s="28"/>
      <c r="N17" s="28"/>
      <c r="O17" s="28"/>
      <c r="P17" s="28"/>
    </row>
    <row r="18" spans="1:16" ht="28.5" customHeight="1" x14ac:dyDescent="0.25">
      <c r="A18" s="52"/>
      <c r="B18" s="32" t="s">
        <v>74</v>
      </c>
      <c r="C18" s="31">
        <v>0</v>
      </c>
      <c r="D18" s="24">
        <f t="shared" si="1"/>
        <v>0</v>
      </c>
      <c r="E18" s="28"/>
      <c r="F18" s="28"/>
      <c r="G18" s="28"/>
      <c r="H18" s="28"/>
      <c r="I18" s="28"/>
      <c r="J18" s="28"/>
      <c r="K18" s="28"/>
      <c r="L18" s="28"/>
      <c r="M18" s="28"/>
      <c r="N18" s="28"/>
      <c r="O18" s="28"/>
      <c r="P18" s="28"/>
    </row>
    <row r="19" spans="1:16" ht="28.5" customHeight="1" x14ac:dyDescent="0.25">
      <c r="A19" s="52"/>
      <c r="B19" s="32" t="s">
        <v>75</v>
      </c>
      <c r="C19" s="31">
        <v>0</v>
      </c>
      <c r="D19" s="24">
        <f t="shared" si="1"/>
        <v>0</v>
      </c>
      <c r="E19" s="28"/>
      <c r="F19" s="28"/>
      <c r="G19" s="28"/>
      <c r="H19" s="28"/>
      <c r="I19" s="28"/>
      <c r="J19" s="28"/>
      <c r="K19" s="28"/>
      <c r="L19" s="28"/>
      <c r="M19" s="28"/>
      <c r="N19" s="28"/>
      <c r="O19" s="28"/>
      <c r="P19" s="28"/>
    </row>
    <row r="20" spans="1:16" ht="28.5" customHeight="1" x14ac:dyDescent="0.25">
      <c r="A20" s="52"/>
      <c r="B20" s="32" t="s">
        <v>76</v>
      </c>
      <c r="C20" s="31">
        <v>0</v>
      </c>
      <c r="D20" s="24">
        <f t="shared" si="1"/>
        <v>0</v>
      </c>
      <c r="E20" s="28"/>
      <c r="F20" s="28"/>
      <c r="G20" s="28"/>
      <c r="H20" s="28"/>
      <c r="I20" s="28"/>
      <c r="J20" s="28"/>
      <c r="K20" s="28"/>
      <c r="L20" s="28"/>
      <c r="M20" s="28"/>
      <c r="N20" s="28"/>
      <c r="O20" s="28"/>
      <c r="P20" s="28"/>
    </row>
    <row r="21" spans="1:16" ht="28.5" customHeight="1" x14ac:dyDescent="0.25">
      <c r="A21" s="52"/>
      <c r="B21" s="32" t="s">
        <v>77</v>
      </c>
      <c r="C21" s="31">
        <v>0</v>
      </c>
      <c r="D21" s="24">
        <f t="shared" si="1"/>
        <v>0</v>
      </c>
      <c r="E21" s="28"/>
      <c r="F21" s="28"/>
      <c r="G21" s="28"/>
      <c r="H21" s="28"/>
      <c r="I21" s="28"/>
      <c r="J21" s="28"/>
      <c r="K21" s="28"/>
      <c r="L21" s="28"/>
      <c r="M21" s="28"/>
      <c r="N21" s="28"/>
      <c r="O21" s="28"/>
      <c r="P21" s="28"/>
    </row>
    <row r="22" spans="1:16" ht="28.5" customHeight="1" x14ac:dyDescent="0.25">
      <c r="A22" s="52"/>
      <c r="B22" s="32" t="s">
        <v>78</v>
      </c>
      <c r="C22" s="31">
        <v>0</v>
      </c>
      <c r="D22" s="24">
        <f t="shared" si="1"/>
        <v>0</v>
      </c>
      <c r="E22" s="28"/>
      <c r="F22" s="28"/>
      <c r="G22" s="28"/>
      <c r="H22" s="28"/>
      <c r="I22" s="28"/>
      <c r="J22" s="28"/>
      <c r="K22" s="28"/>
      <c r="L22" s="28"/>
      <c r="M22" s="28"/>
      <c r="N22" s="28"/>
      <c r="O22" s="28"/>
      <c r="P22" s="28"/>
    </row>
    <row r="23" spans="1:16" ht="28.5" customHeight="1" x14ac:dyDescent="0.25">
      <c r="A23" s="52"/>
      <c r="B23" s="32" t="s">
        <v>79</v>
      </c>
      <c r="C23" s="31">
        <v>56</v>
      </c>
      <c r="D23" s="24">
        <f t="shared" si="1"/>
        <v>19</v>
      </c>
      <c r="E23" s="28"/>
      <c r="F23" s="28">
        <v>5</v>
      </c>
      <c r="G23" s="28"/>
      <c r="H23" s="28">
        <v>14</v>
      </c>
      <c r="I23" s="28"/>
      <c r="J23" s="28"/>
      <c r="K23" s="28"/>
      <c r="L23" s="28"/>
      <c r="M23" s="28"/>
      <c r="N23" s="28"/>
      <c r="O23" s="28"/>
      <c r="P23" s="28"/>
    </row>
    <row r="24" spans="1:16" ht="28.5" customHeight="1" x14ac:dyDescent="0.25">
      <c r="A24" s="52"/>
      <c r="B24" s="32" t="s">
        <v>80</v>
      </c>
      <c r="C24" s="31">
        <v>0</v>
      </c>
      <c r="D24" s="24">
        <f t="shared" si="1"/>
        <v>0</v>
      </c>
      <c r="E24" s="28"/>
      <c r="F24" s="28"/>
      <c r="G24" s="28"/>
      <c r="H24" s="28"/>
      <c r="I24" s="28"/>
      <c r="J24" s="28"/>
      <c r="K24" s="28"/>
      <c r="L24" s="28"/>
      <c r="M24" s="28"/>
      <c r="N24" s="28"/>
      <c r="O24" s="28"/>
      <c r="P24" s="28"/>
    </row>
    <row r="25" spans="1:16" ht="24" customHeight="1" x14ac:dyDescent="0.25">
      <c r="A25" s="52"/>
      <c r="B25" s="33" t="s">
        <v>81</v>
      </c>
      <c r="C25" s="31">
        <v>7</v>
      </c>
      <c r="D25" s="24">
        <f t="shared" si="1"/>
        <v>7</v>
      </c>
      <c r="E25" s="28"/>
      <c r="F25" s="28">
        <v>2</v>
      </c>
      <c r="G25" s="28">
        <v>5</v>
      </c>
      <c r="H25" s="28"/>
      <c r="I25" s="28"/>
      <c r="J25" s="28"/>
      <c r="K25" s="28"/>
      <c r="L25" s="28"/>
      <c r="M25" s="28"/>
      <c r="N25" s="28"/>
      <c r="O25" s="28"/>
      <c r="P25" s="28"/>
    </row>
    <row r="26" spans="1:16" ht="24" customHeight="1" x14ac:dyDescent="0.25">
      <c r="A26" s="52"/>
      <c r="B26" s="33" t="s">
        <v>82</v>
      </c>
      <c r="C26" s="31">
        <v>7</v>
      </c>
      <c r="D26" s="24">
        <f t="shared" si="1"/>
        <v>0</v>
      </c>
      <c r="E26" s="28"/>
      <c r="F26" s="28"/>
      <c r="G26" s="28"/>
      <c r="H26" s="28"/>
      <c r="I26" s="28"/>
      <c r="J26" s="28"/>
      <c r="K26" s="28"/>
      <c r="L26" s="28"/>
      <c r="M26" s="28"/>
      <c r="N26" s="28"/>
      <c r="O26" s="28"/>
      <c r="P26" s="28"/>
    </row>
    <row r="27" spans="1:16" ht="24" customHeight="1" x14ac:dyDescent="0.25">
      <c r="A27" s="52"/>
      <c r="B27" s="33" t="s">
        <v>83</v>
      </c>
      <c r="C27" s="31">
        <v>7</v>
      </c>
      <c r="D27" s="24">
        <f t="shared" si="1"/>
        <v>7</v>
      </c>
      <c r="E27" s="28"/>
      <c r="F27" s="28"/>
      <c r="G27" s="28"/>
      <c r="H27" s="28"/>
      <c r="I27" s="28">
        <v>7</v>
      </c>
      <c r="J27" s="28"/>
      <c r="K27" s="28"/>
      <c r="L27" s="28"/>
      <c r="M27" s="28"/>
      <c r="N27" s="28"/>
      <c r="O27" s="28"/>
      <c r="P27" s="28"/>
    </row>
    <row r="28" spans="1:16" ht="24" customHeight="1" x14ac:dyDescent="0.25">
      <c r="A28" s="52"/>
      <c r="B28" s="33" t="s">
        <v>84</v>
      </c>
      <c r="C28" s="31">
        <v>7</v>
      </c>
      <c r="D28" s="24">
        <f t="shared" si="1"/>
        <v>0</v>
      </c>
      <c r="E28" s="28"/>
      <c r="F28" s="28"/>
      <c r="G28" s="28"/>
      <c r="H28" s="28"/>
      <c r="I28" s="28"/>
      <c r="J28" s="28"/>
      <c r="K28" s="28"/>
      <c r="L28" s="28"/>
      <c r="M28" s="28"/>
      <c r="N28" s="28"/>
      <c r="O28" s="28"/>
      <c r="P28" s="28"/>
    </row>
    <row r="29" spans="1:16" ht="24" customHeight="1" x14ac:dyDescent="0.25">
      <c r="A29" s="52"/>
      <c r="B29" s="33" t="s">
        <v>85</v>
      </c>
      <c r="C29" s="31">
        <v>7</v>
      </c>
      <c r="D29" s="24">
        <f t="shared" si="1"/>
        <v>0</v>
      </c>
      <c r="E29" s="28"/>
      <c r="F29" s="28"/>
      <c r="G29" s="28"/>
      <c r="H29" s="28"/>
      <c r="I29" s="28"/>
      <c r="J29" s="28"/>
      <c r="K29" s="28"/>
      <c r="L29" s="28"/>
      <c r="M29" s="28"/>
      <c r="N29" s="28"/>
      <c r="O29" s="28"/>
      <c r="P29" s="28"/>
    </row>
    <row r="30" spans="1:16" ht="24" customHeight="1" x14ac:dyDescent="0.25">
      <c r="A30" s="52"/>
      <c r="B30" s="33" t="s">
        <v>86</v>
      </c>
      <c r="C30" s="31">
        <v>1</v>
      </c>
      <c r="D30" s="24">
        <f t="shared" si="1"/>
        <v>0</v>
      </c>
      <c r="E30" s="28"/>
      <c r="F30" s="28"/>
      <c r="G30" s="28"/>
      <c r="H30" s="28"/>
      <c r="I30" s="28"/>
      <c r="J30" s="28"/>
      <c r="K30" s="28"/>
      <c r="L30" s="28"/>
      <c r="M30" s="28"/>
      <c r="N30" s="28"/>
      <c r="O30" s="28"/>
      <c r="P30" s="28"/>
    </row>
    <row r="31" spans="1:16" ht="24" customHeight="1" x14ac:dyDescent="0.25">
      <c r="A31" s="52"/>
      <c r="B31" s="33" t="s">
        <v>87</v>
      </c>
      <c r="C31" s="31">
        <v>1</v>
      </c>
      <c r="D31" s="24">
        <f t="shared" si="1"/>
        <v>0</v>
      </c>
      <c r="E31" s="28"/>
      <c r="F31" s="28"/>
      <c r="G31" s="28"/>
      <c r="H31" s="28"/>
      <c r="I31" s="28"/>
      <c r="J31" s="28"/>
      <c r="K31" s="28"/>
      <c r="L31" s="28"/>
      <c r="M31" s="28"/>
      <c r="N31" s="28"/>
      <c r="O31" s="28"/>
      <c r="P31" s="28"/>
    </row>
    <row r="32" spans="1:16" ht="24" customHeight="1" x14ac:dyDescent="0.25">
      <c r="A32" s="52"/>
      <c r="B32" s="33" t="s">
        <v>88</v>
      </c>
      <c r="C32" s="31">
        <v>1</v>
      </c>
      <c r="D32" s="24">
        <f t="shared" si="1"/>
        <v>0</v>
      </c>
      <c r="E32" s="28"/>
      <c r="F32" s="28"/>
      <c r="G32" s="28"/>
      <c r="H32" s="28"/>
      <c r="I32" s="28"/>
      <c r="J32" s="28"/>
      <c r="K32" s="28"/>
      <c r="L32" s="28"/>
      <c r="M32" s="28"/>
      <c r="N32" s="28"/>
      <c r="O32" s="28"/>
      <c r="P32" s="28"/>
    </row>
    <row r="33" spans="1:16" ht="24" customHeight="1" x14ac:dyDescent="0.25">
      <c r="A33" s="52"/>
      <c r="B33" s="33" t="s">
        <v>89</v>
      </c>
      <c r="C33" s="31">
        <v>1</v>
      </c>
      <c r="D33" s="24">
        <f t="shared" si="1"/>
        <v>0</v>
      </c>
      <c r="E33" s="28"/>
      <c r="F33" s="28"/>
      <c r="G33" s="28"/>
      <c r="H33" s="28"/>
      <c r="I33" s="28"/>
      <c r="J33" s="28"/>
      <c r="K33" s="28"/>
      <c r="L33" s="28"/>
      <c r="M33" s="28"/>
      <c r="N33" s="28"/>
      <c r="O33" s="28"/>
      <c r="P33" s="28"/>
    </row>
    <row r="34" spans="1:16" ht="24" customHeight="1" x14ac:dyDescent="0.25">
      <c r="A34" s="52"/>
      <c r="B34" s="33" t="s">
        <v>90</v>
      </c>
      <c r="C34" s="31">
        <v>1</v>
      </c>
      <c r="D34" s="24">
        <f t="shared" si="1"/>
        <v>0</v>
      </c>
      <c r="E34" s="28"/>
      <c r="F34" s="28"/>
      <c r="G34" s="28"/>
      <c r="H34" s="28"/>
      <c r="I34" s="28"/>
      <c r="J34" s="28"/>
      <c r="K34" s="28"/>
      <c r="L34" s="28"/>
      <c r="M34" s="28"/>
      <c r="N34" s="28"/>
      <c r="O34" s="28"/>
      <c r="P34" s="28"/>
    </row>
    <row r="35" spans="1:16" ht="24" customHeight="1" x14ac:dyDescent="0.25">
      <c r="A35" s="52"/>
      <c r="B35" s="33" t="s">
        <v>91</v>
      </c>
      <c r="C35" s="31">
        <v>1</v>
      </c>
      <c r="D35" s="24">
        <f t="shared" si="1"/>
        <v>0</v>
      </c>
      <c r="E35" s="28"/>
      <c r="F35" s="28"/>
      <c r="G35" s="28"/>
      <c r="H35" s="28"/>
      <c r="I35" s="28"/>
      <c r="J35" s="28"/>
      <c r="K35" s="28"/>
      <c r="L35" s="28"/>
      <c r="M35" s="28"/>
      <c r="N35" s="28"/>
      <c r="O35" s="28"/>
      <c r="P35" s="28"/>
    </row>
    <row r="36" spans="1:16" ht="24" customHeight="1" thickBot="1" x14ac:dyDescent="0.3">
      <c r="A36" s="53"/>
      <c r="B36" s="34" t="s">
        <v>92</v>
      </c>
      <c r="C36" s="31">
        <v>1</v>
      </c>
      <c r="D36" s="24">
        <f t="shared" si="1"/>
        <v>0</v>
      </c>
      <c r="E36" s="28"/>
      <c r="F36" s="28"/>
      <c r="G36" s="28"/>
      <c r="H36" s="28"/>
      <c r="I36" s="28"/>
      <c r="J36" s="28"/>
      <c r="K36" s="28"/>
      <c r="L36" s="28"/>
      <c r="M36" s="28"/>
      <c r="N36" s="28"/>
      <c r="O36" s="28"/>
      <c r="P36" s="28"/>
    </row>
    <row r="37" spans="1:16" x14ac:dyDescent="0.25">
      <c r="C37" s="35">
        <f>SUM(C3:C36)</f>
        <v>254</v>
      </c>
      <c r="D37" s="36">
        <f>SUM(D3:D36)</f>
        <v>103</v>
      </c>
    </row>
    <row r="38" spans="1:16" x14ac:dyDescent="0.25">
      <c r="C38" s="10"/>
      <c r="D38" s="11">
        <f>D37/C37</f>
        <v>0.40551181102362205</v>
      </c>
    </row>
  </sheetData>
  <sheetProtection algorithmName="SHA-512" hashValue="Jdf3yoM/rDWngvut1ryp/phL+cvXzxtOSDJmPIIEf7LCcWfryl/wamvaJLVdWs7z99qLisPcC6b7A2TfChgwxg==" saltValue="4gLr+Fqvp7L2RlPzHHf8yQ==" spinCount="100000" sheet="1" objects="1" scenarios="1" autoFilter="0"/>
  <mergeCells count="2">
    <mergeCell ref="A1:A2"/>
    <mergeCell ref="A9:A36"/>
  </mergeCells>
  <conditionalFormatting sqref="C3:D3 D4:D8">
    <cfRule type="dataBar" priority="49">
      <dataBar>
        <cfvo type="min"/>
        <cfvo type="max"/>
        <color rgb="FF008AEF"/>
      </dataBar>
      <extLst>
        <ext xmlns:x14="http://schemas.microsoft.com/office/spreadsheetml/2009/9/main" uri="{B025F937-C7B1-47D3-B67F-A62EFF666E3E}">
          <x14:id>{7F3D3483-51BC-4461-AF2D-04D579428E1C}</x14:id>
        </ext>
      </extLst>
    </cfRule>
  </conditionalFormatting>
  <conditionalFormatting sqref="C4:D4">
    <cfRule type="dataBar" priority="4">
      <dataBar>
        <cfvo type="min"/>
        <cfvo type="max"/>
        <color rgb="FF008AEF"/>
      </dataBar>
      <extLst>
        <ext xmlns:x14="http://schemas.microsoft.com/office/spreadsheetml/2009/9/main" uri="{B025F937-C7B1-47D3-B67F-A62EFF666E3E}">
          <x14:id>{61E7DDEF-DBA9-40BD-B638-E0A4A2D286EC}</x14:id>
        </ext>
      </extLst>
    </cfRule>
  </conditionalFormatting>
  <conditionalFormatting sqref="C5:D5">
    <cfRule type="dataBar" priority="5">
      <dataBar>
        <cfvo type="min"/>
        <cfvo type="max"/>
        <color rgb="FF008AEF"/>
      </dataBar>
      <extLst>
        <ext xmlns:x14="http://schemas.microsoft.com/office/spreadsheetml/2009/9/main" uri="{B025F937-C7B1-47D3-B67F-A62EFF666E3E}">
          <x14:id>{99EEB8EC-939A-4CD8-90A0-BDD47D187B4D}</x14:id>
        </ext>
      </extLst>
    </cfRule>
  </conditionalFormatting>
  <conditionalFormatting sqref="C6:D6">
    <cfRule type="dataBar" priority="6">
      <dataBar>
        <cfvo type="min"/>
        <cfvo type="max"/>
        <color rgb="FF008AEF"/>
      </dataBar>
      <extLst>
        <ext xmlns:x14="http://schemas.microsoft.com/office/spreadsheetml/2009/9/main" uri="{B025F937-C7B1-47D3-B67F-A62EFF666E3E}">
          <x14:id>{8B2B461B-A99F-4302-B284-62B4401ED362}</x14:id>
        </ext>
      </extLst>
    </cfRule>
  </conditionalFormatting>
  <conditionalFormatting sqref="C7:D7">
    <cfRule type="dataBar" priority="7">
      <dataBar>
        <cfvo type="min"/>
        <cfvo type="max"/>
        <color rgb="FF008AEF"/>
      </dataBar>
      <extLst>
        <ext xmlns:x14="http://schemas.microsoft.com/office/spreadsheetml/2009/9/main" uri="{B025F937-C7B1-47D3-B67F-A62EFF666E3E}">
          <x14:id>{E58ADD98-5A25-43C0-84E7-1AABD0F2A39C}</x14:id>
        </ext>
      </extLst>
    </cfRule>
  </conditionalFormatting>
  <conditionalFormatting sqref="C8:D8">
    <cfRule type="dataBar" priority="8">
      <dataBar>
        <cfvo type="min"/>
        <cfvo type="max"/>
        <color rgb="FF008AEF"/>
      </dataBar>
      <extLst>
        <ext xmlns:x14="http://schemas.microsoft.com/office/spreadsheetml/2009/9/main" uri="{B025F937-C7B1-47D3-B67F-A62EFF666E3E}">
          <x14:id>{B7CF456B-BE5E-4DD0-86BB-E9206CD8B77B}</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{672B75EA-7FA0-4C1B-AC8F-FCB16CEAA3B6}</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{DFD661FE-B2C6-4400-B281-C52516DC6A58}</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{C3825C9D-AE86-4E84-9EE4-EFBBDD88BF44}</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{AA73C832-EA75-49F8-B8F4-9B44B18D5E71}</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{8CD51FC8-DC6D-43FC-8394-64A048DF45E0}</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{F55ABC32-5E8E-471A-A83E-5C57AEBDFF4C}</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{D8ABDA81-4EBB-4107-ACDB-7949A6CFD6BD}</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{4B538739-1FE9-4733-B7AE-8C1783E0EECA}</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{3D0C73E5-5FD5-4636-A612-77FCCCC5F67A}</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{C4DC8E68-8AC6-4709-A717-E6993C7097E9}</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{C810EB4F-C3E8-4C2B-A634-9FFEBEADE615}</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{FB602270-E21E-4B6B-A142-A9C92FB35F3B}</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{9E2AC03F-D5A7-484C-906F-280F3335FB56}</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{A7F0623D-41A4-47B4-B266-389E3DDD69E0}</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{5D95F412-9B97-4EB2-9DBC-6F32BCA20E82}</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{AE970BF8-3AD4-4E8C-806D-681D2857397A}</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{BB5CA739-6D2C-4B52-9253-DC3D97682FCB}</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{D8BEBD8F-A768-4468-92EE-F29B04E57653}</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{12252258-0794-449C-84A2-F66294A3B97D}</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{9EA519D2-5B34-474C-83D9-767B87BB1D57}</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{D8889B4A-5772-418E-A185-1BFBE595A73B}</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{6FB0296F-B681-4C2C-9873-C588E08E636C}</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{BE8A6E72-16F1-40F3-8118-9E1548C0CBDB}</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{F4220876-23F2-4AF5-9FC8-A8D7F01FE86F}</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{10815801-67B6-4782-92F2-18EF9A73295D}</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{58017D54-2696-428F-93EE-0E3ABCC77EE7}</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{FBB170AC-B3F9-4EC2-B4EB-C2AE8E7F3234}</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{96FA2091-2E9E-48EB-949C-64602D1BAD79}</x14:id>
        </ext>
      </extLst>
    </cfRule>
  </conditionalFormatting>
  <conditionalFormatting sqref="E3:P36">
    <cfRule type="cellIs" dxfId="4"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F3D3483-51BC-4461-AF2D-04D579428E1C}">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61E7DDEF-DBA9-40BD-B638-E0A4A2D286EC}">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99EEB8EC-939A-4CD8-90A0-BDD47D187B4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B2B461B-A99F-4302-B284-62B4401ED36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58ADD98-5A25-43C0-84E7-1AABD0F2A39C}">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7CF456B-BE5E-4DD0-86BB-E9206CD8B77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72B75EA-7FA0-4C1B-AC8F-FCB16CEAA3B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FD661FE-B2C6-4400-B281-C52516DC6A58}">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3825C9D-AE86-4E84-9EE4-EFBBDD88BF4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A73C832-EA75-49F8-B8F4-9B44B18D5E7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CD51FC8-DC6D-43FC-8394-64A048DF45E0}">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55ABC32-5E8E-471A-A83E-5C57AEBDFF4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8ABDA81-4EBB-4107-ACDB-7949A6CFD6BD}">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4B538739-1FE9-4733-B7AE-8C1783E0EEC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3D0C73E5-5FD5-4636-A612-77FCCCC5F67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4DC8E68-8AC6-4709-A717-E6993C7097E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C810EB4F-C3E8-4C2B-A634-9FFEBEADE61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FB602270-E21E-4B6B-A142-A9C92FB35F3B}">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E2AC03F-D5A7-484C-906F-280F3335FB5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7F0623D-41A4-47B4-B266-389E3DDD69E0}">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5D95F412-9B97-4EB2-9DBC-6F32BCA20E82}">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AE970BF8-3AD4-4E8C-806D-681D2857397A}">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BB5CA739-6D2C-4B52-9253-DC3D97682FCB}">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D8BEBD8F-A768-4468-92EE-F29B04E5765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2252258-0794-449C-84A2-F66294A3B97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EA519D2-5B34-474C-83D9-767B87BB1D5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D8889B4A-5772-418E-A185-1BFBE595A73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FB0296F-B681-4C2C-9873-C588E08E636C}">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BE8A6E72-16F1-40F3-8118-9E1548C0CBDB}">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F4220876-23F2-4AF5-9FC8-A8D7F01FE86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10815801-67B6-4782-92F2-18EF9A73295D}">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8017D54-2696-428F-93EE-0E3ABCC77EE7}">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BB170AC-B3F9-4EC2-B4EB-C2AE8E7F3234}">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96FA2091-2E9E-48EB-949C-64602D1BAD79}">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P37"/>
  <sheetViews>
    <sheetView zoomScale="60" zoomScaleNormal="60" workbookViewId="0">
      <selection activeCell="Y14" sqref="Y14"/>
    </sheetView>
  </sheetViews>
  <sheetFormatPr baseColWidth="10" defaultColWidth="11.42578125" defaultRowHeight="15" x14ac:dyDescent="0.25"/>
  <cols>
    <col min="1" max="1" width="9.28515625" style="2" customWidth="1"/>
    <col min="2" max="2" width="72.28515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39</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37" t="s">
        <v>18</v>
      </c>
      <c r="B3" s="5" t="s">
        <v>17</v>
      </c>
      <c r="C3" s="27">
        <v>2</v>
      </c>
      <c r="D3" s="24">
        <f>SUM(E3:P3)</f>
        <v>1</v>
      </c>
      <c r="E3" s="28"/>
      <c r="F3" s="28">
        <v>1</v>
      </c>
      <c r="G3" s="28"/>
      <c r="H3" s="28"/>
      <c r="I3" s="28"/>
      <c r="J3" s="28"/>
      <c r="K3" s="28"/>
      <c r="L3" s="28"/>
      <c r="M3" s="28"/>
      <c r="N3" s="28"/>
      <c r="O3" s="28"/>
      <c r="P3" s="28"/>
    </row>
    <row r="4" spans="1:16" ht="81" customHeight="1" x14ac:dyDescent="0.25">
      <c r="A4" s="38" t="s">
        <v>20</v>
      </c>
      <c r="B4" s="7" t="s">
        <v>19</v>
      </c>
      <c r="C4" s="29">
        <v>2</v>
      </c>
      <c r="D4" s="24">
        <f>SUM(E4:P4)</f>
        <v>0</v>
      </c>
      <c r="E4" s="28">
        <v>0</v>
      </c>
      <c r="F4" s="28">
        <v>0</v>
      </c>
      <c r="G4" s="28">
        <v>0</v>
      </c>
      <c r="H4" s="28">
        <v>0</v>
      </c>
      <c r="I4" s="28"/>
      <c r="J4" s="28"/>
      <c r="K4" s="28"/>
      <c r="L4" s="28"/>
      <c r="M4" s="28"/>
      <c r="N4" s="28"/>
      <c r="O4" s="28"/>
      <c r="P4" s="28"/>
    </row>
    <row r="5" spans="1:16" ht="81" customHeight="1" x14ac:dyDescent="0.25">
      <c r="A5" s="39" t="s">
        <v>22</v>
      </c>
      <c r="B5" s="8" t="s">
        <v>21</v>
      </c>
      <c r="C5" s="30">
        <v>2</v>
      </c>
      <c r="D5" s="24">
        <f>SUM(E5:P5)</f>
        <v>1</v>
      </c>
      <c r="E5" s="28">
        <v>0</v>
      </c>
      <c r="F5" s="28">
        <v>0</v>
      </c>
      <c r="G5" s="28">
        <v>0</v>
      </c>
      <c r="H5" s="28">
        <v>1</v>
      </c>
      <c r="I5" s="28"/>
      <c r="J5" s="28"/>
      <c r="K5" s="28"/>
      <c r="L5" s="28"/>
      <c r="M5" s="28"/>
      <c r="N5" s="28"/>
      <c r="O5" s="28"/>
      <c r="P5" s="28"/>
    </row>
    <row r="6" spans="1:16" ht="81" customHeight="1" x14ac:dyDescent="0.25">
      <c r="A6" s="37" t="s">
        <v>18</v>
      </c>
      <c r="B6" s="5" t="s">
        <v>29</v>
      </c>
      <c r="C6" s="31">
        <v>2</v>
      </c>
      <c r="D6" s="24">
        <f>SUM(E6:P6)</f>
        <v>0</v>
      </c>
      <c r="E6" s="28"/>
      <c r="F6" s="28"/>
      <c r="G6" s="28"/>
      <c r="H6" s="28"/>
      <c r="I6" s="28"/>
      <c r="J6" s="28"/>
      <c r="K6" s="28"/>
      <c r="L6" s="28"/>
      <c r="M6" s="28"/>
      <c r="N6" s="28"/>
      <c r="O6" s="28"/>
      <c r="P6" s="28"/>
    </row>
    <row r="7" spans="1:16" ht="81" customHeight="1" x14ac:dyDescent="0.25">
      <c r="A7" s="37" t="s">
        <v>18</v>
      </c>
      <c r="B7" s="5" t="s">
        <v>30</v>
      </c>
      <c r="C7" s="31">
        <v>2</v>
      </c>
      <c r="D7" s="24">
        <f>SUM(E7:P7)</f>
        <v>0</v>
      </c>
      <c r="E7" s="28"/>
      <c r="F7" s="28"/>
      <c r="G7" s="28"/>
      <c r="H7" s="28"/>
      <c r="I7" s="28"/>
      <c r="J7" s="28"/>
      <c r="K7" s="28"/>
      <c r="L7" s="28"/>
      <c r="M7" s="28"/>
      <c r="N7" s="28"/>
      <c r="O7" s="28"/>
      <c r="P7" s="28"/>
    </row>
    <row r="8" spans="1:16" ht="28.5" customHeight="1" x14ac:dyDescent="0.25">
      <c r="A8" s="51" t="s">
        <v>64</v>
      </c>
      <c r="B8" s="32" t="s">
        <v>65</v>
      </c>
      <c r="C8" s="31">
        <v>3</v>
      </c>
      <c r="D8" s="24">
        <f t="shared" ref="D8:D35" si="0">SUM(E8:P8)</f>
        <v>0</v>
      </c>
      <c r="E8" s="28"/>
      <c r="F8" s="28"/>
      <c r="G8" s="28"/>
      <c r="H8" s="28"/>
      <c r="I8" s="28"/>
      <c r="J8" s="28"/>
      <c r="K8" s="28"/>
      <c r="L8" s="28"/>
      <c r="M8" s="28"/>
      <c r="N8" s="28"/>
      <c r="O8" s="28"/>
      <c r="P8" s="28"/>
    </row>
    <row r="9" spans="1:16" ht="28.5" customHeight="1" x14ac:dyDescent="0.25">
      <c r="A9" s="52"/>
      <c r="B9" s="32" t="s">
        <v>66</v>
      </c>
      <c r="C9" s="31">
        <v>3</v>
      </c>
      <c r="D9" s="24">
        <f t="shared" si="0"/>
        <v>0</v>
      </c>
      <c r="E9" s="28"/>
      <c r="F9" s="28"/>
      <c r="G9" s="28"/>
      <c r="H9" s="28"/>
      <c r="I9" s="28"/>
      <c r="J9" s="28"/>
      <c r="K9" s="28"/>
      <c r="L9" s="28"/>
      <c r="M9" s="28"/>
      <c r="N9" s="28"/>
      <c r="O9" s="28"/>
      <c r="P9" s="28"/>
    </row>
    <row r="10" spans="1:16" ht="28.5" customHeight="1" x14ac:dyDescent="0.25">
      <c r="A10" s="52"/>
      <c r="B10" s="32" t="s">
        <v>67</v>
      </c>
      <c r="C10" s="31">
        <v>36</v>
      </c>
      <c r="D10" s="24">
        <f t="shared" si="0"/>
        <v>18</v>
      </c>
      <c r="E10" s="28">
        <v>9</v>
      </c>
      <c r="F10" s="28"/>
      <c r="G10" s="28"/>
      <c r="H10" s="28">
        <v>9</v>
      </c>
      <c r="I10" s="28"/>
      <c r="J10" s="28"/>
      <c r="K10" s="28"/>
      <c r="L10" s="28"/>
      <c r="M10" s="28"/>
      <c r="N10" s="28"/>
      <c r="O10" s="28"/>
      <c r="P10" s="28"/>
    </row>
    <row r="11" spans="1:16" ht="28.5" customHeight="1" x14ac:dyDescent="0.25">
      <c r="A11" s="52"/>
      <c r="B11" s="32" t="s">
        <v>68</v>
      </c>
      <c r="C11" s="31">
        <v>36</v>
      </c>
      <c r="D11" s="24">
        <f t="shared" si="0"/>
        <v>9</v>
      </c>
      <c r="E11" s="28"/>
      <c r="F11" s="28"/>
      <c r="G11" s="28">
        <v>9</v>
      </c>
      <c r="H11" s="28"/>
      <c r="I11" s="28"/>
      <c r="J11" s="28"/>
      <c r="K11" s="28"/>
      <c r="L11" s="28"/>
      <c r="M11" s="28"/>
      <c r="N11" s="28"/>
      <c r="O11" s="28"/>
      <c r="P11" s="28"/>
    </row>
    <row r="12" spans="1:16" ht="28.5" customHeight="1" x14ac:dyDescent="0.25">
      <c r="A12" s="52"/>
      <c r="B12" s="32" t="s">
        <v>69</v>
      </c>
      <c r="C12" s="31">
        <v>0</v>
      </c>
      <c r="D12" s="24">
        <f t="shared" si="0"/>
        <v>0</v>
      </c>
      <c r="E12" s="28"/>
      <c r="F12" s="28"/>
      <c r="G12" s="28"/>
      <c r="H12" s="28"/>
      <c r="I12" s="28"/>
      <c r="J12" s="28"/>
      <c r="K12" s="28"/>
      <c r="L12" s="28"/>
      <c r="M12" s="28"/>
      <c r="N12" s="28"/>
      <c r="O12" s="28"/>
      <c r="P12" s="28"/>
    </row>
    <row r="13" spans="1:16" ht="28.5" customHeight="1" x14ac:dyDescent="0.25">
      <c r="A13" s="52"/>
      <c r="B13" s="32" t="s">
        <v>70</v>
      </c>
      <c r="C13" s="31">
        <v>0</v>
      </c>
      <c r="D13" s="24">
        <f t="shared" si="0"/>
        <v>0</v>
      </c>
      <c r="E13" s="28"/>
      <c r="F13" s="28"/>
      <c r="G13" s="28"/>
      <c r="H13" s="28"/>
      <c r="I13" s="28"/>
      <c r="J13" s="28"/>
      <c r="K13" s="28"/>
      <c r="L13" s="28"/>
      <c r="M13" s="28"/>
      <c r="N13" s="28"/>
      <c r="O13" s="28"/>
      <c r="P13" s="28"/>
    </row>
    <row r="14" spans="1:16" ht="28.5" customHeight="1" x14ac:dyDescent="0.25">
      <c r="A14" s="52"/>
      <c r="B14" s="32" t="s">
        <v>71</v>
      </c>
      <c r="C14" s="31">
        <v>0</v>
      </c>
      <c r="D14" s="24">
        <f t="shared" si="0"/>
        <v>0</v>
      </c>
      <c r="E14" s="28"/>
      <c r="F14" s="28"/>
      <c r="G14" s="28"/>
      <c r="H14" s="28"/>
      <c r="I14" s="28"/>
      <c r="J14" s="28"/>
      <c r="K14" s="28"/>
      <c r="L14" s="28"/>
      <c r="M14" s="28"/>
      <c r="N14" s="28"/>
      <c r="O14" s="28"/>
      <c r="P14" s="28"/>
    </row>
    <row r="15" spans="1:16" ht="28.5" customHeight="1" x14ac:dyDescent="0.25">
      <c r="A15" s="52"/>
      <c r="B15" s="32" t="s">
        <v>72</v>
      </c>
      <c r="C15" s="31">
        <v>0</v>
      </c>
      <c r="D15" s="24">
        <f t="shared" si="0"/>
        <v>0</v>
      </c>
      <c r="E15" s="28"/>
      <c r="F15" s="28"/>
      <c r="G15" s="28"/>
      <c r="H15" s="28"/>
      <c r="I15" s="28"/>
      <c r="J15" s="28"/>
      <c r="K15" s="28"/>
      <c r="L15" s="28"/>
      <c r="M15" s="28"/>
      <c r="N15" s="28"/>
      <c r="O15" s="28"/>
      <c r="P15" s="28"/>
    </row>
    <row r="16" spans="1:16" ht="28.5" customHeight="1" x14ac:dyDescent="0.25">
      <c r="A16" s="52"/>
      <c r="B16" s="32" t="s">
        <v>73</v>
      </c>
      <c r="C16" s="31">
        <v>0</v>
      </c>
      <c r="D16" s="24">
        <f t="shared" si="0"/>
        <v>0</v>
      </c>
      <c r="E16" s="28"/>
      <c r="F16" s="28"/>
      <c r="G16" s="28"/>
      <c r="H16" s="28"/>
      <c r="I16" s="28"/>
      <c r="J16" s="28"/>
      <c r="K16" s="28"/>
      <c r="L16" s="28"/>
      <c r="M16" s="28"/>
      <c r="N16" s="28"/>
      <c r="O16" s="28"/>
      <c r="P16" s="28"/>
    </row>
    <row r="17" spans="1:16" ht="28.5" customHeight="1" x14ac:dyDescent="0.25">
      <c r="A17" s="52"/>
      <c r="B17" s="32" t="s">
        <v>74</v>
      </c>
      <c r="C17" s="31">
        <v>0</v>
      </c>
      <c r="D17" s="24">
        <f t="shared" si="0"/>
        <v>0</v>
      </c>
      <c r="E17" s="28"/>
      <c r="F17" s="28"/>
      <c r="G17" s="28"/>
      <c r="H17" s="28"/>
      <c r="I17" s="28"/>
      <c r="J17" s="28"/>
      <c r="K17" s="28"/>
      <c r="L17" s="28"/>
      <c r="M17" s="28"/>
      <c r="N17" s="28"/>
      <c r="O17" s="28"/>
      <c r="P17" s="28"/>
    </row>
    <row r="18" spans="1:16" ht="28.5" customHeight="1" x14ac:dyDescent="0.25">
      <c r="A18" s="52"/>
      <c r="B18" s="32" t="s">
        <v>75</v>
      </c>
      <c r="C18" s="31">
        <v>0</v>
      </c>
      <c r="D18" s="24">
        <f t="shared" si="0"/>
        <v>0</v>
      </c>
      <c r="E18" s="28"/>
      <c r="F18" s="28"/>
      <c r="G18" s="28"/>
      <c r="H18" s="28"/>
      <c r="I18" s="28"/>
      <c r="J18" s="28"/>
      <c r="K18" s="28"/>
      <c r="L18" s="28"/>
      <c r="M18" s="28"/>
      <c r="N18" s="28"/>
      <c r="O18" s="28"/>
      <c r="P18" s="28"/>
    </row>
    <row r="19" spans="1:16" ht="28.5" customHeight="1" x14ac:dyDescent="0.25">
      <c r="A19" s="52"/>
      <c r="B19" s="32" t="s">
        <v>76</v>
      </c>
      <c r="C19" s="31">
        <v>0</v>
      </c>
      <c r="D19" s="24">
        <f t="shared" si="0"/>
        <v>0</v>
      </c>
      <c r="E19" s="28"/>
      <c r="F19" s="28"/>
      <c r="G19" s="28"/>
      <c r="H19" s="28"/>
      <c r="I19" s="28"/>
      <c r="J19" s="28"/>
      <c r="K19" s="28"/>
      <c r="L19" s="28"/>
      <c r="M19" s="28"/>
      <c r="N19" s="28"/>
      <c r="O19" s="28"/>
      <c r="P19" s="28"/>
    </row>
    <row r="20" spans="1:16" ht="28.5" customHeight="1" x14ac:dyDescent="0.25">
      <c r="A20" s="52"/>
      <c r="B20" s="32" t="s">
        <v>77</v>
      </c>
      <c r="C20" s="31">
        <v>0</v>
      </c>
      <c r="D20" s="24">
        <f t="shared" si="0"/>
        <v>0</v>
      </c>
      <c r="E20" s="28"/>
      <c r="F20" s="28"/>
      <c r="G20" s="28"/>
      <c r="H20" s="28"/>
      <c r="I20" s="28"/>
      <c r="J20" s="28"/>
      <c r="K20" s="28"/>
      <c r="L20" s="28"/>
      <c r="M20" s="28"/>
      <c r="N20" s="28"/>
      <c r="O20" s="28"/>
      <c r="P20" s="28"/>
    </row>
    <row r="21" spans="1:16" ht="28.5" customHeight="1" x14ac:dyDescent="0.25">
      <c r="A21" s="52"/>
      <c r="B21" s="32" t="s">
        <v>78</v>
      </c>
      <c r="C21" s="31">
        <v>0</v>
      </c>
      <c r="D21" s="24">
        <f t="shared" si="0"/>
        <v>0</v>
      </c>
      <c r="E21" s="28"/>
      <c r="F21" s="28"/>
      <c r="G21" s="28"/>
      <c r="H21" s="28"/>
      <c r="I21" s="28"/>
      <c r="J21" s="28"/>
      <c r="K21" s="28"/>
      <c r="L21" s="28"/>
      <c r="M21" s="28"/>
      <c r="N21" s="28"/>
      <c r="O21" s="28"/>
      <c r="P21" s="28"/>
    </row>
    <row r="22" spans="1:16" ht="28.5" customHeight="1" x14ac:dyDescent="0.25">
      <c r="A22" s="52"/>
      <c r="B22" s="32" t="s">
        <v>79</v>
      </c>
      <c r="C22" s="31">
        <v>40</v>
      </c>
      <c r="D22" s="24">
        <f t="shared" si="0"/>
        <v>20</v>
      </c>
      <c r="E22" s="28">
        <v>10</v>
      </c>
      <c r="F22" s="28"/>
      <c r="G22" s="28"/>
      <c r="H22" s="28">
        <v>10</v>
      </c>
      <c r="I22" s="28"/>
      <c r="J22" s="28"/>
      <c r="K22" s="28"/>
      <c r="L22" s="28"/>
      <c r="M22" s="28"/>
      <c r="N22" s="28"/>
      <c r="O22" s="28"/>
      <c r="P22" s="28"/>
    </row>
    <row r="23" spans="1:16" ht="28.5" customHeight="1" x14ac:dyDescent="0.25">
      <c r="A23" s="52"/>
      <c r="B23" s="32" t="s">
        <v>80</v>
      </c>
      <c r="C23" s="31">
        <v>0</v>
      </c>
      <c r="D23" s="24">
        <f t="shared" si="0"/>
        <v>0</v>
      </c>
      <c r="E23" s="28"/>
      <c r="F23" s="28"/>
      <c r="G23" s="28"/>
      <c r="H23" s="28"/>
      <c r="I23" s="28"/>
      <c r="J23" s="28"/>
      <c r="K23" s="28"/>
      <c r="L23" s="28"/>
      <c r="M23" s="28"/>
      <c r="N23" s="28"/>
      <c r="O23" s="28"/>
      <c r="P23" s="28"/>
    </row>
    <row r="24" spans="1:16" ht="24" customHeight="1" x14ac:dyDescent="0.25">
      <c r="A24" s="52"/>
      <c r="B24" s="33" t="s">
        <v>81</v>
      </c>
      <c r="C24" s="31">
        <v>9</v>
      </c>
      <c r="D24" s="24">
        <f t="shared" si="0"/>
        <v>2</v>
      </c>
      <c r="E24" s="28"/>
      <c r="F24" s="28">
        <v>1</v>
      </c>
      <c r="G24" s="28">
        <v>1</v>
      </c>
      <c r="H24" s="28"/>
      <c r="I24" s="28"/>
      <c r="J24" s="28"/>
      <c r="K24" s="28"/>
      <c r="L24" s="28"/>
      <c r="M24" s="28"/>
      <c r="N24" s="28"/>
      <c r="O24" s="28"/>
      <c r="P24" s="28"/>
    </row>
    <row r="25" spans="1:16" ht="24" customHeight="1" x14ac:dyDescent="0.25">
      <c r="A25" s="52"/>
      <c r="B25" s="33" t="s">
        <v>82</v>
      </c>
      <c r="C25" s="31">
        <v>9</v>
      </c>
      <c r="D25" s="24">
        <f t="shared" si="0"/>
        <v>0</v>
      </c>
      <c r="E25" s="28"/>
      <c r="F25" s="28"/>
      <c r="G25" s="28"/>
      <c r="H25" s="28"/>
      <c r="I25" s="28"/>
      <c r="J25" s="28"/>
      <c r="K25" s="28"/>
      <c r="L25" s="28"/>
      <c r="M25" s="28"/>
      <c r="N25" s="28"/>
      <c r="O25" s="28"/>
      <c r="P25" s="28"/>
    </row>
    <row r="26" spans="1:16" ht="24" customHeight="1" x14ac:dyDescent="0.25">
      <c r="A26" s="52"/>
      <c r="B26" s="33" t="s">
        <v>83</v>
      </c>
      <c r="C26" s="31">
        <v>9</v>
      </c>
      <c r="D26" s="24">
        <f t="shared" si="0"/>
        <v>9</v>
      </c>
      <c r="E26" s="28"/>
      <c r="F26" s="28"/>
      <c r="G26" s="28"/>
      <c r="H26" s="28"/>
      <c r="I26" s="28">
        <v>9</v>
      </c>
      <c r="J26" s="28"/>
      <c r="K26" s="28"/>
      <c r="L26" s="28"/>
      <c r="M26" s="28"/>
      <c r="N26" s="28"/>
      <c r="O26" s="28"/>
      <c r="P26" s="28"/>
    </row>
    <row r="27" spans="1:16" ht="24" customHeight="1" x14ac:dyDescent="0.25">
      <c r="A27" s="52"/>
      <c r="B27" s="33" t="s">
        <v>84</v>
      </c>
      <c r="C27" s="31">
        <v>9</v>
      </c>
      <c r="D27" s="24">
        <f t="shared" si="0"/>
        <v>2</v>
      </c>
      <c r="E27" s="28"/>
      <c r="F27" s="28"/>
      <c r="G27" s="28"/>
      <c r="H27" s="28"/>
      <c r="I27" s="28"/>
      <c r="J27" s="28">
        <v>2</v>
      </c>
      <c r="K27" s="28"/>
      <c r="L27" s="28"/>
      <c r="M27" s="28"/>
      <c r="N27" s="28"/>
      <c r="O27" s="28"/>
      <c r="P27" s="28"/>
    </row>
    <row r="28" spans="1:16" ht="24" customHeight="1" x14ac:dyDescent="0.25">
      <c r="A28" s="52"/>
      <c r="B28" s="33" t="s">
        <v>85</v>
      </c>
      <c r="C28" s="31">
        <v>9</v>
      </c>
      <c r="D28" s="24">
        <f t="shared" si="0"/>
        <v>0</v>
      </c>
      <c r="E28" s="28"/>
      <c r="F28" s="28"/>
      <c r="G28" s="28"/>
      <c r="H28" s="28"/>
      <c r="I28" s="28"/>
      <c r="J28" s="28"/>
      <c r="K28" s="28"/>
      <c r="L28" s="28"/>
      <c r="M28" s="28"/>
      <c r="N28" s="28"/>
      <c r="O28" s="28"/>
      <c r="P28" s="28"/>
    </row>
    <row r="29" spans="1:16" ht="24" customHeight="1" x14ac:dyDescent="0.25">
      <c r="A29" s="52"/>
      <c r="B29" s="33" t="s">
        <v>86</v>
      </c>
      <c r="C29" s="31">
        <v>1</v>
      </c>
      <c r="D29" s="24">
        <f t="shared" si="0"/>
        <v>0</v>
      </c>
      <c r="E29" s="28"/>
      <c r="F29" s="28"/>
      <c r="G29" s="28"/>
      <c r="H29" s="28"/>
      <c r="I29" s="28"/>
      <c r="J29" s="28"/>
      <c r="K29" s="28"/>
      <c r="L29" s="28"/>
      <c r="M29" s="28"/>
      <c r="N29" s="28"/>
      <c r="O29" s="28"/>
      <c r="P29" s="28"/>
    </row>
    <row r="30" spans="1:16" ht="24" customHeight="1" x14ac:dyDescent="0.25">
      <c r="A30" s="52"/>
      <c r="B30" s="33" t="s">
        <v>87</v>
      </c>
      <c r="C30" s="31">
        <v>1</v>
      </c>
      <c r="D30" s="24">
        <f t="shared" si="0"/>
        <v>0</v>
      </c>
      <c r="E30" s="28"/>
      <c r="F30" s="28"/>
      <c r="G30" s="28"/>
      <c r="H30" s="28"/>
      <c r="I30" s="28"/>
      <c r="J30" s="28"/>
      <c r="K30" s="28"/>
      <c r="L30" s="28"/>
      <c r="M30" s="28"/>
      <c r="N30" s="28"/>
      <c r="O30" s="28"/>
      <c r="P30" s="28"/>
    </row>
    <row r="31" spans="1:16" ht="24" customHeight="1" x14ac:dyDescent="0.25">
      <c r="A31" s="52"/>
      <c r="B31" s="33" t="s">
        <v>88</v>
      </c>
      <c r="C31" s="31">
        <v>1</v>
      </c>
      <c r="D31" s="24">
        <f t="shared" si="0"/>
        <v>0</v>
      </c>
      <c r="E31" s="28"/>
      <c r="F31" s="28"/>
      <c r="G31" s="28"/>
      <c r="H31" s="28"/>
      <c r="I31" s="28"/>
      <c r="J31" s="28"/>
      <c r="K31" s="28"/>
      <c r="L31" s="28"/>
      <c r="M31" s="28"/>
      <c r="N31" s="28"/>
      <c r="O31" s="28"/>
      <c r="P31" s="28"/>
    </row>
    <row r="32" spans="1:16" ht="24" customHeight="1" x14ac:dyDescent="0.25">
      <c r="A32" s="52"/>
      <c r="B32" s="33" t="s">
        <v>89</v>
      </c>
      <c r="C32" s="31">
        <v>1</v>
      </c>
      <c r="D32" s="24">
        <f t="shared" si="0"/>
        <v>0</v>
      </c>
      <c r="E32" s="28"/>
      <c r="F32" s="28"/>
      <c r="G32" s="28"/>
      <c r="H32" s="28"/>
      <c r="I32" s="28"/>
      <c r="J32" s="28"/>
      <c r="K32" s="28"/>
      <c r="L32" s="28"/>
      <c r="M32" s="28"/>
      <c r="N32" s="28"/>
      <c r="O32" s="28"/>
      <c r="P32" s="28"/>
    </row>
    <row r="33" spans="1:16" ht="24" customHeight="1" x14ac:dyDescent="0.25">
      <c r="A33" s="52"/>
      <c r="B33" s="33" t="s">
        <v>90</v>
      </c>
      <c r="C33" s="31">
        <v>1</v>
      </c>
      <c r="D33" s="24">
        <f t="shared" si="0"/>
        <v>0</v>
      </c>
      <c r="E33" s="28"/>
      <c r="F33" s="28"/>
      <c r="G33" s="28"/>
      <c r="H33" s="28"/>
      <c r="I33" s="28"/>
      <c r="J33" s="28"/>
      <c r="K33" s="28"/>
      <c r="L33" s="28"/>
      <c r="M33" s="28"/>
      <c r="N33" s="28"/>
      <c r="O33" s="28"/>
      <c r="P33" s="28"/>
    </row>
    <row r="34" spans="1:16" ht="24" customHeight="1" x14ac:dyDescent="0.25">
      <c r="A34" s="52"/>
      <c r="B34" s="33" t="s">
        <v>91</v>
      </c>
      <c r="C34" s="31">
        <v>1</v>
      </c>
      <c r="D34" s="24">
        <f t="shared" si="0"/>
        <v>0</v>
      </c>
      <c r="E34" s="28"/>
      <c r="F34" s="28"/>
      <c r="G34" s="28"/>
      <c r="H34" s="28"/>
      <c r="I34" s="28"/>
      <c r="J34" s="28"/>
      <c r="K34" s="28"/>
      <c r="L34" s="28"/>
      <c r="M34" s="28"/>
      <c r="N34" s="28"/>
      <c r="O34" s="28"/>
      <c r="P34" s="28"/>
    </row>
    <row r="35" spans="1:16" ht="24" customHeight="1" thickBot="1" x14ac:dyDescent="0.3">
      <c r="A35" s="53"/>
      <c r="B35" s="34" t="s">
        <v>92</v>
      </c>
      <c r="C35" s="31">
        <v>1</v>
      </c>
      <c r="D35" s="24">
        <f t="shared" si="0"/>
        <v>0</v>
      </c>
      <c r="E35" s="28"/>
      <c r="F35" s="28"/>
      <c r="G35" s="28"/>
      <c r="H35" s="28"/>
      <c r="I35" s="28"/>
      <c r="J35" s="28"/>
      <c r="K35" s="28"/>
      <c r="L35" s="28"/>
      <c r="M35" s="28"/>
      <c r="N35" s="28"/>
      <c r="O35" s="28"/>
      <c r="P35" s="28"/>
    </row>
    <row r="36" spans="1:16" x14ac:dyDescent="0.25">
      <c r="C36" s="35">
        <f>SUM(C3:C35)</f>
        <v>180</v>
      </c>
      <c r="D36" s="36">
        <f>SUM(D3:D35)</f>
        <v>62</v>
      </c>
    </row>
    <row r="37" spans="1:16" x14ac:dyDescent="0.25">
      <c r="C37" s="10"/>
      <c r="D37" s="11">
        <f>D36/C36</f>
        <v>0.34444444444444444</v>
      </c>
    </row>
  </sheetData>
  <sheetProtection algorithmName="SHA-512" hashValue="TiMuDBH/GyB/Yx0GxjlWmc7OuDBNjnKich8tB+ZEtdBMCEpRFHuXPgGkIoy4ZKZK66p0MXphNKmVmq+fn/TOPg==" saltValue="9a9GFdHJWR/ftPE5P2VIRg==" spinCount="100000" sheet="1" objects="1" scenarios="1" autoFilter="0"/>
  <mergeCells count="2">
    <mergeCell ref="A1:A2"/>
    <mergeCell ref="A8:A35"/>
  </mergeCells>
  <conditionalFormatting sqref="C3:D3 D4:D7">
    <cfRule type="dataBar" priority="50">
      <dataBar>
        <cfvo type="min"/>
        <cfvo type="max"/>
        <color rgb="FF008AEF"/>
      </dataBar>
      <extLst>
        <ext xmlns:x14="http://schemas.microsoft.com/office/spreadsheetml/2009/9/main" uri="{B025F937-C7B1-47D3-B67F-A62EFF666E3E}">
          <x14:id>{902AE092-3C7C-4D5D-A7D8-6F69E067CFD8}</x14:id>
        </ext>
      </extLst>
    </cfRule>
  </conditionalFormatting>
  <conditionalFormatting sqref="C4:D4">
    <cfRule type="dataBar" priority="4">
      <dataBar>
        <cfvo type="min"/>
        <cfvo type="max"/>
        <color rgb="FF008AEF"/>
      </dataBar>
      <extLst>
        <ext xmlns:x14="http://schemas.microsoft.com/office/spreadsheetml/2009/9/main" uri="{B025F937-C7B1-47D3-B67F-A62EFF666E3E}">
          <x14:id>{1FC098DA-C685-4FEF-BE2C-425E65FB49A6}</x14:id>
        </ext>
      </extLst>
    </cfRule>
  </conditionalFormatting>
  <conditionalFormatting sqref="C5:D5">
    <cfRule type="dataBar" priority="5">
      <dataBar>
        <cfvo type="min"/>
        <cfvo type="max"/>
        <color rgb="FF008AEF"/>
      </dataBar>
      <extLst>
        <ext xmlns:x14="http://schemas.microsoft.com/office/spreadsheetml/2009/9/main" uri="{B025F937-C7B1-47D3-B67F-A62EFF666E3E}">
          <x14:id>{DDE39FCC-C5C8-4DEC-ADEB-F2FC343BF8C4}</x14:id>
        </ext>
      </extLst>
    </cfRule>
  </conditionalFormatting>
  <conditionalFormatting sqref="C6:D6">
    <cfRule type="dataBar" priority="6">
      <dataBar>
        <cfvo type="min"/>
        <cfvo type="max"/>
        <color rgb="FF008AEF"/>
      </dataBar>
      <extLst>
        <ext xmlns:x14="http://schemas.microsoft.com/office/spreadsheetml/2009/9/main" uri="{B025F937-C7B1-47D3-B67F-A62EFF666E3E}">
          <x14:id>{1E03B60C-A944-401F-87A5-DD9D099C517D}</x14:id>
        </ext>
      </extLst>
    </cfRule>
  </conditionalFormatting>
  <conditionalFormatting sqref="C7:D7">
    <cfRule type="dataBar" priority="7">
      <dataBar>
        <cfvo type="min"/>
        <cfvo type="max"/>
        <color rgb="FF008AEF"/>
      </dataBar>
      <extLst>
        <ext xmlns:x14="http://schemas.microsoft.com/office/spreadsheetml/2009/9/main" uri="{B025F937-C7B1-47D3-B67F-A62EFF666E3E}">
          <x14:id>{E62721ED-F24B-442C-A2C2-FF3E3B74B174}</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{8DB0F93E-1F0A-4540-837C-342BD1DD365F}</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{FC4FBFBE-85BE-43D8-83CC-D57448E344B3}</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{49B73EB5-314B-43E7-B4B0-1B19F88C0CC8}</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{9BD87E85-9A51-449D-B753-FBAAC5DD7707}</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{7415FA25-DEAF-40B2-8058-6203AFAE7EAE}</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{7077451B-D56B-4E8E-B8C2-42CED2D4158B}</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{C154F81F-A2C3-452A-B9AC-849DE2D53AE6}</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{2A320279-792A-49B5-B5A4-32371199E2F8}</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{647896EE-0EEF-4C9B-A33E-5229F867B15A}</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{BC0AFCC7-276A-424B-8193-13E7A8FA616F}</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{A94FFD0F-7062-4E01-B3F8-4446803A6DB4}</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{EB14C8D1-798C-4F71-A5CC-DD263E1F6F7C}</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{A6770775-8C6A-4EAB-B027-85C42E4AA782}</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{675A09CF-6D41-4E69-A052-12C45BE18010}</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{3FDCF33A-ECD3-4DCD-9AA5-0CFC5306F9F3}</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{10D51542-763B-4E16-AA43-A04F9173A6A4}</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{8C462554-9BF0-4596-900D-3C209DC79D72}</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{D29A8F5F-DA86-4C99-83FE-1C4341C3CBDE}</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{FDBF6F06-58ED-4B67-95A3-8B5E9913167F}</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{AD85E6DD-2942-47FA-B5E7-69700CC9F0AB}</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{71C2873E-D3B0-45F4-A931-7DD87BFC12C1}</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{734DAE65-A33C-47F8-A34F-AFDCFC755445}</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{6F2FFB51-0C41-49D9-A4AA-21EC8636BD4D}</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{E64ECAD3-5DB7-4D12-9E67-38EC4B14A294}</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{C1C30263-0BD5-4D07-AE37-05B8999F3290}</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{BC83CF96-2C9F-47E1-B42C-2460EF539881}</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{521FF00A-4356-4FDC-AF40-438ABA02A7CB}</x14:id>
        </ext>
      </extLst>
    </cfRule>
  </conditionalFormatting>
  <conditionalFormatting sqref="C35:D35">
    <cfRule type="dataBar" priority="13">
      <dataBar>
        <cfvo type="min"/>
        <cfvo type="max"/>
        <color rgb="FF008AEF"/>
      </dataBar>
      <extLst>
        <ext xmlns:x14="http://schemas.microsoft.com/office/spreadsheetml/2009/9/main" uri="{B025F937-C7B1-47D3-B67F-A62EFF666E3E}">
          <x14:id>{C2B3302B-C035-4461-BF65-7B83E68B0D0B}</x14:id>
        </ext>
      </extLst>
    </cfRule>
  </conditionalFormatting>
  <conditionalFormatting sqref="E3:P35">
    <cfRule type="cellIs" dxfId="3"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902AE092-3C7C-4D5D-A7D8-6F69E067CFD8}">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1FC098DA-C685-4FEF-BE2C-425E65FB49A6}">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DE39FCC-C5C8-4DEC-ADEB-F2FC343BF8C4}">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1E03B60C-A944-401F-87A5-DD9D099C517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62721ED-F24B-442C-A2C2-FF3E3B74B17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8DB0F93E-1F0A-4540-837C-342BD1DD365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FC4FBFBE-85BE-43D8-83CC-D57448E344B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9B73EB5-314B-43E7-B4B0-1B19F88C0CC8}">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BD87E85-9A51-449D-B753-FBAAC5DD770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415FA25-DEAF-40B2-8058-6203AFAE7EAE}">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077451B-D56B-4E8E-B8C2-42CED2D4158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154F81F-A2C3-452A-B9AC-849DE2D53AE6}">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A320279-792A-49B5-B5A4-32371199E2F8}">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647896EE-0EEF-4C9B-A33E-5229F867B15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BC0AFCC7-276A-424B-8193-13E7A8FA616F}">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A94FFD0F-7062-4E01-B3F8-4446803A6DB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B14C8D1-798C-4F71-A5CC-DD263E1F6F7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A6770775-8C6A-4EAB-B027-85C42E4AA78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75A09CF-6D41-4E69-A052-12C45BE18010}">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3FDCF33A-ECD3-4DCD-9AA5-0CFC5306F9F3}">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10D51542-763B-4E16-AA43-A04F9173A6A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C462554-9BF0-4596-900D-3C209DC79D7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D29A8F5F-DA86-4C99-83FE-1C4341C3CBDE}">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FDBF6F06-58ED-4B67-95A3-8B5E9913167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AD85E6DD-2942-47FA-B5E7-69700CC9F0AB}">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71C2873E-D3B0-45F4-A931-7DD87BFC12C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34DAE65-A33C-47F8-A34F-AFDCFC75544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F2FFB51-0C41-49D9-A4AA-21EC8636BD4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E64ECAD3-5DB7-4D12-9E67-38EC4B14A29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1C30263-0BD5-4D07-AE37-05B8999F329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C83CF96-2C9F-47E1-B42C-2460EF53988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21FF00A-4356-4FDC-AF40-438ABA02A7CB}">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C2B3302B-C035-4461-BF65-7B83E68B0D0B}">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P35"/>
  <sheetViews>
    <sheetView zoomScale="60" zoomScaleNormal="60" workbookViewId="0">
      <selection activeCell="X4" sqref="X4"/>
    </sheetView>
  </sheetViews>
  <sheetFormatPr baseColWidth="10" defaultColWidth="11.42578125" defaultRowHeight="15" x14ac:dyDescent="0.25"/>
  <cols>
    <col min="1" max="1" width="7.7109375" style="2" customWidth="1"/>
    <col min="2" max="2" width="76.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9" t="s">
        <v>1</v>
      </c>
      <c r="B1" s="25" t="s">
        <v>40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50"/>
      <c r="B2" s="25"/>
      <c r="C2" s="3">
        <v>2026</v>
      </c>
      <c r="D2" s="3" t="s">
        <v>16</v>
      </c>
      <c r="E2" s="26"/>
      <c r="F2" s="26"/>
      <c r="G2" s="26"/>
      <c r="H2" s="26"/>
      <c r="I2" s="26"/>
      <c r="J2" s="26"/>
      <c r="K2" s="26"/>
      <c r="L2" s="26"/>
      <c r="M2" s="26"/>
      <c r="N2" s="26"/>
      <c r="O2" s="26"/>
      <c r="P2" s="26"/>
    </row>
    <row r="3" spans="1:16" ht="81" customHeight="1" x14ac:dyDescent="0.25">
      <c r="A3" s="9" t="s">
        <v>22</v>
      </c>
      <c r="B3" s="8" t="s">
        <v>21</v>
      </c>
      <c r="C3" s="27">
        <v>1</v>
      </c>
      <c r="D3" s="24">
        <f>SUM(E3:P3)</f>
        <v>0</v>
      </c>
      <c r="E3" s="28">
        <v>0</v>
      </c>
      <c r="F3" s="28">
        <v>0</v>
      </c>
      <c r="G3" s="28">
        <v>0</v>
      </c>
      <c r="H3" s="28">
        <v>0</v>
      </c>
      <c r="I3" s="28"/>
      <c r="J3" s="28"/>
      <c r="K3" s="28"/>
      <c r="L3" s="28"/>
      <c r="M3" s="28"/>
      <c r="N3" s="28"/>
      <c r="O3" s="28"/>
      <c r="P3" s="28"/>
    </row>
    <row r="4" spans="1:16" ht="81" customHeight="1" x14ac:dyDescent="0.25">
      <c r="A4" s="6" t="s">
        <v>18</v>
      </c>
      <c r="B4" s="5" t="s">
        <v>29</v>
      </c>
      <c r="C4" s="29">
        <v>2</v>
      </c>
      <c r="D4" s="24">
        <f>SUM(E4:P4)</f>
        <v>0</v>
      </c>
      <c r="E4" s="28"/>
      <c r="F4" s="28"/>
      <c r="G4" s="28"/>
      <c r="H4" s="28"/>
      <c r="I4" s="28"/>
      <c r="J4" s="28"/>
      <c r="K4" s="28"/>
      <c r="L4" s="28"/>
      <c r="M4" s="28"/>
      <c r="N4" s="28"/>
      <c r="O4" s="28"/>
      <c r="P4" s="28"/>
    </row>
    <row r="5" spans="1:16" ht="81" customHeight="1" x14ac:dyDescent="0.25">
      <c r="A5" s="6" t="s">
        <v>18</v>
      </c>
      <c r="B5" s="5" t="s">
        <v>30</v>
      </c>
      <c r="C5" s="30">
        <v>2</v>
      </c>
      <c r="D5" s="24">
        <f>SUM(E5:P5)</f>
        <v>1</v>
      </c>
      <c r="E5" s="28"/>
      <c r="F5" s="28"/>
      <c r="G5" s="28">
        <v>1</v>
      </c>
      <c r="H5" s="28"/>
      <c r="I5" s="28"/>
      <c r="J5" s="28"/>
      <c r="K5" s="28"/>
      <c r="L5" s="28"/>
      <c r="M5" s="28"/>
      <c r="N5" s="28"/>
      <c r="O5" s="28"/>
      <c r="P5" s="28"/>
    </row>
    <row r="6" spans="1:16" ht="28.5" customHeight="1" x14ac:dyDescent="0.25">
      <c r="A6" s="51" t="s">
        <v>64</v>
      </c>
      <c r="B6" s="32" t="s">
        <v>65</v>
      </c>
      <c r="C6" s="31">
        <v>3</v>
      </c>
      <c r="D6" s="24">
        <f t="shared" ref="D6:D33" si="0">SUM(E6:P6)</f>
        <v>0</v>
      </c>
      <c r="E6" s="28"/>
      <c r="F6" s="28"/>
      <c r="G6" s="28"/>
      <c r="H6" s="28"/>
      <c r="I6" s="28"/>
      <c r="J6" s="28"/>
      <c r="K6" s="28"/>
      <c r="L6" s="28"/>
      <c r="M6" s="28"/>
      <c r="N6" s="28"/>
      <c r="O6" s="28"/>
      <c r="P6" s="28"/>
    </row>
    <row r="7" spans="1:16" ht="28.5" customHeight="1" x14ac:dyDescent="0.25">
      <c r="A7" s="52"/>
      <c r="B7" s="32" t="s">
        <v>66</v>
      </c>
      <c r="C7" s="31">
        <v>3</v>
      </c>
      <c r="D7" s="24">
        <f t="shared" si="0"/>
        <v>0</v>
      </c>
      <c r="E7" s="28"/>
      <c r="F7" s="28"/>
      <c r="G7" s="28"/>
      <c r="H7" s="28"/>
      <c r="I7" s="28"/>
      <c r="J7" s="28"/>
      <c r="K7" s="28"/>
      <c r="L7" s="28"/>
      <c r="M7" s="28"/>
      <c r="N7" s="28"/>
      <c r="O7" s="28"/>
      <c r="P7" s="28"/>
    </row>
    <row r="8" spans="1:16" ht="28.5" customHeight="1" x14ac:dyDescent="0.25">
      <c r="A8" s="52"/>
      <c r="B8" s="32" t="s">
        <v>67</v>
      </c>
      <c r="C8" s="31">
        <v>4</v>
      </c>
      <c r="D8" s="24">
        <f t="shared" si="0"/>
        <v>2</v>
      </c>
      <c r="E8" s="28"/>
      <c r="F8" s="28">
        <v>1</v>
      </c>
      <c r="G8" s="28"/>
      <c r="H8" s="28">
        <v>1</v>
      </c>
      <c r="I8" s="28"/>
      <c r="J8" s="28"/>
      <c r="K8" s="28"/>
      <c r="L8" s="28"/>
      <c r="M8" s="28"/>
      <c r="N8" s="28"/>
      <c r="O8" s="28"/>
      <c r="P8" s="28"/>
    </row>
    <row r="9" spans="1:16" ht="28.5" customHeight="1" x14ac:dyDescent="0.25">
      <c r="A9" s="52"/>
      <c r="B9" s="32" t="s">
        <v>68</v>
      </c>
      <c r="C9" s="31">
        <v>4</v>
      </c>
      <c r="D9" s="24">
        <f t="shared" si="0"/>
        <v>1</v>
      </c>
      <c r="E9" s="28"/>
      <c r="F9" s="28"/>
      <c r="G9" s="28">
        <v>1</v>
      </c>
      <c r="H9" s="28"/>
      <c r="I9" s="28"/>
      <c r="J9" s="28"/>
      <c r="K9" s="28"/>
      <c r="L9" s="28"/>
      <c r="M9" s="28"/>
      <c r="N9" s="28"/>
      <c r="O9" s="28"/>
      <c r="P9" s="28"/>
    </row>
    <row r="10" spans="1:16" ht="28.5" customHeight="1" x14ac:dyDescent="0.25">
      <c r="A10" s="52"/>
      <c r="B10" s="32" t="s">
        <v>69</v>
      </c>
      <c r="C10" s="31">
        <v>0</v>
      </c>
      <c r="D10" s="24">
        <f t="shared" si="0"/>
        <v>0</v>
      </c>
      <c r="E10" s="28"/>
      <c r="F10" s="28"/>
      <c r="G10" s="28"/>
      <c r="H10" s="28"/>
      <c r="I10" s="28"/>
      <c r="J10" s="28"/>
      <c r="K10" s="28"/>
      <c r="L10" s="28"/>
      <c r="M10" s="28"/>
      <c r="N10" s="28"/>
      <c r="O10" s="28"/>
      <c r="P10" s="28"/>
    </row>
    <row r="11" spans="1:16" ht="28.5" customHeight="1" x14ac:dyDescent="0.25">
      <c r="A11" s="52"/>
      <c r="B11" s="32" t="s">
        <v>70</v>
      </c>
      <c r="C11" s="31">
        <v>0</v>
      </c>
      <c r="D11" s="24">
        <f t="shared" si="0"/>
        <v>0</v>
      </c>
      <c r="E11" s="28"/>
      <c r="F11" s="28"/>
      <c r="G11" s="28"/>
      <c r="H11" s="28"/>
      <c r="I11" s="28"/>
      <c r="J11" s="28"/>
      <c r="K11" s="28"/>
      <c r="L11" s="28"/>
      <c r="M11" s="28"/>
      <c r="N11" s="28"/>
      <c r="O11" s="28"/>
      <c r="P11" s="28"/>
    </row>
    <row r="12" spans="1:16" ht="28.5" customHeight="1" x14ac:dyDescent="0.25">
      <c r="A12" s="52"/>
      <c r="B12" s="32" t="s">
        <v>71</v>
      </c>
      <c r="C12" s="31">
        <v>0</v>
      </c>
      <c r="D12" s="24">
        <f t="shared" si="0"/>
        <v>0</v>
      </c>
      <c r="E12" s="28"/>
      <c r="F12" s="28"/>
      <c r="G12" s="28"/>
      <c r="H12" s="28"/>
      <c r="I12" s="28"/>
      <c r="J12" s="28"/>
      <c r="K12" s="28"/>
      <c r="L12" s="28"/>
      <c r="M12" s="28"/>
      <c r="N12" s="28"/>
      <c r="O12" s="28"/>
      <c r="P12" s="28"/>
    </row>
    <row r="13" spans="1:16" ht="28.5" customHeight="1" x14ac:dyDescent="0.25">
      <c r="A13" s="52"/>
      <c r="B13" s="32" t="s">
        <v>72</v>
      </c>
      <c r="C13" s="31">
        <v>0</v>
      </c>
      <c r="D13" s="24">
        <f t="shared" si="0"/>
        <v>0</v>
      </c>
      <c r="E13" s="28"/>
      <c r="F13" s="28"/>
      <c r="G13" s="28"/>
      <c r="H13" s="28"/>
      <c r="I13" s="28"/>
      <c r="J13" s="28"/>
      <c r="K13" s="28"/>
      <c r="L13" s="28"/>
      <c r="M13" s="28"/>
      <c r="N13" s="28"/>
      <c r="O13" s="28"/>
      <c r="P13" s="28"/>
    </row>
    <row r="14" spans="1:16" ht="28.5" customHeight="1" x14ac:dyDescent="0.25">
      <c r="A14" s="52"/>
      <c r="B14" s="32" t="s">
        <v>73</v>
      </c>
      <c r="C14" s="31">
        <v>0</v>
      </c>
      <c r="D14" s="24">
        <f t="shared" si="0"/>
        <v>0</v>
      </c>
      <c r="E14" s="28"/>
      <c r="F14" s="28"/>
      <c r="G14" s="28"/>
      <c r="H14" s="28"/>
      <c r="I14" s="28"/>
      <c r="J14" s="28"/>
      <c r="K14" s="28"/>
      <c r="L14" s="28"/>
      <c r="M14" s="28"/>
      <c r="N14" s="28"/>
      <c r="O14" s="28"/>
      <c r="P14" s="28"/>
    </row>
    <row r="15" spans="1:16" ht="28.5" customHeight="1" x14ac:dyDescent="0.25">
      <c r="A15" s="52"/>
      <c r="B15" s="32" t="s">
        <v>74</v>
      </c>
      <c r="C15" s="31">
        <v>0</v>
      </c>
      <c r="D15" s="24">
        <f t="shared" si="0"/>
        <v>0</v>
      </c>
      <c r="E15" s="28"/>
      <c r="F15" s="28"/>
      <c r="G15" s="28"/>
      <c r="H15" s="28"/>
      <c r="I15" s="28"/>
      <c r="J15" s="28"/>
      <c r="K15" s="28"/>
      <c r="L15" s="28"/>
      <c r="M15" s="28"/>
      <c r="N15" s="28"/>
      <c r="O15" s="28"/>
      <c r="P15" s="28"/>
    </row>
    <row r="16" spans="1:16" ht="28.5" customHeight="1" x14ac:dyDescent="0.25">
      <c r="A16" s="52"/>
      <c r="B16" s="32" t="s">
        <v>75</v>
      </c>
      <c r="C16" s="31">
        <v>0</v>
      </c>
      <c r="D16" s="24">
        <f t="shared" si="0"/>
        <v>0</v>
      </c>
      <c r="E16" s="28"/>
      <c r="F16" s="28"/>
      <c r="G16" s="28"/>
      <c r="H16" s="28"/>
      <c r="I16" s="28"/>
      <c r="J16" s="28"/>
      <c r="K16" s="28"/>
      <c r="L16" s="28"/>
      <c r="M16" s="28"/>
      <c r="N16" s="28"/>
      <c r="O16" s="28"/>
      <c r="P16" s="28"/>
    </row>
    <row r="17" spans="1:16" ht="28.5" customHeight="1" x14ac:dyDescent="0.25">
      <c r="A17" s="52"/>
      <c r="B17" s="32" t="s">
        <v>76</v>
      </c>
      <c r="C17" s="31">
        <v>0</v>
      </c>
      <c r="D17" s="24">
        <f t="shared" si="0"/>
        <v>0</v>
      </c>
      <c r="E17" s="28"/>
      <c r="F17" s="28"/>
      <c r="G17" s="28"/>
      <c r="H17" s="28"/>
      <c r="I17" s="28"/>
      <c r="J17" s="28"/>
      <c r="K17" s="28"/>
      <c r="L17" s="28"/>
      <c r="M17" s="28"/>
      <c r="N17" s="28"/>
      <c r="O17" s="28"/>
      <c r="P17" s="28"/>
    </row>
    <row r="18" spans="1:16" ht="28.5" customHeight="1" x14ac:dyDescent="0.25">
      <c r="A18" s="52"/>
      <c r="B18" s="32" t="s">
        <v>77</v>
      </c>
      <c r="C18" s="31">
        <v>0</v>
      </c>
      <c r="D18" s="24">
        <f t="shared" si="0"/>
        <v>0</v>
      </c>
      <c r="E18" s="28"/>
      <c r="F18" s="28"/>
      <c r="G18" s="28"/>
      <c r="H18" s="28"/>
      <c r="I18" s="28"/>
      <c r="J18" s="28"/>
      <c r="K18" s="28"/>
      <c r="L18" s="28"/>
      <c r="M18" s="28"/>
      <c r="N18" s="28"/>
      <c r="O18" s="28"/>
      <c r="P18" s="28"/>
    </row>
    <row r="19" spans="1:16" ht="28.5" customHeight="1" x14ac:dyDescent="0.25">
      <c r="A19" s="52"/>
      <c r="B19" s="32" t="s">
        <v>78</v>
      </c>
      <c r="C19" s="31">
        <v>0</v>
      </c>
      <c r="D19" s="24">
        <f t="shared" si="0"/>
        <v>0</v>
      </c>
      <c r="E19" s="28"/>
      <c r="F19" s="28"/>
      <c r="G19" s="28"/>
      <c r="H19" s="28"/>
      <c r="I19" s="28"/>
      <c r="J19" s="28"/>
      <c r="K19" s="28"/>
      <c r="L19" s="28"/>
      <c r="M19" s="28"/>
      <c r="N19" s="28"/>
      <c r="O19" s="28"/>
      <c r="P19" s="28"/>
    </row>
    <row r="20" spans="1:16" ht="28.5" customHeight="1" x14ac:dyDescent="0.25">
      <c r="A20" s="52"/>
      <c r="B20" s="32" t="s">
        <v>79</v>
      </c>
      <c r="C20" s="31">
        <v>16</v>
      </c>
      <c r="D20" s="24">
        <f t="shared" si="0"/>
        <v>4</v>
      </c>
      <c r="E20" s="28"/>
      <c r="F20" s="28"/>
      <c r="G20" s="28">
        <v>4</v>
      </c>
      <c r="H20" s="28"/>
      <c r="I20" s="28"/>
      <c r="J20" s="28"/>
      <c r="K20" s="28"/>
      <c r="L20" s="28"/>
      <c r="M20" s="28"/>
      <c r="N20" s="28"/>
      <c r="O20" s="28"/>
      <c r="P20" s="28"/>
    </row>
    <row r="21" spans="1:16" ht="28.5" customHeight="1" x14ac:dyDescent="0.25">
      <c r="A21" s="52"/>
      <c r="B21" s="32" t="s">
        <v>80</v>
      </c>
      <c r="C21" s="31">
        <v>0</v>
      </c>
      <c r="D21" s="24">
        <f t="shared" si="0"/>
        <v>0</v>
      </c>
      <c r="E21" s="28"/>
      <c r="F21" s="28"/>
      <c r="G21" s="28"/>
      <c r="H21" s="28"/>
      <c r="I21" s="28"/>
      <c r="J21" s="28"/>
      <c r="K21" s="28"/>
      <c r="L21" s="28"/>
      <c r="M21" s="28"/>
      <c r="N21" s="28"/>
      <c r="O21" s="28"/>
      <c r="P21" s="28"/>
    </row>
    <row r="22" spans="1:16" ht="24" customHeight="1" x14ac:dyDescent="0.25">
      <c r="A22" s="52"/>
      <c r="B22" s="33" t="s">
        <v>81</v>
      </c>
      <c r="C22" s="31">
        <v>5</v>
      </c>
      <c r="D22" s="24">
        <f t="shared" si="0"/>
        <v>0</v>
      </c>
      <c r="E22" s="28"/>
      <c r="F22" s="28"/>
      <c r="G22" s="28"/>
      <c r="H22" s="28"/>
      <c r="I22" s="28"/>
      <c r="J22" s="28"/>
      <c r="K22" s="28"/>
      <c r="L22" s="28"/>
      <c r="M22" s="28"/>
      <c r="N22" s="28"/>
      <c r="O22" s="28"/>
      <c r="P22" s="28"/>
    </row>
    <row r="23" spans="1:16" ht="24" customHeight="1" x14ac:dyDescent="0.25">
      <c r="A23" s="52"/>
      <c r="B23" s="33" t="s">
        <v>82</v>
      </c>
      <c r="C23" s="31">
        <v>5</v>
      </c>
      <c r="D23" s="24">
        <f t="shared" si="0"/>
        <v>0</v>
      </c>
      <c r="E23" s="28"/>
      <c r="F23" s="28"/>
      <c r="G23" s="28"/>
      <c r="H23" s="28"/>
      <c r="I23" s="28"/>
      <c r="J23" s="28"/>
      <c r="K23" s="28"/>
      <c r="L23" s="28"/>
      <c r="M23" s="28"/>
      <c r="N23" s="28"/>
      <c r="O23" s="28"/>
      <c r="P23" s="28"/>
    </row>
    <row r="24" spans="1:16" ht="24" customHeight="1" x14ac:dyDescent="0.25">
      <c r="A24" s="52"/>
      <c r="B24" s="33" t="s">
        <v>83</v>
      </c>
      <c r="C24" s="31">
        <v>5</v>
      </c>
      <c r="D24" s="24">
        <f t="shared" si="0"/>
        <v>5</v>
      </c>
      <c r="E24" s="28"/>
      <c r="F24" s="28"/>
      <c r="G24" s="28"/>
      <c r="H24" s="28"/>
      <c r="I24" s="28">
        <v>5</v>
      </c>
      <c r="J24" s="28"/>
      <c r="K24" s="28"/>
      <c r="L24" s="28"/>
      <c r="M24" s="28"/>
      <c r="N24" s="28"/>
      <c r="O24" s="28"/>
      <c r="P24" s="28"/>
    </row>
    <row r="25" spans="1:16" ht="24" customHeight="1" x14ac:dyDescent="0.25">
      <c r="A25" s="52"/>
      <c r="B25" s="33" t="s">
        <v>84</v>
      </c>
      <c r="C25" s="31">
        <v>5</v>
      </c>
      <c r="D25" s="24">
        <f t="shared" si="0"/>
        <v>0</v>
      </c>
      <c r="E25" s="28"/>
      <c r="F25" s="28"/>
      <c r="G25" s="28"/>
      <c r="H25" s="28"/>
      <c r="I25" s="28"/>
      <c r="J25" s="28"/>
      <c r="K25" s="28"/>
      <c r="L25" s="28"/>
      <c r="M25" s="28"/>
      <c r="N25" s="28"/>
      <c r="O25" s="28"/>
      <c r="P25" s="28"/>
    </row>
    <row r="26" spans="1:16" ht="24" customHeight="1" x14ac:dyDescent="0.25">
      <c r="A26" s="52"/>
      <c r="B26" s="33" t="s">
        <v>85</v>
      </c>
      <c r="C26" s="31">
        <v>5</v>
      </c>
      <c r="D26" s="24">
        <f t="shared" si="0"/>
        <v>0</v>
      </c>
      <c r="E26" s="28"/>
      <c r="F26" s="28"/>
      <c r="G26" s="28"/>
      <c r="H26" s="28"/>
      <c r="I26" s="28"/>
      <c r="J26" s="28"/>
      <c r="K26" s="28"/>
      <c r="L26" s="28"/>
      <c r="M26" s="28"/>
      <c r="N26" s="28"/>
      <c r="O26" s="28"/>
      <c r="P26" s="28"/>
    </row>
    <row r="27" spans="1:16" ht="24" customHeight="1" x14ac:dyDescent="0.25">
      <c r="A27" s="52"/>
      <c r="B27" s="33" t="s">
        <v>86</v>
      </c>
      <c r="C27" s="31">
        <v>1</v>
      </c>
      <c r="D27" s="24">
        <f t="shared" si="0"/>
        <v>0</v>
      </c>
      <c r="E27" s="28"/>
      <c r="F27" s="28"/>
      <c r="G27" s="28"/>
      <c r="H27" s="28"/>
      <c r="I27" s="28"/>
      <c r="J27" s="28"/>
      <c r="K27" s="28"/>
      <c r="L27" s="28"/>
      <c r="M27" s="28"/>
      <c r="N27" s="28"/>
      <c r="O27" s="28"/>
      <c r="P27" s="28"/>
    </row>
    <row r="28" spans="1:16" ht="24" customHeight="1" x14ac:dyDescent="0.25">
      <c r="A28" s="52"/>
      <c r="B28" s="33" t="s">
        <v>87</v>
      </c>
      <c r="C28" s="31">
        <v>1</v>
      </c>
      <c r="D28" s="24">
        <f t="shared" si="0"/>
        <v>0</v>
      </c>
      <c r="E28" s="28"/>
      <c r="F28" s="28"/>
      <c r="G28" s="28"/>
      <c r="H28" s="28"/>
      <c r="I28" s="28"/>
      <c r="J28" s="28"/>
      <c r="K28" s="28"/>
      <c r="L28" s="28"/>
      <c r="M28" s="28"/>
      <c r="N28" s="28"/>
      <c r="O28" s="28"/>
      <c r="P28" s="28"/>
    </row>
    <row r="29" spans="1:16" ht="24" customHeight="1" x14ac:dyDescent="0.25">
      <c r="A29" s="52"/>
      <c r="B29" s="33" t="s">
        <v>88</v>
      </c>
      <c r="C29" s="31">
        <v>1</v>
      </c>
      <c r="D29" s="24">
        <f t="shared" si="0"/>
        <v>0</v>
      </c>
      <c r="E29" s="28"/>
      <c r="F29" s="28"/>
      <c r="G29" s="28"/>
      <c r="H29" s="28"/>
      <c r="I29" s="28"/>
      <c r="J29" s="28"/>
      <c r="K29" s="28"/>
      <c r="L29" s="28"/>
      <c r="M29" s="28"/>
      <c r="N29" s="28"/>
      <c r="O29" s="28"/>
      <c r="P29" s="28"/>
    </row>
    <row r="30" spans="1:16" ht="24" customHeight="1" x14ac:dyDescent="0.25">
      <c r="A30" s="52"/>
      <c r="B30" s="33" t="s">
        <v>89</v>
      </c>
      <c r="C30" s="31">
        <v>1</v>
      </c>
      <c r="D30" s="24">
        <f t="shared" si="0"/>
        <v>0</v>
      </c>
      <c r="E30" s="28"/>
      <c r="F30" s="28"/>
      <c r="G30" s="28"/>
      <c r="H30" s="28"/>
      <c r="I30" s="28"/>
      <c r="J30" s="28"/>
      <c r="K30" s="28"/>
      <c r="L30" s="28"/>
      <c r="M30" s="28"/>
      <c r="N30" s="28"/>
      <c r="O30" s="28"/>
      <c r="P30" s="28"/>
    </row>
    <row r="31" spans="1:16" ht="24" customHeight="1" x14ac:dyDescent="0.25">
      <c r="A31" s="52"/>
      <c r="B31" s="33" t="s">
        <v>90</v>
      </c>
      <c r="C31" s="31">
        <v>1</v>
      </c>
      <c r="D31" s="24">
        <f t="shared" si="0"/>
        <v>0</v>
      </c>
      <c r="E31" s="28"/>
      <c r="F31" s="28"/>
      <c r="G31" s="28"/>
      <c r="H31" s="28"/>
      <c r="I31" s="28"/>
      <c r="J31" s="28"/>
      <c r="K31" s="28"/>
      <c r="L31" s="28"/>
      <c r="M31" s="28"/>
      <c r="N31" s="28"/>
      <c r="O31" s="28"/>
      <c r="P31" s="28"/>
    </row>
    <row r="32" spans="1:16" ht="24" customHeight="1" x14ac:dyDescent="0.25">
      <c r="A32" s="52"/>
      <c r="B32" s="33" t="s">
        <v>91</v>
      </c>
      <c r="C32" s="31">
        <v>1</v>
      </c>
      <c r="D32" s="24">
        <f t="shared" si="0"/>
        <v>0</v>
      </c>
      <c r="E32" s="28"/>
      <c r="F32" s="28"/>
      <c r="G32" s="28"/>
      <c r="H32" s="28"/>
      <c r="I32" s="28"/>
      <c r="J32" s="28"/>
      <c r="K32" s="28"/>
      <c r="L32" s="28"/>
      <c r="M32" s="28"/>
      <c r="N32" s="28"/>
      <c r="O32" s="28"/>
      <c r="P32" s="28"/>
    </row>
    <row r="33" spans="1:16" ht="24" customHeight="1" thickBot="1" x14ac:dyDescent="0.3">
      <c r="A33" s="53"/>
      <c r="B33" s="34" t="s">
        <v>92</v>
      </c>
      <c r="C33" s="31">
        <v>1</v>
      </c>
      <c r="D33" s="24">
        <f t="shared" si="0"/>
        <v>0</v>
      </c>
      <c r="E33" s="28"/>
      <c r="F33" s="28"/>
      <c r="G33" s="28"/>
      <c r="H33" s="28"/>
      <c r="I33" s="28"/>
      <c r="J33" s="28"/>
      <c r="K33" s="28"/>
      <c r="L33" s="28"/>
      <c r="M33" s="28"/>
      <c r="N33" s="28"/>
      <c r="O33" s="28"/>
      <c r="P33" s="28"/>
    </row>
    <row r="34" spans="1:16" x14ac:dyDescent="0.25">
      <c r="C34" s="35">
        <f>SUM(C3:C33)</f>
        <v>67</v>
      </c>
      <c r="D34" s="36">
        <f>SUM(D3:D33)</f>
        <v>13</v>
      </c>
    </row>
    <row r="35" spans="1:16" x14ac:dyDescent="0.25">
      <c r="C35" s="10"/>
      <c r="D35" s="11">
        <f>D34/C34</f>
        <v>0.19402985074626866</v>
      </c>
    </row>
  </sheetData>
  <sheetProtection algorithmName="SHA-512" hashValue="VoF06Atw5YqxI9RUnciZj8uzUxU+aaALqQzVS/E+rDidBM1txWg3qV47CHgG+jxmx/mSIPPebbjficM0v1Kfzw==" saltValue="GvGLZfCkHwY6FEXvmfHz0Q==" spinCount="100000" sheet="1" objects="1" scenarios="1" autoFilter="0"/>
  <mergeCells count="2">
    <mergeCell ref="A1:A2"/>
    <mergeCell ref="A6:A33"/>
  </mergeCells>
  <conditionalFormatting sqref="C3:D3 D4:D5">
    <cfRule type="dataBar" priority="51">
      <dataBar>
        <cfvo type="min"/>
        <cfvo type="max"/>
        <color rgb="FF008AEF"/>
      </dataBar>
      <extLst>
        <ext xmlns:x14="http://schemas.microsoft.com/office/spreadsheetml/2009/9/main" uri="{B025F937-C7B1-47D3-B67F-A62EFF666E3E}">
          <x14:id>{59D27FE6-0FEA-47BF-8A3F-256D220B2DEF}</x14:id>
        </ext>
      </extLst>
    </cfRule>
  </conditionalFormatting>
  <conditionalFormatting sqref="C4:D4">
    <cfRule type="dataBar" priority="4">
      <dataBar>
        <cfvo type="min"/>
        <cfvo type="max"/>
        <color rgb="FF008AEF"/>
      </dataBar>
      <extLst>
        <ext xmlns:x14="http://schemas.microsoft.com/office/spreadsheetml/2009/9/main" uri="{B025F937-C7B1-47D3-B67F-A62EFF666E3E}">
          <x14:id>{A70BD3DF-F579-48A1-99DC-C8A9152E8D08}</x14:id>
        </ext>
      </extLst>
    </cfRule>
  </conditionalFormatting>
  <conditionalFormatting sqref="C5:D5">
    <cfRule type="dataBar" priority="5">
      <dataBar>
        <cfvo type="min"/>
        <cfvo type="max"/>
        <color rgb="FF008AEF"/>
      </dataBar>
      <extLst>
        <ext xmlns:x14="http://schemas.microsoft.com/office/spreadsheetml/2009/9/main" uri="{B025F937-C7B1-47D3-B67F-A62EFF666E3E}">
          <x14:id>{EBE14ADE-9743-4EAE-9993-8CFCF807F3DE}</x14:id>
        </ext>
      </extLst>
    </cfRule>
  </conditionalFormatting>
  <conditionalFormatting sqref="C6:D6">
    <cfRule type="dataBar" priority="12">
      <dataBar>
        <cfvo type="min"/>
        <cfvo type="max"/>
        <color rgb="FF008AEF"/>
      </dataBar>
      <extLst>
        <ext xmlns:x14="http://schemas.microsoft.com/office/spreadsheetml/2009/9/main" uri="{B025F937-C7B1-47D3-B67F-A62EFF666E3E}">
          <x14:id>{805A93B0-246F-4ABC-AFA5-054E12CA401F}</x14:id>
        </ext>
      </extLst>
    </cfRule>
  </conditionalFormatting>
  <conditionalFormatting sqref="C7:D7">
    <cfRule type="dataBar" priority="39">
      <dataBar>
        <cfvo type="min"/>
        <cfvo type="max"/>
        <color rgb="FF008AEF"/>
      </dataBar>
      <extLst>
        <ext xmlns:x14="http://schemas.microsoft.com/office/spreadsheetml/2009/9/main" uri="{B025F937-C7B1-47D3-B67F-A62EFF666E3E}">
          <x14:id>{9BCC3665-1D68-4C35-81B6-D910BD16399F}</x14:id>
        </ext>
      </extLst>
    </cfRule>
  </conditionalFormatting>
  <conditionalFormatting sqref="C8:D8">
    <cfRule type="dataBar" priority="38">
      <dataBar>
        <cfvo type="min"/>
        <cfvo type="max"/>
        <color rgb="FF008AEF"/>
      </dataBar>
      <extLst>
        <ext xmlns:x14="http://schemas.microsoft.com/office/spreadsheetml/2009/9/main" uri="{B025F937-C7B1-47D3-B67F-A62EFF666E3E}">
          <x14:id>{0EFCC10E-BB50-496B-B9B5-5EF820346E95}</x14:id>
        </ext>
      </extLst>
    </cfRule>
  </conditionalFormatting>
  <conditionalFormatting sqref="C9:D9">
    <cfRule type="dataBar" priority="37">
      <dataBar>
        <cfvo type="min"/>
        <cfvo type="max"/>
        <color rgb="FF008AEF"/>
      </dataBar>
      <extLst>
        <ext xmlns:x14="http://schemas.microsoft.com/office/spreadsheetml/2009/9/main" uri="{B025F937-C7B1-47D3-B67F-A62EFF666E3E}">
          <x14:id>{56E40731-6449-4938-A814-1CB932B08DA8}</x14:id>
        </ext>
      </extLst>
    </cfRule>
  </conditionalFormatting>
  <conditionalFormatting sqref="C10:D10">
    <cfRule type="dataBar" priority="36">
      <dataBar>
        <cfvo type="min"/>
        <cfvo type="max"/>
        <color rgb="FF008AEF"/>
      </dataBar>
      <extLst>
        <ext xmlns:x14="http://schemas.microsoft.com/office/spreadsheetml/2009/9/main" uri="{B025F937-C7B1-47D3-B67F-A62EFF666E3E}">
          <x14:id>{B23EBEA1-A593-48A8-84F2-C146F13B75CF}</x14:id>
        </ext>
      </extLst>
    </cfRule>
  </conditionalFormatting>
  <conditionalFormatting sqref="C11:D11">
    <cfRule type="dataBar" priority="35">
      <dataBar>
        <cfvo type="min"/>
        <cfvo type="max"/>
        <color rgb="FF008AEF"/>
      </dataBar>
      <extLst>
        <ext xmlns:x14="http://schemas.microsoft.com/office/spreadsheetml/2009/9/main" uri="{B025F937-C7B1-47D3-B67F-A62EFF666E3E}">
          <x14:id>{7450B7F4-1576-4C73-BDDA-C4F59155DE17}</x14:id>
        </ext>
      </extLst>
    </cfRule>
  </conditionalFormatting>
  <conditionalFormatting sqref="C12:D12">
    <cfRule type="dataBar" priority="34">
      <dataBar>
        <cfvo type="min"/>
        <cfvo type="max"/>
        <color rgb="FF008AEF"/>
      </dataBar>
      <extLst>
        <ext xmlns:x14="http://schemas.microsoft.com/office/spreadsheetml/2009/9/main" uri="{B025F937-C7B1-47D3-B67F-A62EFF666E3E}">
          <x14:id>{6388804F-9EA5-4959-A020-93E129B10BF2}</x14:id>
        </ext>
      </extLst>
    </cfRule>
  </conditionalFormatting>
  <conditionalFormatting sqref="C13:D13">
    <cfRule type="dataBar" priority="33">
      <dataBar>
        <cfvo type="min"/>
        <cfvo type="max"/>
        <color rgb="FF008AEF"/>
      </dataBar>
      <extLst>
        <ext xmlns:x14="http://schemas.microsoft.com/office/spreadsheetml/2009/9/main" uri="{B025F937-C7B1-47D3-B67F-A62EFF666E3E}">
          <x14:id>{0750E4F8-E821-4FC8-ACF0-7938F0FC84AB}</x14:id>
        </ext>
      </extLst>
    </cfRule>
  </conditionalFormatting>
  <conditionalFormatting sqref="C14:D14">
    <cfRule type="dataBar" priority="32">
      <dataBar>
        <cfvo type="min"/>
        <cfvo type="max"/>
        <color rgb="FF008AEF"/>
      </dataBar>
      <extLst>
        <ext xmlns:x14="http://schemas.microsoft.com/office/spreadsheetml/2009/9/main" uri="{B025F937-C7B1-47D3-B67F-A62EFF666E3E}">
          <x14:id>{284212F4-E1A6-414E-920B-AEB4D0DF7521}</x14:id>
        </ext>
      </extLst>
    </cfRule>
  </conditionalFormatting>
  <conditionalFormatting sqref="C15:D15">
    <cfRule type="dataBar" priority="31">
      <dataBar>
        <cfvo type="min"/>
        <cfvo type="max"/>
        <color rgb="FF008AEF"/>
      </dataBar>
      <extLst>
        <ext xmlns:x14="http://schemas.microsoft.com/office/spreadsheetml/2009/9/main" uri="{B025F937-C7B1-47D3-B67F-A62EFF666E3E}">
          <x14:id>{9DD683CF-1203-46F6-9C28-356EDC2EEED8}</x14:id>
        </ext>
      </extLst>
    </cfRule>
  </conditionalFormatting>
  <conditionalFormatting sqref="C16:D16">
    <cfRule type="dataBar" priority="30">
      <dataBar>
        <cfvo type="min"/>
        <cfvo type="max"/>
        <color rgb="FF008AEF"/>
      </dataBar>
      <extLst>
        <ext xmlns:x14="http://schemas.microsoft.com/office/spreadsheetml/2009/9/main" uri="{B025F937-C7B1-47D3-B67F-A62EFF666E3E}">
          <x14:id>{CD68DC3C-3295-4013-91F6-840185F821B9}</x14:id>
        </ext>
      </extLst>
    </cfRule>
  </conditionalFormatting>
  <conditionalFormatting sqref="C17:D17">
    <cfRule type="dataBar" priority="29">
      <dataBar>
        <cfvo type="min"/>
        <cfvo type="max"/>
        <color rgb="FF008AEF"/>
      </dataBar>
      <extLst>
        <ext xmlns:x14="http://schemas.microsoft.com/office/spreadsheetml/2009/9/main" uri="{B025F937-C7B1-47D3-B67F-A62EFF666E3E}">
          <x14:id>{48686A59-31F1-4CB9-BD4F-92095E396113}</x14:id>
        </ext>
      </extLst>
    </cfRule>
  </conditionalFormatting>
  <conditionalFormatting sqref="C18:D18">
    <cfRule type="dataBar" priority="28">
      <dataBar>
        <cfvo type="min"/>
        <cfvo type="max"/>
        <color rgb="FF008AEF"/>
      </dataBar>
      <extLst>
        <ext xmlns:x14="http://schemas.microsoft.com/office/spreadsheetml/2009/9/main" uri="{B025F937-C7B1-47D3-B67F-A62EFF666E3E}">
          <x14:id>{5F05323E-3EE4-43C1-B3FB-B1923B84570E}</x14:id>
        </ext>
      </extLst>
    </cfRule>
  </conditionalFormatting>
  <conditionalFormatting sqref="C19:D19">
    <cfRule type="dataBar" priority="27">
      <dataBar>
        <cfvo type="min"/>
        <cfvo type="max"/>
        <color rgb="FF008AEF"/>
      </dataBar>
      <extLst>
        <ext xmlns:x14="http://schemas.microsoft.com/office/spreadsheetml/2009/9/main" uri="{B025F937-C7B1-47D3-B67F-A62EFF666E3E}">
          <x14:id>{254EBFCD-DA95-4B52-ACB2-8C156F252E3E}</x14:id>
        </ext>
      </extLst>
    </cfRule>
  </conditionalFormatting>
  <conditionalFormatting sqref="C20:D20">
    <cfRule type="dataBar" priority="26">
      <dataBar>
        <cfvo type="min"/>
        <cfvo type="max"/>
        <color rgb="FF008AEF"/>
      </dataBar>
      <extLst>
        <ext xmlns:x14="http://schemas.microsoft.com/office/spreadsheetml/2009/9/main" uri="{B025F937-C7B1-47D3-B67F-A62EFF666E3E}">
          <x14:id>{7431E1CC-C37F-471C-955B-D5FFB95E1042}</x14:id>
        </ext>
      </extLst>
    </cfRule>
  </conditionalFormatting>
  <conditionalFormatting sqref="C21:D21">
    <cfRule type="dataBar" priority="25">
      <dataBar>
        <cfvo type="min"/>
        <cfvo type="max"/>
        <color rgb="FF008AEF"/>
      </dataBar>
      <extLst>
        <ext xmlns:x14="http://schemas.microsoft.com/office/spreadsheetml/2009/9/main" uri="{B025F937-C7B1-47D3-B67F-A62EFF666E3E}">
          <x14:id>{7E933BED-F001-4BFA-83EB-B34D6F08F85C}</x14:id>
        </ext>
      </extLst>
    </cfRule>
  </conditionalFormatting>
  <conditionalFormatting sqref="C22:D22">
    <cfRule type="dataBar" priority="24">
      <dataBar>
        <cfvo type="min"/>
        <cfvo type="max"/>
        <color rgb="FF008AEF"/>
      </dataBar>
      <extLst>
        <ext xmlns:x14="http://schemas.microsoft.com/office/spreadsheetml/2009/9/main" uri="{B025F937-C7B1-47D3-B67F-A62EFF666E3E}">
          <x14:id>{5FE1F552-6FFA-4AEE-9922-15FF1D4D0C6B}</x14:id>
        </ext>
      </extLst>
    </cfRule>
  </conditionalFormatting>
  <conditionalFormatting sqref="C23:D23">
    <cfRule type="dataBar" priority="23">
      <dataBar>
        <cfvo type="min"/>
        <cfvo type="max"/>
        <color rgb="FF008AEF"/>
      </dataBar>
      <extLst>
        <ext xmlns:x14="http://schemas.microsoft.com/office/spreadsheetml/2009/9/main" uri="{B025F937-C7B1-47D3-B67F-A62EFF666E3E}">
          <x14:id>{4002A284-E07B-4F84-8B51-E858CA60ED2F}</x14:id>
        </ext>
      </extLst>
    </cfRule>
  </conditionalFormatting>
  <conditionalFormatting sqref="C24:D24">
    <cfRule type="dataBar" priority="22">
      <dataBar>
        <cfvo type="min"/>
        <cfvo type="max"/>
        <color rgb="FF008AEF"/>
      </dataBar>
      <extLst>
        <ext xmlns:x14="http://schemas.microsoft.com/office/spreadsheetml/2009/9/main" uri="{B025F937-C7B1-47D3-B67F-A62EFF666E3E}">
          <x14:id>{121FF27F-D5F9-4F0E-BE42-A60F40D06544}</x14:id>
        </ext>
      </extLst>
    </cfRule>
  </conditionalFormatting>
  <conditionalFormatting sqref="C25:D25">
    <cfRule type="dataBar" priority="21">
      <dataBar>
        <cfvo type="min"/>
        <cfvo type="max"/>
        <color rgb="FF008AEF"/>
      </dataBar>
      <extLst>
        <ext xmlns:x14="http://schemas.microsoft.com/office/spreadsheetml/2009/9/main" uri="{B025F937-C7B1-47D3-B67F-A62EFF666E3E}">
          <x14:id>{9C14FC49-2658-4D20-9F5A-018A850F0A51}</x14:id>
        </ext>
      </extLst>
    </cfRule>
  </conditionalFormatting>
  <conditionalFormatting sqref="C26:D26">
    <cfRule type="dataBar" priority="20">
      <dataBar>
        <cfvo type="min"/>
        <cfvo type="max"/>
        <color rgb="FF008AEF"/>
      </dataBar>
      <extLst>
        <ext xmlns:x14="http://schemas.microsoft.com/office/spreadsheetml/2009/9/main" uri="{B025F937-C7B1-47D3-B67F-A62EFF666E3E}">
          <x14:id>{97DADA6B-E9CC-467B-8BCD-0D89E724826A}</x14:id>
        </ext>
      </extLst>
    </cfRule>
  </conditionalFormatting>
  <conditionalFormatting sqref="C27:D27">
    <cfRule type="dataBar" priority="19">
      <dataBar>
        <cfvo type="min"/>
        <cfvo type="max"/>
        <color rgb="FF008AEF"/>
      </dataBar>
      <extLst>
        <ext xmlns:x14="http://schemas.microsoft.com/office/spreadsheetml/2009/9/main" uri="{B025F937-C7B1-47D3-B67F-A62EFF666E3E}">
          <x14:id>{95D747A8-EAFC-4B13-9528-F4DF5DFA96B4}</x14:id>
        </ext>
      </extLst>
    </cfRule>
  </conditionalFormatting>
  <conditionalFormatting sqref="C28:D28">
    <cfRule type="dataBar" priority="18">
      <dataBar>
        <cfvo type="min"/>
        <cfvo type="max"/>
        <color rgb="FF008AEF"/>
      </dataBar>
      <extLst>
        <ext xmlns:x14="http://schemas.microsoft.com/office/spreadsheetml/2009/9/main" uri="{B025F937-C7B1-47D3-B67F-A62EFF666E3E}">
          <x14:id>{B52BD8D6-0685-4F06-9F6E-51FBE935011D}</x14:id>
        </ext>
      </extLst>
    </cfRule>
  </conditionalFormatting>
  <conditionalFormatting sqref="C29:D29">
    <cfRule type="dataBar" priority="17">
      <dataBar>
        <cfvo type="min"/>
        <cfvo type="max"/>
        <color rgb="FF008AEF"/>
      </dataBar>
      <extLst>
        <ext xmlns:x14="http://schemas.microsoft.com/office/spreadsheetml/2009/9/main" uri="{B025F937-C7B1-47D3-B67F-A62EFF666E3E}">
          <x14:id>{E3D2BFA4-5F34-4F8E-9FDB-C10F36C3B734}</x14:id>
        </ext>
      </extLst>
    </cfRule>
  </conditionalFormatting>
  <conditionalFormatting sqref="C30:D30">
    <cfRule type="dataBar" priority="16">
      <dataBar>
        <cfvo type="min"/>
        <cfvo type="max"/>
        <color rgb="FF008AEF"/>
      </dataBar>
      <extLst>
        <ext xmlns:x14="http://schemas.microsoft.com/office/spreadsheetml/2009/9/main" uri="{B025F937-C7B1-47D3-B67F-A62EFF666E3E}">
          <x14:id>{ACB46AA2-8335-465A-9AD1-BD607F9517BB}</x14:id>
        </ext>
      </extLst>
    </cfRule>
  </conditionalFormatting>
  <conditionalFormatting sqref="C31:D31">
    <cfRule type="dataBar" priority="15">
      <dataBar>
        <cfvo type="min"/>
        <cfvo type="max"/>
        <color rgb="FF008AEF"/>
      </dataBar>
      <extLst>
        <ext xmlns:x14="http://schemas.microsoft.com/office/spreadsheetml/2009/9/main" uri="{B025F937-C7B1-47D3-B67F-A62EFF666E3E}">
          <x14:id>{D5DAC43C-24D6-4E9C-9F47-DCAB24681CFF}</x14:id>
        </ext>
      </extLst>
    </cfRule>
  </conditionalFormatting>
  <conditionalFormatting sqref="C32:D32">
    <cfRule type="dataBar" priority="14">
      <dataBar>
        <cfvo type="min"/>
        <cfvo type="max"/>
        <color rgb="FF008AEF"/>
      </dataBar>
      <extLst>
        <ext xmlns:x14="http://schemas.microsoft.com/office/spreadsheetml/2009/9/main" uri="{B025F937-C7B1-47D3-B67F-A62EFF666E3E}">
          <x14:id>{B23E4CDE-2F37-496E-8FA0-33E6806BC088}</x14:id>
        </ext>
      </extLst>
    </cfRule>
  </conditionalFormatting>
  <conditionalFormatting sqref="C33:D33">
    <cfRule type="dataBar" priority="13">
      <dataBar>
        <cfvo type="min"/>
        <cfvo type="max"/>
        <color rgb="FF008AEF"/>
      </dataBar>
      <extLst>
        <ext xmlns:x14="http://schemas.microsoft.com/office/spreadsheetml/2009/9/main" uri="{B025F937-C7B1-47D3-B67F-A62EFF666E3E}">
          <x14:id>{341DAADF-B541-44DC-9305-E69486D0CC82}</x14:id>
        </ext>
      </extLst>
    </cfRule>
  </conditionalFormatting>
  <conditionalFormatting sqref="E3:P33">
    <cfRule type="cellIs" dxfId="2" priority="1"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9D27FE6-0FEA-47BF-8A3F-256D220B2DEF}">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A70BD3DF-F579-48A1-99DC-C8A9152E8D08}">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EBE14ADE-9743-4EAE-9993-8CFCF807F3D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05A93B0-246F-4ABC-AFA5-054E12CA401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BCC3665-1D68-4C35-81B6-D910BD16399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0EFCC10E-BB50-496B-B9B5-5EF820346E95}">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6E40731-6449-4938-A814-1CB932B08DA8}">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23EBEA1-A593-48A8-84F2-C146F13B75CF}">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450B7F4-1576-4C73-BDDA-C4F59155DE1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388804F-9EA5-4959-A020-93E129B10BF2}">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0750E4F8-E821-4FC8-ACF0-7938F0FC84A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284212F4-E1A6-414E-920B-AEB4D0DF7521}">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DD683CF-1203-46F6-9C28-356EDC2EEED8}">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D68DC3C-3295-4013-91F6-840185F821B9}">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8686A59-31F1-4CB9-BD4F-92095E39611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F05323E-3EE4-43C1-B3FB-B1923B84570E}">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54EBFCD-DA95-4B52-ACB2-8C156F252E3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7431E1CC-C37F-471C-955B-D5FFB95E104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7E933BED-F001-4BFA-83EB-B34D6F08F85C}">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5FE1F552-6FFA-4AEE-9922-15FF1D4D0C6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002A284-E07B-4F84-8B51-E858CA60ED2F}">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121FF27F-D5F9-4F0E-BE42-A60F40D06544}">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C14FC49-2658-4D20-9F5A-018A850F0A5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7DADA6B-E9CC-467B-8BCD-0D89E724826A}">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5D747A8-EAFC-4B13-9528-F4DF5DFA96B4}">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B52BD8D6-0685-4F06-9F6E-51FBE935011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3D2BFA4-5F34-4F8E-9FDB-C10F36C3B734}">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CB46AA2-8335-465A-9AD1-BD607F9517B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D5DAC43C-24D6-4E9C-9F47-DCAB24681CF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23E4CDE-2F37-496E-8FA0-33E6806BC088}">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341DAADF-B541-44DC-9305-E69486D0CC82}">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E12"/>
  <sheetViews>
    <sheetView workbookViewId="0">
      <selection activeCell="N29" sqref="N29"/>
    </sheetView>
  </sheetViews>
  <sheetFormatPr baseColWidth="10" defaultRowHeight="15" x14ac:dyDescent="0.25"/>
  <cols>
    <col min="1" max="1" width="11.28515625" customWidth="1"/>
    <col min="2" max="2" width="24" customWidth="1"/>
    <col min="3" max="3" width="11.85546875" bestFit="1" customWidth="1"/>
  </cols>
  <sheetData>
    <row r="1" spans="1:5" x14ac:dyDescent="0.25">
      <c r="A1" s="54" t="s">
        <v>41</v>
      </c>
      <c r="B1" s="54"/>
      <c r="C1" s="19" t="s">
        <v>2</v>
      </c>
      <c r="D1" s="19" t="s">
        <v>62</v>
      </c>
      <c r="E1" s="19" t="s">
        <v>95</v>
      </c>
    </row>
    <row r="2" spans="1:5" x14ac:dyDescent="0.25">
      <c r="A2" s="18" t="s">
        <v>42</v>
      </c>
      <c r="B2" s="45" t="s">
        <v>52</v>
      </c>
      <c r="C2" s="20">
        <f>'D16 Desamparados Norte'!C37</f>
        <v>312</v>
      </c>
      <c r="D2" s="20">
        <f>'D16 Desamparados Norte'!D37</f>
        <v>58</v>
      </c>
      <c r="E2" s="43">
        <f>D2/C2</f>
        <v>0.1858974358974359</v>
      </c>
    </row>
    <row r="3" spans="1:5" x14ac:dyDescent="0.25">
      <c r="A3" s="18" t="s">
        <v>43</v>
      </c>
      <c r="B3" s="45" t="s">
        <v>53</v>
      </c>
      <c r="C3" s="21">
        <f>'D17 Desamparados Sur'!C37</f>
        <v>160</v>
      </c>
      <c r="D3" s="21">
        <f>'D17 Desamparados Sur'!D37</f>
        <v>46</v>
      </c>
      <c r="E3" s="43">
        <f t="shared" ref="E3:E11" si="0">D3/C3</f>
        <v>0.28749999999999998</v>
      </c>
    </row>
    <row r="4" spans="1:5" x14ac:dyDescent="0.25">
      <c r="A4" s="18" t="s">
        <v>44</v>
      </c>
      <c r="B4" s="45" t="s">
        <v>54</v>
      </c>
      <c r="C4" s="20">
        <f>'D18 Aserrí'!C39</f>
        <v>197</v>
      </c>
      <c r="D4" s="20">
        <f>'D18 Aserrí'!D39</f>
        <v>83</v>
      </c>
      <c r="E4" s="43">
        <f t="shared" si="0"/>
        <v>0.42131979695431471</v>
      </c>
    </row>
    <row r="5" spans="1:5" x14ac:dyDescent="0.25">
      <c r="A5" s="18" t="s">
        <v>45</v>
      </c>
      <c r="B5" s="45" t="s">
        <v>55</v>
      </c>
      <c r="C5" s="21">
        <f>'D19 Acosta'!C33</f>
        <v>174</v>
      </c>
      <c r="D5" s="21">
        <f>'D19 Acosta'!D33</f>
        <v>65</v>
      </c>
      <c r="E5" s="43">
        <f t="shared" si="0"/>
        <v>0.37356321839080459</v>
      </c>
    </row>
    <row r="6" spans="1:5" x14ac:dyDescent="0.25">
      <c r="A6" s="18" t="s">
        <v>46</v>
      </c>
      <c r="B6" s="45" t="s">
        <v>56</v>
      </c>
      <c r="C6" s="21">
        <f>'D20 Alajuelita'!C37</f>
        <v>289</v>
      </c>
      <c r="D6" s="21">
        <f>'D20 Alajuelita'!D37</f>
        <v>104</v>
      </c>
      <c r="E6" s="43">
        <f t="shared" si="0"/>
        <v>0.35986159169550175</v>
      </c>
    </row>
    <row r="7" spans="1:5" x14ac:dyDescent="0.25">
      <c r="A7" s="18" t="s">
        <v>47</v>
      </c>
      <c r="B7" s="45" t="s">
        <v>57</v>
      </c>
      <c r="C7" s="21">
        <f>'D21 Escazú'!C37</f>
        <v>198</v>
      </c>
      <c r="D7" s="21">
        <f>'D21 Escazú'!D37</f>
        <v>59</v>
      </c>
      <c r="E7" s="43">
        <f t="shared" si="0"/>
        <v>0.29797979797979796</v>
      </c>
    </row>
    <row r="8" spans="1:5" x14ac:dyDescent="0.25">
      <c r="A8" s="18" t="s">
        <v>48</v>
      </c>
      <c r="B8" s="45" t="s">
        <v>58</v>
      </c>
      <c r="C8" s="21">
        <f>'D22 Santa Ana'!C37</f>
        <v>246</v>
      </c>
      <c r="D8" s="21">
        <f>'D22 Santa Ana'!D37</f>
        <v>54</v>
      </c>
      <c r="E8" s="43">
        <f t="shared" si="0"/>
        <v>0.21951219512195122</v>
      </c>
    </row>
    <row r="9" spans="1:5" x14ac:dyDescent="0.25">
      <c r="A9" s="18" t="s">
        <v>49</v>
      </c>
      <c r="B9" s="45" t="s">
        <v>59</v>
      </c>
      <c r="C9" s="21">
        <f>'D23 Mora'!C37</f>
        <v>254</v>
      </c>
      <c r="D9" s="21">
        <f>'D23 Mora'!D37</f>
        <v>103</v>
      </c>
      <c r="E9" s="43">
        <f t="shared" si="0"/>
        <v>0.40551181102362205</v>
      </c>
    </row>
    <row r="10" spans="1:5" x14ac:dyDescent="0.25">
      <c r="A10" s="18" t="s">
        <v>50</v>
      </c>
      <c r="B10" s="45" t="s">
        <v>60</v>
      </c>
      <c r="C10" s="21">
        <f>'D24 Puriscal'!C36</f>
        <v>180</v>
      </c>
      <c r="D10" s="21">
        <f>'D24 Puriscal'!D36</f>
        <v>62</v>
      </c>
      <c r="E10" s="43">
        <f t="shared" si="0"/>
        <v>0.34444444444444444</v>
      </c>
    </row>
    <row r="11" spans="1:5" x14ac:dyDescent="0.25">
      <c r="A11" s="18" t="s">
        <v>51</v>
      </c>
      <c r="B11" s="46" t="s">
        <v>61</v>
      </c>
      <c r="C11" s="21">
        <f>'D25 Turrubares'!C34</f>
        <v>67</v>
      </c>
      <c r="D11" s="21">
        <f>'D25 Turrubares'!D34</f>
        <v>13</v>
      </c>
      <c r="E11" s="43">
        <f t="shared" si="0"/>
        <v>0.19402985074626866</v>
      </c>
    </row>
    <row r="12" spans="1:5" x14ac:dyDescent="0.25">
      <c r="B12" s="22" t="s">
        <v>63</v>
      </c>
      <c r="C12" s="23">
        <f>SUM(C2:C11)</f>
        <v>2077</v>
      </c>
      <c r="D12" s="23">
        <f>SUM(D2:D11)</f>
        <v>647</v>
      </c>
      <c r="E12" s="44">
        <f>D12/C12</f>
        <v>0.31150698122291764</v>
      </c>
    </row>
  </sheetData>
  <sheetProtection algorithmName="SHA-512" hashValue="yyDEBeG83X9quWULe2VU9th9O7PP/IpWuZNC+tEx7q8DtmapGzDJOH+srWvbywq1dNZHampVjItx1++3iYudug==" saltValue="59wqbhhmC9MFEFapNb2tRA==" spinCount="100000" sheet="1" objects="1" scenarios="1" autoFilter="0"/>
  <mergeCells count="1">
    <mergeCell ref="A1:B1"/>
  </mergeCells>
  <phoneticPr fontId="10" type="noConversion"/>
  <conditionalFormatting sqref="C2:D2">
    <cfRule type="dataBar" priority="13">
      <dataBar>
        <cfvo type="min"/>
        <cfvo type="max"/>
        <color rgb="FF008AEF"/>
      </dataBar>
      <extLst>
        <ext xmlns:x14="http://schemas.microsoft.com/office/spreadsheetml/2009/9/main" uri="{B025F937-C7B1-47D3-B67F-A62EFF666E3E}">
          <x14:id>{33E2F3D2-1974-4866-B45A-767C294DE65D}</x14:id>
        </ext>
      </extLst>
    </cfRule>
  </conditionalFormatting>
  <conditionalFormatting sqref="C3:D3">
    <cfRule type="dataBar" priority="12">
      <dataBar>
        <cfvo type="min"/>
        <cfvo type="max"/>
        <color rgb="FF008AEF"/>
      </dataBar>
      <extLst>
        <ext xmlns:x14="http://schemas.microsoft.com/office/spreadsheetml/2009/9/main" uri="{B025F937-C7B1-47D3-B67F-A62EFF666E3E}">
          <x14:id>{4B150D91-2AAA-4DF6-ABAB-83850B9EF894}</x14:id>
        </ext>
      </extLst>
    </cfRule>
  </conditionalFormatting>
  <conditionalFormatting sqref="C4:D4">
    <cfRule type="dataBar" priority="11">
      <dataBar>
        <cfvo type="min"/>
        <cfvo type="max"/>
        <color rgb="FF008AEF"/>
      </dataBar>
      <extLst>
        <ext xmlns:x14="http://schemas.microsoft.com/office/spreadsheetml/2009/9/main" uri="{B025F937-C7B1-47D3-B67F-A62EFF666E3E}">
          <x14:id>{FCBD012C-B9C2-44B0-BCFC-F1A3CE04B05E}</x14:id>
        </ext>
      </extLst>
    </cfRule>
  </conditionalFormatting>
  <conditionalFormatting sqref="C5:D5">
    <cfRule type="dataBar" priority="10">
      <dataBar>
        <cfvo type="min"/>
        <cfvo type="max"/>
        <color rgb="FF008AEF"/>
      </dataBar>
      <extLst>
        <ext xmlns:x14="http://schemas.microsoft.com/office/spreadsheetml/2009/9/main" uri="{B025F937-C7B1-47D3-B67F-A62EFF666E3E}">
          <x14:id>{7A081C5C-2BF0-43D0-9EB1-D462E160200D}</x14:id>
        </ext>
      </extLst>
    </cfRule>
  </conditionalFormatting>
  <conditionalFormatting sqref="C6:D6">
    <cfRule type="dataBar" priority="9">
      <dataBar>
        <cfvo type="min"/>
        <cfvo type="max"/>
        <color rgb="FF008AEF"/>
      </dataBar>
      <extLst>
        <ext xmlns:x14="http://schemas.microsoft.com/office/spreadsheetml/2009/9/main" uri="{B025F937-C7B1-47D3-B67F-A62EFF666E3E}">
          <x14:id>{B9210FCF-5074-41C3-9800-C56618600DCB}</x14:id>
        </ext>
      </extLst>
    </cfRule>
  </conditionalFormatting>
  <conditionalFormatting sqref="C7:D7">
    <cfRule type="dataBar" priority="8">
      <dataBar>
        <cfvo type="min"/>
        <cfvo type="max"/>
        <color rgb="FF008AEF"/>
      </dataBar>
      <extLst>
        <ext xmlns:x14="http://schemas.microsoft.com/office/spreadsheetml/2009/9/main" uri="{B025F937-C7B1-47D3-B67F-A62EFF666E3E}">
          <x14:id>{BA09C741-5DF8-4012-9ECF-AB9736F1BABA}</x14:id>
        </ext>
      </extLst>
    </cfRule>
  </conditionalFormatting>
  <conditionalFormatting sqref="C8:D8">
    <cfRule type="dataBar" priority="7">
      <dataBar>
        <cfvo type="min"/>
        <cfvo type="max"/>
        <color rgb="FF008AEF"/>
      </dataBar>
      <extLst>
        <ext xmlns:x14="http://schemas.microsoft.com/office/spreadsheetml/2009/9/main" uri="{B025F937-C7B1-47D3-B67F-A62EFF666E3E}">
          <x14:id>{D56F8E2D-238F-4458-A8FD-604834493CA4}</x14:id>
        </ext>
      </extLst>
    </cfRule>
  </conditionalFormatting>
  <conditionalFormatting sqref="C9:D9">
    <cfRule type="dataBar" priority="3">
      <dataBar>
        <cfvo type="min"/>
        <cfvo type="max"/>
        <color rgb="FF008AEF"/>
      </dataBar>
      <extLst>
        <ext xmlns:x14="http://schemas.microsoft.com/office/spreadsheetml/2009/9/main" uri="{B025F937-C7B1-47D3-B67F-A62EFF666E3E}">
          <x14:id>{AE1305E5-D1B9-4684-B651-496661925428}</x14:id>
        </ext>
      </extLst>
    </cfRule>
  </conditionalFormatting>
  <conditionalFormatting sqref="C10:D10">
    <cfRule type="dataBar" priority="5">
      <dataBar>
        <cfvo type="min"/>
        <cfvo type="max"/>
        <color rgb="FF008AEF"/>
      </dataBar>
      <extLst>
        <ext xmlns:x14="http://schemas.microsoft.com/office/spreadsheetml/2009/9/main" uri="{B025F937-C7B1-47D3-B67F-A62EFF666E3E}">
          <x14:id>{80DCA46A-2101-4199-8063-F1A0E2DA7500}</x14:id>
        </ext>
      </extLst>
    </cfRule>
  </conditionalFormatting>
  <conditionalFormatting sqref="C11:D11">
    <cfRule type="dataBar" priority="4">
      <dataBar>
        <cfvo type="min"/>
        <cfvo type="max"/>
        <color rgb="FF008AEF"/>
      </dataBar>
      <extLst>
        <ext xmlns:x14="http://schemas.microsoft.com/office/spreadsheetml/2009/9/main" uri="{B025F937-C7B1-47D3-B67F-A62EFF666E3E}">
          <x14:id>{07D3F961-DE57-4DA5-936B-D5A69118B1EF}</x14:id>
        </ext>
      </extLst>
    </cfRule>
  </conditionalFormatting>
  <conditionalFormatting sqref="E12">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3E2F3D2-1974-4866-B45A-767C294DE65D}">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4B150D91-2AAA-4DF6-ABAB-83850B9EF894}">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FCBD012C-B9C2-44B0-BCFC-F1A3CE04B05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7A081C5C-2BF0-43D0-9EB1-D462E160200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B9210FCF-5074-41C3-9800-C56618600DCB}">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BA09C741-5DF8-4012-9ECF-AB9736F1BAB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56F8E2D-238F-4458-A8FD-604834493CA4}">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AE1305E5-D1B9-4684-B651-496661925428}">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0DCA46A-2101-4199-8063-F1A0E2DA7500}">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7D3F961-DE57-4DA5-936B-D5A69118B1EF}">
            <x14:dataBar minLength="0" maxLength="100" gradient="0">
              <x14:cfvo type="autoMin"/>
              <x14:cfvo type="autoMax"/>
              <x14:negativeFillColor rgb="FFFF0000"/>
              <x14:axisColor rgb="FF000000"/>
            </x14:dataBar>
          </x14:cfRule>
          <xm:sqref>C11:D11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D16 Desamparados Norte</vt:lpstr>
      <vt:lpstr>D17 Desamparados Sur</vt:lpstr>
      <vt:lpstr>D18 Aserrí</vt:lpstr>
      <vt:lpstr>D19 Acosta</vt:lpstr>
      <vt:lpstr>D20 Alajuelita</vt:lpstr>
      <vt:lpstr>D21 Escazú</vt:lpstr>
      <vt:lpstr>D22 Santa Ana</vt:lpstr>
      <vt:lpstr>D23 Mora</vt:lpstr>
      <vt:lpstr>D24 Puriscal</vt:lpstr>
      <vt:lpstr>D25 Turrubares</vt:lpstr>
      <vt:lpstr>Total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2025-07-05T02:34:31Z</dcterms:created>
  <dcterms:modified xsi:type="dcterms:W3CDTF">2026-06-19T22:50:41Z</dcterms:modified>
</cp:coreProperties>
</file>