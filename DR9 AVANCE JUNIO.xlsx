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mc:AlternateContent xmlns:mc="http://schemas.openxmlformats.org/markup-compatibility/2006">
    <mc:Choice Requires="x15">
      <x15ac:absPath xmlns:x15ac="http://schemas.microsoft.com/office/spreadsheetml/2010/11/ac" url="C:\Users\108720436\Desktop\CONTEO NACIONAL PAO 2026\AVANCE IER SEMESTRE JUNIO\"/>
    </mc:Choice>
  </mc:AlternateContent>
  <xr:revisionPtr revIDLastSave="0" documentId="8_{91D8B2EA-2670-4B58-B899-E7526FF4E755}" xr6:coauthVersionLast="47" xr6:coauthVersionMax="47" xr10:uidLastSave="{00000000-0000-0000-0000-000000000000}"/>
  <bookViews>
    <workbookView xWindow="-120" yWindow="-120" windowWidth="29040" windowHeight="15720" activeTab="4" xr2:uid="{00000000-000D-0000-FFFF-FFFF00000000}"/>
  </bookViews>
  <sheets>
    <sheet name="D88 Limón" sheetId="1" r:id="rId1"/>
    <sheet name="D90 Siquirres" sheetId="2" r:id="rId2"/>
    <sheet name="D91 Talamanca" sheetId="3" r:id="rId3"/>
    <sheet name="D92 Matina" sheetId="4" r:id="rId4"/>
    <sheet name="Total Región" sheetId="5" r:id="rId5"/>
  </sheets>
  <externalReferences>
    <externalReference r:id="rId6"/>
    <externalReference r:id="rId7"/>
    <externalReference r:id="rId8"/>
    <externalReference r:id="rId9"/>
    <externalReference r:id="rId10"/>
  </externalReferences>
  <definedNames>
    <definedName name="ABANG" localSheetId="1">[1]DAT2!#REF!</definedName>
    <definedName name="ABANG" localSheetId="2">[2]DAT2!#REF!</definedName>
    <definedName name="ABANG" localSheetId="3">[3]DAT2!#REF!</definedName>
    <definedName name="ABANG" localSheetId="4">[4]DAT2!#REF!</definedName>
    <definedName name="ABANG">[5]DAT2!#REF!</definedName>
    <definedName name="ACOS" localSheetId="1">[1]DAT2!#REF!</definedName>
    <definedName name="ACOS" localSheetId="2">[2]DAT2!#REF!</definedName>
    <definedName name="ACOS" localSheetId="3">[3]DAT2!#REF!</definedName>
    <definedName name="ACOS" localSheetId="4">[4]DAT2!#REF!</definedName>
    <definedName name="ACOS">[5]DAT2!#REF!</definedName>
    <definedName name="ALAJU" localSheetId="1">[1]DAT2!#REF!</definedName>
    <definedName name="ALAJU" localSheetId="2">[2]DAT2!#REF!</definedName>
    <definedName name="ALAJU" localSheetId="3">[3]DAT2!#REF!</definedName>
    <definedName name="ALAJU" localSheetId="4">[4]DAT2!#REF!</definedName>
    <definedName name="ALAJU">[5]DAT2!#REF!</definedName>
    <definedName name="ALAJUE" localSheetId="1">[1]DAT2!#REF!</definedName>
    <definedName name="ALAJUE" localSheetId="2">[2]DAT2!#REF!</definedName>
    <definedName name="ALAJUE" localSheetId="3">[3]DAT2!#REF!</definedName>
    <definedName name="ALAJUE" localSheetId="4">[4]DAT2!#REF!</definedName>
    <definedName name="ALAJUE">[5]DAT2!#REF!</definedName>
    <definedName name="ALVA" localSheetId="1">[1]DAT2!#REF!</definedName>
    <definedName name="ALVA" localSheetId="2">[2]DAT2!#REF!</definedName>
    <definedName name="ALVA" localSheetId="3">[3]DAT2!#REF!</definedName>
    <definedName name="ALVA" localSheetId="4">[4]DAT2!#REF!</definedName>
    <definedName name="ALVA">[5]DAT2!#REF!</definedName>
    <definedName name="ASERR" localSheetId="1">[1]DAT2!#REF!</definedName>
    <definedName name="ASERR" localSheetId="2">[2]DAT2!#REF!</definedName>
    <definedName name="ASERR" localSheetId="3">[3]DAT2!#REF!</definedName>
    <definedName name="ASERR" localSheetId="4">[4]DAT2!#REF!</definedName>
    <definedName name="ASERR">[5]DAT2!#REF!</definedName>
    <definedName name="ATE" localSheetId="1">[1]DAT2!#REF!</definedName>
    <definedName name="ATE" localSheetId="2">[2]DAT2!#REF!</definedName>
    <definedName name="ATE" localSheetId="3">[3]DAT2!#REF!</definedName>
    <definedName name="ATE" localSheetId="4">[4]DAT2!#REF!</definedName>
    <definedName name="ATE">[5]DAT2!#REF!</definedName>
    <definedName name="BAGAC" localSheetId="1">[1]DAT2!#REF!</definedName>
    <definedName name="BAGAC" localSheetId="2">[2]DAT2!#REF!</definedName>
    <definedName name="BAGAC" localSheetId="3">[3]DAT2!#REF!</definedName>
    <definedName name="BAGAC" localSheetId="4">[4]DAT2!#REF!</definedName>
    <definedName name="BAGAC">[5]DAT2!#REF!</definedName>
    <definedName name="BARV" localSheetId="1">[1]DAT2!#REF!</definedName>
    <definedName name="BARV" localSheetId="2">[2]DAT2!#REF!</definedName>
    <definedName name="BARV" localSheetId="3">[3]DAT2!#REF!</definedName>
    <definedName name="BARV" localSheetId="4">[4]DAT2!#REF!</definedName>
    <definedName name="BARV">[5]DAT2!#REF!</definedName>
    <definedName name="BEL" localSheetId="1">[1]DAT2!#REF!</definedName>
    <definedName name="BEL" localSheetId="2">[2]DAT2!#REF!</definedName>
    <definedName name="BEL" localSheetId="3">[3]DAT2!#REF!</definedName>
    <definedName name="BEL" localSheetId="4">[4]DAT2!#REF!</definedName>
    <definedName name="BEL">[5]DAT2!#REF!</definedName>
    <definedName name="BUEN" localSheetId="1">[1]DAT2!#REF!</definedName>
    <definedName name="BUEN" localSheetId="2">[2]DAT2!#REF!</definedName>
    <definedName name="BUEN" localSheetId="3">[3]DAT2!#REF!</definedName>
    <definedName name="BUEN" localSheetId="4">[4]DAT2!#REF!</definedName>
    <definedName name="BUEN">[5]DAT2!#REF!</definedName>
    <definedName name="CANTÓNN">[5]!Tabla103[#All]</definedName>
    <definedName name="CAÑ" localSheetId="1">[1]DAT2!#REF!</definedName>
    <definedName name="CAÑ" localSheetId="2">[2]DAT2!#REF!</definedName>
    <definedName name="CAÑ" localSheetId="3">[3]DAT2!#REF!</definedName>
    <definedName name="CAÑ" localSheetId="4">[4]DAT2!#REF!</definedName>
    <definedName name="CAÑ">[5]DAT2!#REF!</definedName>
    <definedName name="CARR" localSheetId="1">[1]DAT2!#REF!</definedName>
    <definedName name="CARR" localSheetId="2">[2]DAT2!#REF!</definedName>
    <definedName name="CARR" localSheetId="3">[3]DAT2!#REF!</definedName>
    <definedName name="CARR" localSheetId="4">[4]DAT2!#REF!</definedName>
    <definedName name="CARR">[5]DAT2!#REF!</definedName>
    <definedName name="CARTAG" localSheetId="1">[1]DAT2!#REF!</definedName>
    <definedName name="CARTAG" localSheetId="2">[2]DAT2!#REF!</definedName>
    <definedName name="CARTAG" localSheetId="3">[3]DAT2!#REF!</definedName>
    <definedName name="CARTAG" localSheetId="4">[4]DAT2!#REF!</definedName>
    <definedName name="CARTAG">[5]DAT2!#REF!</definedName>
    <definedName name="CORR" localSheetId="1">[1]DAT2!#REF!</definedName>
    <definedName name="CORR" localSheetId="2">[2]DAT2!#REF!</definedName>
    <definedName name="CORR" localSheetId="3">[3]DAT2!#REF!</definedName>
    <definedName name="CORR" localSheetId="4">[4]DAT2!#REF!</definedName>
    <definedName name="CORR">[5]DAT2!#REF!</definedName>
    <definedName name="COTB" localSheetId="1">[1]DAT2!#REF!</definedName>
    <definedName name="COTB" localSheetId="2">[2]DAT2!#REF!</definedName>
    <definedName name="COTB" localSheetId="3">[3]DAT2!#REF!</definedName>
    <definedName name="COTB" localSheetId="4">[4]DAT2!#REF!</definedName>
    <definedName name="COTB">[5]DAT2!#REF!</definedName>
    <definedName name="CURRI" localSheetId="1">[1]DAT2!#REF!</definedName>
    <definedName name="CURRI" localSheetId="2">[2]DAT2!#REF!</definedName>
    <definedName name="CURRI" localSheetId="3">[3]DAT2!#REF!</definedName>
    <definedName name="CURRI" localSheetId="4">[4]DAT2!#REF!</definedName>
    <definedName name="CURRI">[5]DAT2!#REF!</definedName>
    <definedName name="DESAMP" localSheetId="1">[1]DAT2!#REF!</definedName>
    <definedName name="DESAMP" localSheetId="2">[2]DAT2!#REF!</definedName>
    <definedName name="DESAMP" localSheetId="3">[3]DAT2!#REF!</definedName>
    <definedName name="DESAMP" localSheetId="4">[4]DAT2!#REF!</definedName>
    <definedName name="DESAMP">[5]DAT2!#REF!</definedName>
    <definedName name="DISTRI" localSheetId="1">#REF!</definedName>
    <definedName name="DISTRI" localSheetId="2">#REF!</definedName>
    <definedName name="DISTRI" localSheetId="3">#REF!</definedName>
    <definedName name="DISTRI" localSheetId="4">#REF!</definedName>
    <definedName name="DISTRI">#REF!</definedName>
    <definedName name="DOTA" localSheetId="1">[1]DAT2!#REF!</definedName>
    <definedName name="DOTA" localSheetId="2">[2]DAT2!#REF!</definedName>
    <definedName name="DOTA" localSheetId="3">[3]DAT2!#REF!</definedName>
    <definedName name="DOTA" localSheetId="4">[4]DAT2!#REF!</definedName>
    <definedName name="DOTA">[5]DAT2!#REF!</definedName>
    <definedName name="ELGUA" localSheetId="1">[1]DAT2!#REF!</definedName>
    <definedName name="ELGUA" localSheetId="2">[2]DAT2!#REF!</definedName>
    <definedName name="ELGUA" localSheetId="3">[3]DAT2!#REF!</definedName>
    <definedName name="ELGUA" localSheetId="4">[4]DAT2!#REF!</definedName>
    <definedName name="ELGUA">[5]DAT2!#REF!</definedName>
    <definedName name="ESCAZ" localSheetId="1">[1]DAT2!#REF!</definedName>
    <definedName name="ESCAZ" localSheetId="2">[2]DAT2!#REF!</definedName>
    <definedName name="ESCAZ" localSheetId="3">[3]DAT2!#REF!</definedName>
    <definedName name="ESCAZ" localSheetId="4">[4]DAT2!#REF!</definedName>
    <definedName name="ESCAZ">[5]DAT2!#REF!</definedName>
    <definedName name="ESPA" localSheetId="1">[1]DAT2!#REF!</definedName>
    <definedName name="ESPA" localSheetId="2">[2]DAT2!#REF!</definedName>
    <definedName name="ESPA" localSheetId="3">[3]DAT2!#REF!</definedName>
    <definedName name="ESPA" localSheetId="4">[4]DAT2!#REF!</definedName>
    <definedName name="ESPA">[5]DAT2!#REF!</definedName>
    <definedName name="FLOR" localSheetId="1">[1]DAT2!#REF!</definedName>
    <definedName name="FLOR" localSheetId="2">[2]DAT2!#REF!</definedName>
    <definedName name="FLOR" localSheetId="3">[3]DAT2!#REF!</definedName>
    <definedName name="FLOR" localSheetId="4">[4]DAT2!#REF!</definedName>
    <definedName name="FLOR">[5]DAT2!#REF!</definedName>
    <definedName name="GARAB" localSheetId="1">[1]DAT2!#REF!</definedName>
    <definedName name="GARAB" localSheetId="2">[2]DAT2!#REF!</definedName>
    <definedName name="GARAB" localSheetId="3">[3]DAT2!#REF!</definedName>
    <definedName name="GARAB" localSheetId="4">[4]DAT2!#REF!</definedName>
    <definedName name="GARAB">[5]DAT2!#REF!</definedName>
    <definedName name="GOIC" localSheetId="1">[1]DAT2!#REF!</definedName>
    <definedName name="GOIC" localSheetId="2">[2]DAT2!#REF!</definedName>
    <definedName name="GOIC" localSheetId="3">[3]DAT2!#REF!</definedName>
    <definedName name="GOIC" localSheetId="4">[4]DAT2!#REF!</definedName>
    <definedName name="GOIC">[5]DAT2!#REF!</definedName>
    <definedName name="GOLF" localSheetId="1">[1]DAT2!#REF!</definedName>
    <definedName name="GOLF" localSheetId="2">[2]DAT2!#REF!</definedName>
    <definedName name="GOLF" localSheetId="3">[3]DAT2!#REF!</definedName>
    <definedName name="GOLF" localSheetId="4">[4]DAT2!#REF!</definedName>
    <definedName name="GOLF">[5]DAT2!#REF!</definedName>
    <definedName name="GREC" localSheetId="1">[1]DAT2!#REF!</definedName>
    <definedName name="GREC" localSheetId="2">[2]DAT2!#REF!</definedName>
    <definedName name="GREC" localSheetId="3">[3]DAT2!#REF!</definedName>
    <definedName name="GREC" localSheetId="4">[4]DAT2!#REF!</definedName>
    <definedName name="GREC">[5]DAT2!#REF!</definedName>
    <definedName name="GUAC" localSheetId="1">[1]DAT2!#REF!</definedName>
    <definedName name="GUAC" localSheetId="2">[2]DAT2!#REF!</definedName>
    <definedName name="GUAC" localSheetId="3">[3]DAT2!#REF!</definedName>
    <definedName name="GUAC" localSheetId="4">[4]DAT2!#REF!</definedName>
    <definedName name="GUAC">[5]DAT2!#REF!</definedName>
    <definedName name="GUATU" localSheetId="1">[1]DAT2!#REF!</definedName>
    <definedName name="GUATU" localSheetId="2">[2]DAT2!#REF!</definedName>
    <definedName name="GUATU" localSheetId="3">[3]DAT2!#REF!</definedName>
    <definedName name="GUATU" localSheetId="4">[4]DAT2!#REF!</definedName>
    <definedName name="GUATU">[5]DAT2!#REF!</definedName>
    <definedName name="HERED" localSheetId="1">[1]DAT2!#REF!</definedName>
    <definedName name="HERED" localSheetId="2">[2]DAT2!#REF!</definedName>
    <definedName name="HERED" localSheetId="3">[3]DAT2!#REF!</definedName>
    <definedName name="HERED" localSheetId="4">[4]DAT2!#REF!</definedName>
    <definedName name="HERED">[5]DAT2!#REF!</definedName>
    <definedName name="HOJA" localSheetId="1">[1]DAT2!#REF!</definedName>
    <definedName name="HOJA" localSheetId="2">[2]DAT2!#REF!</definedName>
    <definedName name="HOJA" localSheetId="3">[3]DAT2!#REF!</definedName>
    <definedName name="HOJA" localSheetId="4">[4]DAT2!#REF!</definedName>
    <definedName name="HOJA">[5]DAT2!#REF!</definedName>
    <definedName name="JE">[5]!Tabla103[#All]</definedName>
    <definedName name="jes">[5]!Tabla103[#All]</definedName>
    <definedName name="JIME" localSheetId="1">[1]DAT2!#REF!</definedName>
    <definedName name="JIME" localSheetId="2">[2]DAT2!#REF!</definedName>
    <definedName name="JIME" localSheetId="3">[3]DAT2!#REF!</definedName>
    <definedName name="JIME" localSheetId="4">[4]DAT2!#REF!</definedName>
    <definedName name="JIME">[5]DAT2!#REF!</definedName>
    <definedName name="LACRU" localSheetId="1">[1]DAT2!#REF!</definedName>
    <definedName name="LACRU" localSheetId="2">[2]DAT2!#REF!</definedName>
    <definedName name="LACRU" localSheetId="3">[3]DAT2!#REF!</definedName>
    <definedName name="LACRU" localSheetId="4">[4]DAT2!#REF!</definedName>
    <definedName name="LACRU">[5]DAT2!#REF!</definedName>
    <definedName name="LAUN" localSheetId="1">[1]DAT2!#REF!</definedName>
    <definedName name="LAUN" localSheetId="2">[2]DAT2!#REF!</definedName>
    <definedName name="LAUN" localSheetId="3">[3]DAT2!#REF!</definedName>
    <definedName name="LAUN" localSheetId="4">[4]DAT2!#REF!</definedName>
    <definedName name="LAUN">[5]DAT2!#REF!</definedName>
    <definedName name="LEO" localSheetId="1">[1]DAT1!#REF!</definedName>
    <definedName name="LEO" localSheetId="2">[2]DAT1!#REF!</definedName>
    <definedName name="LEO" localSheetId="3">[3]DAT1!#REF!</definedName>
    <definedName name="LEO" localSheetId="4">[4]DAT1!#REF!</definedName>
    <definedName name="LEO">[5]DAT1!#REF!</definedName>
    <definedName name="LIB" localSheetId="1">[1]DAT2!#REF!</definedName>
    <definedName name="LIB" localSheetId="2">[2]DAT2!#REF!</definedName>
    <definedName name="LIB" localSheetId="3">[3]DAT2!#REF!</definedName>
    <definedName name="LIB" localSheetId="4">[4]DAT2!#REF!</definedName>
    <definedName name="LIB">[5]DAT2!#REF!</definedName>
    <definedName name="LIM" localSheetId="1">[1]DAT2!#REF!</definedName>
    <definedName name="LIM" localSheetId="2">[2]DAT2!#REF!</definedName>
    <definedName name="LIM" localSheetId="3">[3]DAT2!#REF!</definedName>
    <definedName name="LIM" localSheetId="4">[4]DAT2!#REF!</definedName>
    <definedName name="LIM">[5]DAT2!#REF!</definedName>
    <definedName name="LOSCHI" localSheetId="1">[1]DAT2!#REF!</definedName>
    <definedName name="LOSCHI" localSheetId="2">[2]DAT2!#REF!</definedName>
    <definedName name="LOSCHI" localSheetId="3">[3]DAT2!#REF!</definedName>
    <definedName name="LOSCHI" localSheetId="4">[4]DAT2!#REF!</definedName>
    <definedName name="LOSCHI">[5]DAT2!#REF!</definedName>
    <definedName name="MAT" localSheetId="1">[1]DAT2!#REF!</definedName>
    <definedName name="MAT" localSheetId="2">[2]DAT2!#REF!</definedName>
    <definedName name="MAT" localSheetId="3">[3]DAT2!#REF!</definedName>
    <definedName name="MAT" localSheetId="4">[4]DAT2!#REF!</definedName>
    <definedName name="MAT">[5]DAT2!#REF!</definedName>
    <definedName name="MONTEV" localSheetId="1">[1]DAT2!#REF!</definedName>
    <definedName name="MONTEV" localSheetId="2">[2]DAT2!#REF!</definedName>
    <definedName name="MONTEV" localSheetId="3">[3]DAT2!#REF!</definedName>
    <definedName name="MONTEV" localSheetId="4">[4]DAT2!#REF!</definedName>
    <definedName name="MONTEV">[5]DAT2!#REF!</definedName>
    <definedName name="MONTOC" localSheetId="1">[1]DAT2!#REF!</definedName>
    <definedName name="MONTOC" localSheetId="2">[2]DAT2!#REF!</definedName>
    <definedName name="MONTOC" localSheetId="3">[3]DAT2!#REF!</definedName>
    <definedName name="MONTOC" localSheetId="4">[4]DAT2!#REF!</definedName>
    <definedName name="MONTOC">[5]DAT2!#REF!</definedName>
    <definedName name="MONTOR" localSheetId="1">[1]DAT2!#REF!</definedName>
    <definedName name="MONTOR" localSheetId="2">[2]DAT2!#REF!</definedName>
    <definedName name="MONTOR" localSheetId="3">[3]DAT2!#REF!</definedName>
    <definedName name="MONTOR" localSheetId="4">[4]DAT2!#REF!</definedName>
    <definedName name="MONTOR">[5]DAT2!#REF!</definedName>
    <definedName name="MOR" localSheetId="1">[1]DAT2!#REF!</definedName>
    <definedName name="MOR" localSheetId="2">[2]DAT2!#REF!</definedName>
    <definedName name="MOR" localSheetId="3">[3]DAT2!#REF!</definedName>
    <definedName name="MOR" localSheetId="4">[4]DAT2!#REF!</definedName>
    <definedName name="MOR">[5]DAT2!#REF!</definedName>
    <definedName name="MORAV" localSheetId="1">[1]DAT2!#REF!</definedName>
    <definedName name="MORAV" localSheetId="2">[2]DAT2!#REF!</definedName>
    <definedName name="MORAV" localSheetId="3">[3]DAT2!#REF!</definedName>
    <definedName name="MORAV" localSheetId="4">[4]DAT2!#REF!</definedName>
    <definedName name="MORAV">[5]DAT2!#REF!</definedName>
    <definedName name="NAND" localSheetId="1">[1]DAT2!#REF!</definedName>
    <definedName name="NAND" localSheetId="2">[2]DAT2!#REF!</definedName>
    <definedName name="NAND" localSheetId="3">[3]DAT2!#REF!</definedName>
    <definedName name="NAND" localSheetId="4">[4]DAT2!#REF!</definedName>
    <definedName name="NAND">[5]DAT2!#REF!</definedName>
    <definedName name="NARA" localSheetId="1">[1]DAT2!#REF!</definedName>
    <definedName name="NARA" localSheetId="2">[2]DAT2!#REF!</definedName>
    <definedName name="NARA" localSheetId="3">[3]DAT2!#REF!</definedName>
    <definedName name="NARA" localSheetId="4">[4]DAT2!#REF!</definedName>
    <definedName name="NARA">[5]DAT2!#REF!</definedName>
    <definedName name="NICO" localSheetId="1">[1]DAT2!#REF!</definedName>
    <definedName name="NICO" localSheetId="2">[2]DAT2!#REF!</definedName>
    <definedName name="NICO" localSheetId="3">[3]DAT2!#REF!</definedName>
    <definedName name="NICO" localSheetId="4">[4]DAT2!#REF!</definedName>
    <definedName name="NICO">[5]DAT2!#REF!</definedName>
    <definedName name="OREAMU" localSheetId="1">[1]DAT2!#REF!</definedName>
    <definedName name="OREAMU" localSheetId="2">[2]DAT2!#REF!</definedName>
    <definedName name="OREAMU" localSheetId="3">[3]DAT2!#REF!</definedName>
    <definedName name="OREAMU" localSheetId="4">[4]DAT2!#REF!</definedName>
    <definedName name="OREAMU">[5]DAT2!#REF!</definedName>
    <definedName name="OROT" localSheetId="1">[1]DAT2!#REF!</definedName>
    <definedName name="OROT" localSheetId="2">[2]DAT2!#REF!</definedName>
    <definedName name="OROT" localSheetId="3">[3]DAT2!#REF!</definedName>
    <definedName name="OROT" localSheetId="4">[4]DAT2!#REF!</definedName>
    <definedName name="OROT">[5]DAT2!#REF!</definedName>
    <definedName name="OSA" localSheetId="1">[1]DAT2!#REF!</definedName>
    <definedName name="OSA" localSheetId="2">[2]DAT2!#REF!</definedName>
    <definedName name="OSA" localSheetId="3">[3]DAT2!#REF!</definedName>
    <definedName name="OSA" localSheetId="4">[4]DAT2!#REF!</definedName>
    <definedName name="OSA">[5]DAT2!#REF!</definedName>
    <definedName name="PALMA" localSheetId="1">[1]DAT2!#REF!</definedName>
    <definedName name="PALMA" localSheetId="2">[2]DAT2!#REF!</definedName>
    <definedName name="PALMA" localSheetId="3">[3]DAT2!#REF!</definedName>
    <definedName name="PALMA" localSheetId="4">[4]DAT2!#REF!</definedName>
    <definedName name="PALMA">[5]DAT2!#REF!</definedName>
    <definedName name="PARA" localSheetId="1">[1]DAT2!#REF!</definedName>
    <definedName name="PARA" localSheetId="2">[2]DAT2!#REF!</definedName>
    <definedName name="PARA" localSheetId="3">[3]DAT2!#REF!</definedName>
    <definedName name="PARA" localSheetId="4">[4]DAT2!#REF!</definedName>
    <definedName name="PARA">[5]DAT2!#REF!</definedName>
    <definedName name="PARR" localSheetId="1">[1]DAT2!#REF!</definedName>
    <definedName name="PARR" localSheetId="2">[2]DAT2!#REF!</definedName>
    <definedName name="PARR" localSheetId="3">[3]DAT2!#REF!</definedName>
    <definedName name="PARR" localSheetId="4">[4]DAT2!#REF!</definedName>
    <definedName name="PARR">[5]DAT2!#REF!</definedName>
    <definedName name="POA" localSheetId="1">[1]DAT2!#REF!</definedName>
    <definedName name="POA" localSheetId="2">[2]DAT2!#REF!</definedName>
    <definedName name="POA" localSheetId="3">[3]DAT2!#REF!</definedName>
    <definedName name="POA" localSheetId="4">[4]DAT2!#REF!</definedName>
    <definedName name="POA">[5]DAT2!#REF!</definedName>
    <definedName name="POCOC" localSheetId="1">[1]DAT2!#REF!</definedName>
    <definedName name="POCOC" localSheetId="2">[2]DAT2!#REF!</definedName>
    <definedName name="POCOC" localSheetId="3">[3]DAT2!#REF!</definedName>
    <definedName name="POCOC" localSheetId="4">[4]DAT2!#REF!</definedName>
    <definedName name="POCOC">[5]DAT2!#REF!</definedName>
    <definedName name="PUERTOJ" localSheetId="1">[1]DAT2!#REF!</definedName>
    <definedName name="PUERTOJ" localSheetId="2">[2]DAT2!#REF!</definedName>
    <definedName name="PUERTOJ" localSheetId="3">[3]DAT2!#REF!</definedName>
    <definedName name="PUERTOJ" localSheetId="4">[4]DAT2!#REF!</definedName>
    <definedName name="PUERTOJ">[5]DAT2!#REF!</definedName>
    <definedName name="PUNTAR" localSheetId="1">[1]DAT2!#REF!</definedName>
    <definedName name="PUNTAR" localSheetId="2">[2]DAT2!#REF!</definedName>
    <definedName name="PUNTAR" localSheetId="3">[3]DAT2!#REF!</definedName>
    <definedName name="PUNTAR" localSheetId="4">[4]DAT2!#REF!</definedName>
    <definedName name="PUNTAR">[5]DAT2!#REF!</definedName>
    <definedName name="PURIS" localSheetId="1">[1]DAT2!#REF!</definedName>
    <definedName name="PURIS" localSheetId="2">[2]DAT2!#REF!</definedName>
    <definedName name="PURIS" localSheetId="3">[3]DAT2!#REF!</definedName>
    <definedName name="PURIS" localSheetId="4">[4]DAT2!#REF!</definedName>
    <definedName name="PURIS">[5]DAT2!#REF!</definedName>
    <definedName name="PZ" localSheetId="1">[1]DAT2!#REF!</definedName>
    <definedName name="PZ" localSheetId="2">[2]DAT2!#REF!</definedName>
    <definedName name="PZ" localSheetId="3">[3]DAT2!#REF!</definedName>
    <definedName name="PZ" localSheetId="4">[4]DAT2!#REF!</definedName>
    <definedName name="PZ">[5]DAT2!#REF!</definedName>
    <definedName name="QUEP" localSheetId="1">[1]DAT2!#REF!</definedName>
    <definedName name="QUEP" localSheetId="2">[2]DAT2!#REF!</definedName>
    <definedName name="QUEP" localSheetId="3">[3]DAT2!#REF!</definedName>
    <definedName name="QUEP" localSheetId="4">[4]DAT2!#REF!</definedName>
    <definedName name="QUEP">[5]DAT2!#REF!</definedName>
    <definedName name="RIOCU" localSheetId="1">[1]DAT2!#REF!</definedName>
    <definedName name="RIOCU" localSheetId="2">[2]DAT2!#REF!</definedName>
    <definedName name="RIOCU" localSheetId="3">[3]DAT2!#REF!</definedName>
    <definedName name="RIOCU" localSheetId="4">[4]DAT2!#REF!</definedName>
    <definedName name="RIOCU">[5]DAT2!#REF!</definedName>
    <definedName name="SANCAR" localSheetId="1">[1]DAT2!#REF!</definedName>
    <definedName name="SANCAR" localSheetId="2">[2]DAT2!#REF!</definedName>
    <definedName name="SANCAR" localSheetId="3">[3]DAT2!#REF!</definedName>
    <definedName name="SANCAR" localSheetId="4">[4]DAT2!#REF!</definedName>
    <definedName name="SANCAR">[5]DAT2!#REF!</definedName>
    <definedName name="SANISI" localSheetId="1">[1]DAT2!#REF!</definedName>
    <definedName name="SANISI" localSheetId="2">[2]DAT2!#REF!</definedName>
    <definedName name="SANISI" localSheetId="3">[3]DAT2!#REF!</definedName>
    <definedName name="SANISI" localSheetId="4">[4]DAT2!#REF!</definedName>
    <definedName name="SANISI">[5]DAT2!#REF!</definedName>
    <definedName name="SANMAT" localSheetId="1">[1]DAT2!#REF!</definedName>
    <definedName name="SANMAT" localSheetId="2">[2]DAT2!#REF!</definedName>
    <definedName name="SANMAT" localSheetId="3">[3]DAT2!#REF!</definedName>
    <definedName name="SANMAT" localSheetId="4">[4]DAT2!#REF!</definedName>
    <definedName name="SANMAT">[5]DAT2!#REF!</definedName>
    <definedName name="SANPA" localSheetId="1">[1]DAT2!#REF!</definedName>
    <definedName name="SANPA" localSheetId="2">[2]DAT2!#REF!</definedName>
    <definedName name="SANPA" localSheetId="3">[3]DAT2!#REF!</definedName>
    <definedName name="SANPA" localSheetId="4">[4]DAT2!#REF!</definedName>
    <definedName name="SANPA">[5]DAT2!#REF!</definedName>
    <definedName name="SANRA" localSheetId="1">[1]DAT2!#REF!</definedName>
    <definedName name="SANRA" localSheetId="2">[2]DAT2!#REF!</definedName>
    <definedName name="SANRA" localSheetId="3">[3]DAT2!#REF!</definedName>
    <definedName name="SANRA" localSheetId="4">[4]DAT2!#REF!</definedName>
    <definedName name="SANRA">[5]DAT2!#REF!</definedName>
    <definedName name="SANRAF" localSheetId="1">[1]DAT2!#REF!</definedName>
    <definedName name="SANRAF" localSheetId="2">[2]DAT2!#REF!</definedName>
    <definedName name="SANRAF" localSheetId="3">[3]DAT2!#REF!</definedName>
    <definedName name="SANRAF" localSheetId="4">[4]DAT2!#REF!</definedName>
    <definedName name="SANRAF">[5]DAT2!#REF!</definedName>
    <definedName name="SANTA" localSheetId="1">[1]DAT2!#REF!</definedName>
    <definedName name="SANTA" localSheetId="2">[2]DAT2!#REF!</definedName>
    <definedName name="SANTA" localSheetId="3">[3]DAT2!#REF!</definedName>
    <definedName name="SANTA" localSheetId="4">[4]DAT2!#REF!</definedName>
    <definedName name="SANTA">[5]DAT2!#REF!</definedName>
    <definedName name="SANTABA" localSheetId="1">[1]DAT2!#REF!</definedName>
    <definedName name="SANTABA" localSheetId="2">[2]DAT2!#REF!</definedName>
    <definedName name="SANTABA" localSheetId="3">[3]DAT2!#REF!</definedName>
    <definedName name="SANTABA" localSheetId="4">[4]DAT2!#REF!</definedName>
    <definedName name="SANTABA">[5]DAT2!#REF!</definedName>
    <definedName name="SANTACRU" localSheetId="1">[1]DAT2!#REF!</definedName>
    <definedName name="SANTACRU" localSheetId="2">[2]DAT2!#REF!</definedName>
    <definedName name="SANTACRU" localSheetId="3">[3]DAT2!#REF!</definedName>
    <definedName name="SANTACRU" localSheetId="4">[4]DAT2!#REF!</definedName>
    <definedName name="SANTACRU">[5]DAT2!#REF!</definedName>
    <definedName name="SANTODO" localSheetId="1">[1]DAT2!#REF!</definedName>
    <definedName name="SANTODO" localSheetId="2">[2]DAT2!#REF!</definedName>
    <definedName name="SANTODO" localSheetId="3">[3]DAT2!#REF!</definedName>
    <definedName name="SANTODO" localSheetId="4">[4]DAT2!#REF!</definedName>
    <definedName name="SANTODO">[5]DAT2!#REF!</definedName>
    <definedName name="SAR" localSheetId="1">[1]DAT2!#REF!</definedName>
    <definedName name="SAR" localSheetId="2">[2]DAT2!#REF!</definedName>
    <definedName name="SAR" localSheetId="3">[3]DAT2!#REF!</definedName>
    <definedName name="SAR" localSheetId="4">[4]DAT2!#REF!</definedName>
    <definedName name="SAR">[5]DAT2!#REF!</definedName>
    <definedName name="SARAP" localSheetId="1">[1]DAT2!#REF!</definedName>
    <definedName name="SARAP" localSheetId="2">[2]DAT2!#REF!</definedName>
    <definedName name="SARAP" localSheetId="3">[3]DAT2!#REF!</definedName>
    <definedName name="SARAP" localSheetId="4">[4]DAT2!#REF!</definedName>
    <definedName name="SARAP">[5]DAT2!#REF!</definedName>
    <definedName name="SIQUIRR" localSheetId="1">[1]DAT2!#REF!</definedName>
    <definedName name="SIQUIRR" localSheetId="2">[2]DAT2!#REF!</definedName>
    <definedName name="SIQUIRR" localSheetId="3">[3]DAT2!#REF!</definedName>
    <definedName name="SIQUIRR" localSheetId="4">[4]DAT2!#REF!</definedName>
    <definedName name="SIQUIRR">[5]DAT2!#REF!</definedName>
    <definedName name="TALAMA" localSheetId="1">[1]DAT2!#REF!</definedName>
    <definedName name="TALAMA" localSheetId="2">[2]DAT2!#REF!</definedName>
    <definedName name="TALAMA" localSheetId="3">[3]DAT2!#REF!</definedName>
    <definedName name="TALAMA" localSheetId="4">[4]DAT2!#REF!</definedName>
    <definedName name="TALAMA">[5]DAT2!#REF!</definedName>
    <definedName name="TARRAZ" localSheetId="1">[1]DAT2!#REF!</definedName>
    <definedName name="TARRAZ" localSheetId="2">[2]DAT2!#REF!</definedName>
    <definedName name="TARRAZ" localSheetId="3">[3]DAT2!#REF!</definedName>
    <definedName name="TARRAZ" localSheetId="4">[4]DAT2!#REF!</definedName>
    <definedName name="TARRAZ">[5]DAT2!#REF!</definedName>
    <definedName name="TIB" localSheetId="1">[1]DAT2!#REF!</definedName>
    <definedName name="TIB" localSheetId="2">[2]DAT2!#REF!</definedName>
    <definedName name="TIB" localSheetId="3">[3]DAT2!#REF!</definedName>
    <definedName name="TIB" localSheetId="4">[4]DAT2!#REF!</definedName>
    <definedName name="TIB">[5]DAT2!#REF!</definedName>
    <definedName name="TILAR" localSheetId="1">[1]DAT2!#REF!</definedName>
    <definedName name="TILAR" localSheetId="2">[2]DAT2!#REF!</definedName>
    <definedName name="TILAR" localSheetId="3">[3]DAT2!#REF!</definedName>
    <definedName name="TILAR" localSheetId="4">[4]DAT2!#REF!</definedName>
    <definedName name="TILAR">[5]DAT2!#REF!</definedName>
    <definedName name="TURR" localSheetId="1">[1]DAT2!#REF!</definedName>
    <definedName name="TURR" localSheetId="2">[2]DAT2!#REF!</definedName>
    <definedName name="TURR" localSheetId="3">[3]DAT2!#REF!</definedName>
    <definedName name="TURR" localSheetId="4">[4]DAT2!#REF!</definedName>
    <definedName name="TURR">[5]DAT2!#REF!</definedName>
    <definedName name="TURRI" localSheetId="1">[1]DAT2!#REF!</definedName>
    <definedName name="TURRI" localSheetId="2">[2]DAT2!#REF!</definedName>
    <definedName name="TURRI" localSheetId="3">[3]DAT2!#REF!</definedName>
    <definedName name="TURRI" localSheetId="4">[4]DAT2!#REF!</definedName>
    <definedName name="TURRI">[5]DAT2!#REF!</definedName>
    <definedName name="U">[5]!Tabla103[#All]</definedName>
    <definedName name="UPA" localSheetId="1">[1]DAT2!#REF!</definedName>
    <definedName name="UPA" localSheetId="2">[2]DAT2!#REF!</definedName>
    <definedName name="UPA" localSheetId="3">[3]DAT2!#REF!</definedName>
    <definedName name="UPA" localSheetId="4">[4]DAT2!#REF!</definedName>
    <definedName name="UPA">[5]DAT2!#REF!</definedName>
    <definedName name="uu">[5]!Tabla103[#All]</definedName>
    <definedName name="uum">[5]!Tabla103[#All]</definedName>
    <definedName name="uuu">[5]!Tabla103[#All]</definedName>
    <definedName name="VASQUE" localSheetId="1">[1]DAT2!#REF!</definedName>
    <definedName name="VASQUE" localSheetId="2">[2]DAT2!#REF!</definedName>
    <definedName name="VASQUE" localSheetId="3">[3]DAT2!#REF!</definedName>
    <definedName name="VASQUE" localSheetId="4">[4]DAT2!#REF!</definedName>
    <definedName name="VASQUE">[5]DAT2!#REF!</definedName>
    <definedName name="ZAR" localSheetId="1">[1]DAT2!#REF!</definedName>
    <definedName name="ZAR" localSheetId="2">[2]DAT2!#REF!</definedName>
    <definedName name="ZAR" localSheetId="3">[3]DAT2!#REF!</definedName>
    <definedName name="ZAR" localSheetId="4">[4]DAT2!#REF!</definedName>
    <definedName name="ZAR">[5]DAT2!#REF!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6" i="4" l="1"/>
  <c r="C5" i="5" s="1"/>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C40" i="3"/>
  <c r="C4" i="5" s="1"/>
  <c r="D39" i="3"/>
  <c r="D3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 i="3"/>
  <c r="D3" i="3"/>
  <c r="C37" i="2"/>
  <c r="C3" i="5" s="1"/>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C37" i="1"/>
  <c r="C2" i="5" s="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C6" i="5" l="1"/>
  <c r="D36" i="4"/>
  <c r="D40" i="3"/>
  <c r="D4" i="5" s="1"/>
  <c r="E4" i="5" s="1"/>
  <c r="D37" i="2"/>
  <c r="D37" i="1"/>
  <c r="D37" i="4" l="1"/>
  <c r="D5" i="5"/>
  <c r="E5" i="5" s="1"/>
  <c r="D41" i="3"/>
  <c r="D38" i="2"/>
  <c r="D3" i="5"/>
  <c r="E3" i="5" s="1"/>
  <c r="D38" i="1"/>
  <c r="D2" i="5"/>
  <c r="E2" i="5" l="1"/>
  <c r="D6" i="5"/>
  <c r="E6" i="5" s="1"/>
</calcChain>
</file>

<file path=xl/sharedStrings.xml><?xml version="1.0" encoding="utf-8"?>
<sst xmlns="http://schemas.openxmlformats.org/spreadsheetml/2006/main" count="249" uniqueCount="76">
  <si>
    <t>D88 LIMÓN</t>
  </si>
  <si>
    <t>PROGRAMA</t>
  </si>
  <si>
    <t>META</t>
  </si>
  <si>
    <t xml:space="preserve">AVANCE </t>
  </si>
  <si>
    <t>ENERO</t>
  </si>
  <si>
    <t>FEBRERO</t>
  </si>
  <si>
    <t>MARZO</t>
  </si>
  <si>
    <t>ABRIL</t>
  </si>
  <si>
    <t>MAYO</t>
  </si>
  <si>
    <t>JUNIO</t>
  </si>
  <si>
    <t>JULIO</t>
  </si>
  <si>
    <t>AGOSTO</t>
  </si>
  <si>
    <t>SEPTIEMBRE</t>
  </si>
  <si>
    <t>OCTUBRE</t>
  </si>
  <si>
    <t>NOVIEMBRE</t>
  </si>
  <si>
    <t>DICIEMBRE</t>
  </si>
  <si>
    <t>Porcentual</t>
  </si>
  <si>
    <t>Realizar 2 procesos formativos (Cursos de la oferta de los programas DARE - GREAT - MPAS) en Centros Educativos, Uno por año, dentro de los distritos que contemplan las áreas georreferenciadas del informe territorial de la Estrategia Sembremos Seguridad 2024. En caso de no contar con instructor acreditado DARE, se puede cumplir la meta con las charlas de Habilidades para la vida DARE, con el aval del Coordinador Nacional.</t>
  </si>
  <si>
    <t>GREAT/MPAS/DARE</t>
  </si>
  <si>
    <t>Dos estrategias de divulgación (Por medio de brochures, post o imágenes en redes sociales) en el tema del procedimiento para realizar una "Denuncia de ventas de drogas"  dirigidas a las comunidades integradas al Programa de Seguridad Comunitaria que se localicen, en los distritos que contemplan las área georreferenciadas del informe territorial de la Estrategia Sembremos Seguridad 2024, una por año.</t>
  </si>
  <si>
    <t>PSCC</t>
  </si>
  <si>
    <t>Cuatro capacitaciones, en el tema de "Denuncia a búnkers", dirigidas a las comunidades integradas al Programa de Seguridad Comunitaria que se localicen, en los distritos que contemplan las área georreferenciadas del informe territorial de la Estrategia Sembremos Seguridad 2024, dos por año, una por semestre.</t>
  </si>
  <si>
    <t>Dos estrategias de divulgación (Por medio de brochures, post o imágenes en redes sociales) en el tema del procedimiento para realizar una "Denuncia de búnkers"  dirigidas a las comunidades integradas al Programa de Seguridad Comunitaria que se localicen, en los distritos que contemplan las área georreferenciadas del informe territorial de la Estrategia Sembremos Seguridad 2024, una por año.</t>
  </si>
  <si>
    <t>Cuatro Charlas de Cultura Preventiva (dos por año) con énfasis en temas de estafa dirigidas a las comunidades integradas al Programa de Seguridad Comunitaria, que se localicen, en los distritos que contemplan las área georreferenciadas del informe territorial de la Estrategia Sembremos Seguridad 2024, dos por año, una por semestre.</t>
  </si>
  <si>
    <t>Dos estrategias de divulgación (Por medio de brochures, post o imágenes en redes sociales) en el tema del procedimiento para realizar una "Denuncia ante Estafas"  dirigidas a las comunidades integradas al Programa de Seguridad Comunitaria, que se localicen, en los distritos que contemplan las área georreferenciadas del informe territorial de la Estrategia Sembremos Seguridad 2024, una por año.</t>
  </si>
  <si>
    <t>D90 SIQUIRRES</t>
  </si>
  <si>
    <t>Cuatro actividades de recuperación de espacios públicos, con las comunidades integradas al Programa de Seguridad Comunitaria, que se localicen, en los distritos que contemplan las área georreferenciadas del informe territorial de la Estrategia Sembremos Seguridad 2024, dos por año, una por semestre.</t>
  </si>
  <si>
    <t>Dos estrategias de divulgación (Por medio de brochures, post o imágenes en redes sociales) en el tema del procedimiento para realizar una "Denuncia de  receptación"  dirigidas a las comunidades integradas al Programa de Seguridad Comunitaria, que se localicen, dentro del área georreferenciada del informe territorial de la Estrategia Sembremos Seguridad 2024, una por año.</t>
  </si>
  <si>
    <t>D91 TALAMANCA</t>
  </si>
  <si>
    <t>Cubrir 2 procesos formativos en Centros Educativos (uno por año) ubicados dentro de los distritos que contemplan las áreas georreferenciadas del informe territorial de la Estrategia Sembremos Seguridad 2024, con los cursos del Programa DARE: , Curso primaria. Curso Secundaria; un nivel completo por centro educativo, por semestre. En caso de no contar con instructor acreditado, se puede cumplir la meta con las charlas de Habilidades para la vida DARE, con el aval del Coordinador Nacional.</t>
  </si>
  <si>
    <t>DARE</t>
  </si>
  <si>
    <t>Cuatro comercios capacitados e integrados al Programa  de Seguridad Comercial que se localicen, en los distritos que contemplan las área georreferenciadas del informe territorial de la Estrategia Sembremos Seguridad 2024, dos por año, una por semestre.</t>
  </si>
  <si>
    <t>Cuatro estrategias de divulgación (Por medio de brochures, post o imágenes en redes sociales) diseñadas por la Estrategia de divulgación de la Dirección de Programas Policiales Preventivos, en el tema de "Prevención del Consumo de alcohol en vía pública" dirigidas a las comunidades integradas al Programa de Seguridad Comunitaria y a los comercios integrados al Programa de Seguridad Comercial que se localicen, en los distritos que contemplan las área georreferenciadas del informe territorial de la Estrategia Sembremos Seguridad 2024, dos por año.</t>
  </si>
  <si>
    <t>Dos estrategias de divulgación (Por medio de brochures, post o imágenes en redes sociales) en el tema del procedimiento para realizar una "Denuncia de ventas de drogas"  diseñadas por la Estrategia de divulgación de la Dirección de Programas Policiales Preventivos dirigidas a las comunidades integradas al Programa de Seguridad Comunitaria que se localicen, en los distritos que contemplan las área georreferenciadas del informe territorial de la Estrategia Sembremos Seguridad 2024, una por año.</t>
  </si>
  <si>
    <t>D92 MATINA</t>
  </si>
  <si>
    <t>Delegación</t>
  </si>
  <si>
    <t>LIMÓN</t>
  </si>
  <si>
    <t>SIQUIRRES</t>
  </si>
  <si>
    <t>TALAMANCA</t>
  </si>
  <si>
    <t>MATINA</t>
  </si>
  <si>
    <t>D88</t>
  </si>
  <si>
    <t>D90</t>
  </si>
  <si>
    <t>D91</t>
  </si>
  <si>
    <t>D92</t>
  </si>
  <si>
    <t>AVANCE</t>
  </si>
  <si>
    <t>TOTALES</t>
  </si>
  <si>
    <t>PLAN DE POLITICA LOCAL E IMPLEMENTACIÓN DE LA POLITICA LOCAL DE SEGURIDAD</t>
  </si>
  <si>
    <t>Conformación Comité</t>
  </si>
  <si>
    <t>Conformación de Comercio</t>
  </si>
  <si>
    <t>Reuniones-Jefaturas</t>
  </si>
  <si>
    <t>Campañas de divulgación</t>
  </si>
  <si>
    <t>Capacitaciones</t>
  </si>
  <si>
    <t>Charlas</t>
  </si>
  <si>
    <t>Talleres</t>
  </si>
  <si>
    <t>Sensibilización</t>
  </si>
  <si>
    <t>Actividades deportivas</t>
  </si>
  <si>
    <t>Cine en mi Barrio</t>
  </si>
  <si>
    <t>Cívico-policial</t>
  </si>
  <si>
    <t>Actividades culturales</t>
  </si>
  <si>
    <t>Ferias</t>
  </si>
  <si>
    <t>Stand informativo</t>
  </si>
  <si>
    <t>Visitas</t>
  </si>
  <si>
    <t>Recuperación del espacio público</t>
  </si>
  <si>
    <t>Convocatoria de Mesas Locales</t>
  </si>
  <si>
    <t>Exposición Informe Territorial ESS</t>
  </si>
  <si>
    <t>Primera Sesión de Trabajo</t>
  </si>
  <si>
    <t>Segunda Sesión - Conformación Secretaria Técnica</t>
  </si>
  <si>
    <t>Tercera Sesión</t>
  </si>
  <si>
    <t>Elaboracióin del Texto de la Política Local</t>
  </si>
  <si>
    <t>Revisión Técnica DPPP</t>
  </si>
  <si>
    <t>Revisión Area Legal Gobierno Local</t>
  </si>
  <si>
    <t>Incorporación de Observaciones</t>
  </si>
  <si>
    <t>Aval del Director Regional</t>
  </si>
  <si>
    <t>Presentación al Consejo Municipal</t>
  </si>
  <si>
    <t>Presentación ante la Comunidad por parte del Director Regional y Alcalde</t>
  </si>
  <si>
    <t>% AVANCE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</si>
</sst>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9"/>
      <color rgb="FF000000"/>
      <name val="Calibri"/>
      <family val="2"/>
    </font>
    <font>
      <b/>
      <sz val="9"/>
      <name val="Aptos Narrow"/>
      <family val="2"/>
      <scheme val="minor"/>
    </font>
    <font>
      <b/>
      <sz val="9"/>
      <color theme="1"/>
      <name val="Calibri"/>
      <family val="2"/>
    </font>
    <font>
      <sz val="11"/>
      <color rgb="FFFFC000"/>
      <name val="Aptos Narrow"/>
      <family val="2"/>
      <scheme val="minor"/>
    </font>
    <font>
      <sz val="11"/>
      <name val="Aptos Narrow"/>
      <family val="2"/>
      <scheme val="minor"/>
    </font>
    <font>
      <b/>
      <sz val="11"/>
      <color rgb="FFFFC000"/>
      <name val="Aptos Narrow"/>
      <family val="2"/>
      <scheme val="minor"/>
    </font>
    <font>
      <sz val="10"/>
      <color rgb="FF000000"/>
      <name val="Times New Roman"/>
      <family val="1"/>
    </font>
    <font>
      <b/>
      <sz val="9"/>
      <name val="Arial"/>
      <family val="2"/>
    </font>
  </fonts>
  <fills count="20">
    <fill>
      <patternFill patternType="none"/>
    </fill>
    <fill>
      <patternFill patternType="gray125"/>
    </fill>
    <fill>
      <patternFill patternType="solid">
        <fgColor theme="3"/>
        <bgColor indexed="64"/>
      </patternFill>
    </fill>
    <fill>
      <patternFill patternType="solid">
        <fgColor rgb="FFE2EFDA"/>
        <bgColor indexed="64"/>
      </patternFill>
    </fill>
    <fill>
      <patternFill patternType="solid">
        <fgColor rgb="FFDDEBF7"/>
        <bgColor indexed="64"/>
      </patternFill>
    </fill>
    <fill>
      <patternFill patternType="solid">
        <fgColor rgb="FFDEEAF6"/>
        <bgColor indexed="64"/>
      </patternFill>
    </fill>
    <fill>
      <patternFill patternType="solid">
        <fgColor theme="4" tint="0.79998168889431442"/>
        <bgColor indexed="64"/>
      </patternFill>
    </fill>
    <fill>
      <patternFill patternType="solid">
        <fgColor rgb="FFE2EFD9"/>
        <bgColor indexed="64"/>
      </patternFill>
    </fill>
    <fill>
      <patternFill patternType="solid">
        <fgColor theme="9" tint="0.79998168889431442"/>
        <bgColor indexed="64"/>
      </patternFill>
    </fill>
    <fill>
      <patternFill patternType="solid">
        <fgColor theme="4" tint="0.79995117038483843"/>
        <bgColor indexed="64"/>
      </patternFill>
    </fill>
    <fill>
      <patternFill patternType="solid">
        <fgColor theme="9" tint="0.79995117038483843"/>
        <bgColor indexed="64"/>
      </patternFill>
    </fill>
    <fill>
      <patternFill patternType="solid">
        <fgColor rgb="FFFBE4D5"/>
        <bgColor indexed="64"/>
      </patternFill>
    </fill>
    <fill>
      <patternFill patternType="solid">
        <fgColor theme="1"/>
        <bgColor indexed="64"/>
      </patternFill>
    </fill>
    <fill>
      <patternFill patternType="solid">
        <fgColor theme="0" tint="-0.34998626667073579"/>
        <bgColor indexed="64"/>
      </patternFill>
    </fill>
    <fill>
      <patternFill patternType="solid">
        <fgColor rgb="FFFFC000"/>
        <bgColor indexed="64"/>
      </patternFill>
    </fill>
    <fill>
      <patternFill patternType="solid">
        <fgColor theme="3" tint="-0.249977111117893"/>
        <bgColor indexed="64"/>
      </patternFill>
    </fill>
    <fill>
      <patternFill patternType="solid">
        <fgColor theme="5" tint="0.79995117038483843"/>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theme="0" tint="-0.14999847407452621"/>
        <bgColor indexed="64"/>
      </patternFill>
    </fill>
  </fills>
  <borders count="17">
    <border>
      <left/>
      <right/>
      <top/>
      <bottom/>
      <diagonal/>
    </border>
    <border>
      <left style="medium">
        <color theme="0"/>
      </left>
      <right/>
      <top style="medium">
        <color theme="0"/>
      </top>
      <bottom/>
      <diagonal/>
    </border>
    <border>
      <left style="medium">
        <color theme="0"/>
      </left>
      <right style="medium">
        <color theme="0"/>
      </right>
      <top style="medium">
        <color theme="0"/>
      </top>
      <bottom style="thin">
        <color theme="0"/>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medium">
        <color theme="0"/>
      </left>
      <right/>
      <top/>
      <bottom style="medium">
        <color indexed="64"/>
      </bottom>
      <diagonal/>
    </border>
    <border>
      <left style="medium">
        <color theme="0"/>
      </left>
      <right style="medium">
        <color theme="0"/>
      </right>
      <top style="thin">
        <color theme="0"/>
      </top>
      <bottom style="medium">
        <color theme="0"/>
      </bottom>
      <diagonal/>
    </border>
    <border>
      <left/>
      <right style="thin">
        <color indexed="64"/>
      </right>
      <top/>
      <bottom style="thin">
        <color indexed="64"/>
      </bottom>
      <diagonal/>
    </border>
    <border>
      <left style="medium">
        <color indexed="64"/>
      </left>
      <right/>
      <top style="thin">
        <color indexed="64"/>
      </top>
      <bottom/>
      <diagonal/>
    </border>
    <border>
      <left style="thin">
        <color theme="0"/>
      </left>
      <right style="medium">
        <color indexed="64"/>
      </right>
      <top style="thin">
        <color theme="0"/>
      </top>
      <bottom/>
      <diagonal/>
    </border>
    <border>
      <left style="medium">
        <color indexed="64"/>
      </left>
      <right/>
      <top/>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0" fillId="0" borderId="0"/>
  </cellStyleXfs>
  <cellXfs count="48">
    <xf numFmtId="0" fontId="0" fillId="0" borderId="0" xfId="0"/>
    <xf numFmtId="0" fontId="1" fillId="2" borderId="2" xfId="0" applyFont="1" applyFill="1" applyBorder="1" applyAlignment="1">
      <alignment horizontal="center"/>
    </xf>
    <xf numFmtId="0" fontId="0" fillId="0" borderId="0" xfId="0" applyProtection="1">
      <protection locked="0"/>
    </xf>
    <xf numFmtId="0" fontId="3" fillId="0" borderId="0" xfId="0" applyFont="1" applyProtection="1">
      <protection locked="0"/>
    </xf>
    <xf numFmtId="0" fontId="4" fillId="3" borderId="3" xfId="0" applyFont="1" applyFill="1" applyBorder="1" applyAlignment="1">
      <alignment horizontal="left" vertical="center" wrapText="1"/>
    </xf>
    <xf numFmtId="0" fontId="4" fillId="4" borderId="3" xfId="0" applyFont="1" applyFill="1" applyBorder="1" applyAlignment="1">
      <alignment horizontal="left" vertical="center" wrapText="1"/>
    </xf>
    <xf numFmtId="0" fontId="6" fillId="5" borderId="5" xfId="0" applyFont="1" applyFill="1" applyBorder="1" applyAlignment="1">
      <alignment horizontal="left" vertical="center" wrapText="1"/>
    </xf>
    <xf numFmtId="0" fontId="6" fillId="7" borderId="5" xfId="0" applyFont="1" applyFill="1" applyBorder="1" applyAlignment="1">
      <alignment horizontal="left" vertical="center" wrapText="1"/>
    </xf>
    <xf numFmtId="0" fontId="6" fillId="5" borderId="3"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4" borderId="5" xfId="0" applyFont="1" applyFill="1" applyBorder="1" applyAlignment="1">
      <alignment horizontal="left" vertical="center" wrapText="1"/>
    </xf>
    <xf numFmtId="0" fontId="2" fillId="13" borderId="3" xfId="0" applyFont="1" applyFill="1" applyBorder="1" applyAlignment="1">
      <alignment horizontal="center"/>
    </xf>
    <xf numFmtId="0" fontId="9" fillId="2" borderId="7" xfId="0" applyFont="1" applyFill="1" applyBorder="1"/>
    <xf numFmtId="0" fontId="7" fillId="12" borderId="0" xfId="0" applyFont="1" applyFill="1" applyAlignment="1">
      <alignment horizontal="center"/>
    </xf>
    <xf numFmtId="1" fontId="0" fillId="0" borderId="3" xfId="0" applyNumberFormat="1" applyBorder="1" applyAlignment="1">
      <alignment horizontal="center"/>
    </xf>
    <xf numFmtId="0" fontId="0" fillId="0" borderId="3" xfId="0" applyBorder="1" applyAlignment="1">
      <alignment horizontal="center"/>
    </xf>
    <xf numFmtId="0" fontId="1" fillId="2" borderId="0" xfId="0" applyFont="1" applyFill="1" applyAlignment="1">
      <alignment horizontal="center"/>
    </xf>
    <xf numFmtId="0" fontId="1" fillId="2" borderId="9" xfId="0" applyFont="1" applyFill="1" applyBorder="1" applyAlignment="1">
      <alignment horizontal="center" vertical="center"/>
    </xf>
    <xf numFmtId="0" fontId="3" fillId="15" borderId="0" xfId="0" applyFont="1" applyFill="1" applyProtection="1">
      <protection locked="0"/>
    </xf>
    <xf numFmtId="0" fontId="5" fillId="9" borderId="3" xfId="0" applyFont="1" applyFill="1" applyBorder="1" applyAlignment="1">
      <alignment horizontal="center" vertical="center" textRotation="90" wrapText="1"/>
    </xf>
    <xf numFmtId="0" fontId="4" fillId="5" borderId="3" xfId="0" applyFont="1" applyFill="1" applyBorder="1" applyAlignment="1">
      <alignment horizontal="left" vertical="center" wrapText="1"/>
    </xf>
    <xf numFmtId="0" fontId="5" fillId="6" borderId="10" xfId="0" applyFont="1" applyFill="1" applyBorder="1" applyAlignment="1">
      <alignment horizontal="center" vertical="center" wrapText="1"/>
    </xf>
    <xf numFmtId="1" fontId="5" fillId="0" borderId="10" xfId="0" applyNumberFormat="1" applyFont="1" applyBorder="1" applyAlignment="1">
      <alignment horizontal="center" vertical="center" wrapText="1"/>
    </xf>
    <xf numFmtId="0" fontId="2" fillId="0" borderId="3" xfId="0" applyFont="1" applyBorder="1" applyAlignment="1" applyProtection="1">
      <alignment horizontal="center" vertical="center"/>
      <protection locked="0"/>
    </xf>
    <xf numFmtId="0" fontId="5" fillId="10" borderId="3" xfId="0" applyFont="1" applyFill="1" applyBorder="1" applyAlignment="1">
      <alignment horizontal="center" vertical="center" textRotation="90" wrapText="1"/>
    </xf>
    <xf numFmtId="0" fontId="4" fillId="7" borderId="3" xfId="0" applyFont="1" applyFill="1" applyBorder="1" applyAlignment="1">
      <alignment horizontal="left" vertical="center" wrapText="1"/>
    </xf>
    <xf numFmtId="0" fontId="5" fillId="8" borderId="4" xfId="0" applyFont="1" applyFill="1" applyBorder="1" applyAlignment="1">
      <alignment horizontal="center" vertical="center" wrapText="1"/>
    </xf>
    <xf numFmtId="0" fontId="5" fillId="16" borderId="3" xfId="0" applyFont="1" applyFill="1" applyBorder="1" applyAlignment="1">
      <alignment horizontal="center" vertical="center" textRotation="90" wrapText="1"/>
    </xf>
    <xf numFmtId="0" fontId="4" fillId="11" borderId="3" xfId="0" applyFont="1" applyFill="1" applyBorder="1" applyAlignment="1">
      <alignment horizontal="left" vertical="center" wrapText="1"/>
    </xf>
    <xf numFmtId="0" fontId="5" fillId="17" borderId="4"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1" fillId="18" borderId="12" xfId="0" applyFont="1" applyFill="1" applyBorder="1" applyAlignment="1">
      <alignment horizontal="left" vertical="center" wrapText="1"/>
    </xf>
    <xf numFmtId="0" fontId="0" fillId="0" borderId="3" xfId="0" applyBorder="1" applyProtection="1">
      <protection locked="0"/>
    </xf>
    <xf numFmtId="0" fontId="11" fillId="19" borderId="14" xfId="0" applyFont="1" applyFill="1" applyBorder="1" applyAlignment="1">
      <alignment horizontal="left" vertical="center" wrapText="1"/>
    </xf>
    <xf numFmtId="0" fontId="11" fillId="19" borderId="16" xfId="0" applyFont="1" applyFill="1" applyBorder="1" applyAlignment="1">
      <alignment horizontal="left" vertical="center" wrapText="1"/>
    </xf>
    <xf numFmtId="0" fontId="2" fillId="0" borderId="3" xfId="0" applyFont="1" applyBorder="1" applyAlignment="1" applyProtection="1">
      <alignment horizontal="center"/>
      <protection locked="0"/>
    </xf>
    <xf numFmtId="1" fontId="2" fillId="0" borderId="3" xfId="0" applyNumberFormat="1" applyFont="1" applyBorder="1" applyAlignment="1" applyProtection="1">
      <alignment horizontal="center" vertical="center"/>
      <protection locked="0"/>
    </xf>
    <xf numFmtId="0" fontId="2" fillId="0" borderId="0" xfId="0" applyFont="1" applyProtection="1">
      <protection locked="0"/>
    </xf>
    <xf numFmtId="10" fontId="1" fillId="18" borderId="0" xfId="0" applyNumberFormat="1" applyFont="1" applyFill="1" applyAlignment="1" applyProtection="1">
      <alignment horizontal="center"/>
      <protection locked="0"/>
    </xf>
    <xf numFmtId="0" fontId="8" fillId="0" borderId="3" xfId="0" applyFont="1" applyFill="1" applyBorder="1"/>
    <xf numFmtId="0" fontId="2" fillId="14" borderId="0" xfId="0" applyFont="1" applyFill="1" applyAlignment="1">
      <alignment horizontal="center"/>
    </xf>
    <xf numFmtId="10" fontId="0" fillId="0" borderId="3" xfId="0" applyNumberFormat="1" applyBorder="1" applyAlignment="1">
      <alignment horizontal="center"/>
    </xf>
    <xf numFmtId="0" fontId="1" fillId="2" borderId="1" xfId="0" applyFont="1" applyFill="1" applyBorder="1" applyAlignment="1">
      <alignment horizontal="center" vertical="center" textRotation="90"/>
    </xf>
    <xf numFmtId="0" fontId="1" fillId="2" borderId="8" xfId="0" applyFont="1" applyFill="1" applyBorder="1" applyAlignment="1">
      <alignment horizontal="center" vertical="center" textRotation="90"/>
    </xf>
    <xf numFmtId="0" fontId="5" fillId="6" borderId="11" xfId="0" applyFont="1" applyFill="1" applyBorder="1" applyAlignment="1">
      <alignment horizontal="center" vertical="center" textRotation="90" wrapText="1"/>
    </xf>
    <xf numFmtId="0" fontId="5" fillId="6" borderId="13" xfId="0" applyFont="1" applyFill="1" applyBorder="1" applyAlignment="1">
      <alignment horizontal="center" vertical="center" textRotation="90" wrapText="1"/>
    </xf>
    <xf numFmtId="0" fontId="5" fillId="6" borderId="15" xfId="0" applyFont="1" applyFill="1" applyBorder="1" applyAlignment="1">
      <alignment horizontal="center" vertical="center" textRotation="90" wrapText="1"/>
    </xf>
    <xf numFmtId="0" fontId="7" fillId="12" borderId="3" xfId="0" applyFont="1" applyFill="1" applyBorder="1" applyAlignment="1">
      <alignment horizontal="center"/>
    </xf>
  </cellXfs>
  <cellStyles count="2">
    <cellStyle name="Normal" xfId="0" builtinId="0"/>
    <cellStyle name="Normal 2" xfId="1" xr:uid="{00000000-0005-0000-0000-000001000000}"/>
  </cellStyles>
  <dxfs count="11">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9/Copia%20de%20D90%20Siquirres%20Actualizado%20al%2020-06-2025.xlsx?ABF7F61D" TargetMode="External"/><Relationship Id="rId1" Type="http://schemas.openxmlformats.org/officeDocument/2006/relationships/externalLinkPath" Target="file:///\\ABF7F61D\Copia%20de%20D90%20Siquirres%20Actualizado%20al%2020-06-2025.xlsx"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9/Copia%20de%20D91%20Talamanca%20PUMI%5eJ%20junio.xlsx?ABF7F61D" TargetMode="External"/><Relationship Id="rId1" Type="http://schemas.openxmlformats.org/officeDocument/2006/relationships/externalLinkPath" Target="file:///\\ABF7F61D\Copia%20de%20D91%20Talamanca%20PUMI%5eJ%20junio.xlsx" TargetMode="External"/></Relationships>
</file>

<file path=xl/externalLinks/_rels/externalLink3.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9/Copia%20de%20D92%20Matina%20JUNIO%20Anual%202025.xlsx?ABF7F61D" TargetMode="External"/><Relationship Id="rId1" Type="http://schemas.openxmlformats.org/officeDocument/2006/relationships/externalLinkPath" Target="file:///\\ABF7F61D\Copia%20de%20D92%20Matina%20JUNIO%20Anual%202025.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3ad020c316d05c7c/Escritorio/Avance%20Planificaci&#243;n%20Diferenciada%20Nacional%202025/Actividad%204%20Planificaci&#243;n%20Diferenciada/16.%20PUMI%202025/II%20TRIMESTRE/JUNIO/DR1%20CENTRAL/D1%20Carmen%20PUMI%202025%20Junio.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9/PUMMID88%20Lim&#243;n%20I%20Junio%202025%20Corregida.xlsx?ABF7F61D" TargetMode="External"/><Relationship Id="rId1" Type="http://schemas.openxmlformats.org/officeDocument/2006/relationships/externalLinkPath" Target="file:///\\ABF7F61D\PUMMID88%20Lim&#243;n%20I%20Junio%202025%20Corregid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90 SIQUIRRES PSCC "/>
      <sheetName val="D90 SIQUIRRES  VIF"/>
      <sheetName val="D90 SIQUIRRES DARE"/>
      <sheetName val="D90 SIQUIRRES GREAT"/>
      <sheetName val="D90 SIQUIRRES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91 TALAMANCA PSCC "/>
      <sheetName val="D91 TALAMANCA VIF"/>
      <sheetName val="D91 TALAMANCA  DARE"/>
      <sheetName val="D91 TALAMANCA  GREAT"/>
      <sheetName val="D91 TALAMANCA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92 MATINA PSCC "/>
      <sheetName val="D92 MATINA  VIF"/>
      <sheetName val="D92 MATINA  DARE"/>
      <sheetName val="D92 MATINA  GREAT"/>
      <sheetName val="D92 MATINA  MPAS"/>
      <sheetName val="Totales PDIF"/>
      <sheetName val="Totales Política Pública"/>
      <sheetName val="DAT1"/>
      <sheetName val="DAT2"/>
    </sheetNames>
    <sheetDataSet>
      <sheetData sheetId="0"/>
      <sheetData sheetId="1"/>
      <sheetData sheetId="2"/>
      <sheetData sheetId="3"/>
      <sheetData sheetId="4"/>
      <sheetData sheetId="5"/>
      <sheetData sheetId="6"/>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01 Carmen PSCC "/>
      <sheetName val="D01 VIF"/>
      <sheetName val="D01 Carmen DARE"/>
      <sheetName val="D01 Carmen GREAT"/>
      <sheetName val="D01 Carmen MPAS"/>
      <sheetName val="Totales PDIF"/>
      <sheetName val="Totales Política Pública"/>
      <sheetName val="DAT1"/>
      <sheetName val="DAT2"/>
      <sheetName val="D1 Carmen PUMI 2025 Juni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88 LIMÓN PSCC "/>
      <sheetName val="D88 LIMÓN  VIF"/>
      <sheetName val="D88 LIMÓN  DARE"/>
      <sheetName val="D88 LIMÓN  GREAT"/>
      <sheetName val="D88 LIMÓN  MPAS"/>
      <sheetName val="Totales PDIF"/>
      <sheetName val="Totales Política Pública"/>
      <sheetName val="DAT1"/>
      <sheetName val="DAT2"/>
      <sheetName val="PUMMID88 Limón I Junio 2025 Cor"/>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38"/>
  <sheetViews>
    <sheetView zoomScale="70" zoomScaleNormal="70" workbookViewId="0">
      <selection activeCell="O7" sqref="O7"/>
    </sheetView>
  </sheetViews>
  <sheetFormatPr baseColWidth="10" defaultColWidth="11.42578125" defaultRowHeight="15" x14ac:dyDescent="0.25"/>
  <cols>
    <col min="1" max="1" width="6.5703125" style="2" customWidth="1"/>
    <col min="2" max="2" width="107.140625" style="2" customWidth="1"/>
    <col min="3" max="3" width="11.42578125" style="2"/>
    <col min="4" max="4" width="22.42578125" style="2" customWidth="1"/>
    <col min="5" max="9" width="17.28515625" style="2" customWidth="1"/>
    <col min="10" max="16384" width="11.42578125" style="2"/>
  </cols>
  <sheetData>
    <row r="1" spans="1:16" ht="61.5" customHeight="1" x14ac:dyDescent="0.25">
      <c r="A1" s="42" t="s">
        <v>1</v>
      </c>
      <c r="B1" s="16" t="s">
        <v>0</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3" customFormat="1" ht="15.75" thickBot="1" x14ac:dyDescent="0.3">
      <c r="A2" s="43"/>
      <c r="B2" s="16"/>
      <c r="C2" s="17">
        <v>2026</v>
      </c>
      <c r="D2" s="17" t="s">
        <v>16</v>
      </c>
      <c r="E2" s="18"/>
      <c r="F2" s="18"/>
      <c r="G2" s="18"/>
      <c r="H2" s="18"/>
      <c r="I2" s="18"/>
      <c r="J2" s="18"/>
      <c r="K2" s="18"/>
      <c r="L2" s="18"/>
      <c r="M2" s="18"/>
      <c r="N2" s="18"/>
      <c r="O2" s="18"/>
      <c r="P2" s="18"/>
    </row>
    <row r="3" spans="1:16" ht="81" customHeight="1" x14ac:dyDescent="0.25">
      <c r="A3" s="24" t="s">
        <v>18</v>
      </c>
      <c r="B3" s="4" t="s">
        <v>17</v>
      </c>
      <c r="C3" s="26">
        <v>2</v>
      </c>
      <c r="D3" s="22">
        <f t="shared" ref="D3:D8" si="0">SUM(E3:P3)</f>
        <v>3</v>
      </c>
      <c r="E3" s="23">
        <v>0</v>
      </c>
      <c r="F3" s="23">
        <v>0</v>
      </c>
      <c r="G3" s="23">
        <v>0</v>
      </c>
      <c r="H3" s="23">
        <v>1</v>
      </c>
      <c r="I3" s="23">
        <v>1</v>
      </c>
      <c r="J3" s="23">
        <v>1</v>
      </c>
      <c r="K3" s="23"/>
      <c r="L3" s="23"/>
      <c r="M3" s="23"/>
      <c r="N3" s="23"/>
      <c r="O3" s="23"/>
      <c r="P3" s="23"/>
    </row>
    <row r="4" spans="1:16" ht="81" customHeight="1" x14ac:dyDescent="0.25">
      <c r="A4" s="19" t="s">
        <v>20</v>
      </c>
      <c r="B4" s="5" t="s">
        <v>19</v>
      </c>
      <c r="C4" s="30">
        <v>1</v>
      </c>
      <c r="D4" s="22">
        <f t="shared" si="0"/>
        <v>0</v>
      </c>
      <c r="E4" s="23"/>
      <c r="F4" s="23"/>
      <c r="G4" s="23"/>
      <c r="H4" s="23"/>
      <c r="I4" s="23"/>
      <c r="J4" s="23"/>
      <c r="K4" s="23"/>
      <c r="L4" s="23"/>
      <c r="M4" s="23"/>
      <c r="N4" s="23"/>
      <c r="O4" s="23"/>
      <c r="P4" s="23"/>
    </row>
    <row r="5" spans="1:16" ht="81" customHeight="1" x14ac:dyDescent="0.25">
      <c r="A5" s="19" t="s">
        <v>20</v>
      </c>
      <c r="B5" s="5" t="s">
        <v>21</v>
      </c>
      <c r="C5" s="30">
        <v>2</v>
      </c>
      <c r="D5" s="22">
        <f t="shared" si="0"/>
        <v>0</v>
      </c>
      <c r="E5" s="23"/>
      <c r="F5" s="23"/>
      <c r="G5" s="23"/>
      <c r="H5" s="23"/>
      <c r="I5" s="23"/>
      <c r="J5" s="23"/>
      <c r="K5" s="23"/>
      <c r="L5" s="23"/>
      <c r="M5" s="23"/>
      <c r="N5" s="23"/>
      <c r="O5" s="23"/>
      <c r="P5" s="23"/>
    </row>
    <row r="6" spans="1:16" ht="81" customHeight="1" x14ac:dyDescent="0.25">
      <c r="A6" s="19" t="s">
        <v>20</v>
      </c>
      <c r="B6" s="5" t="s">
        <v>22</v>
      </c>
      <c r="C6" s="30">
        <v>1</v>
      </c>
      <c r="D6" s="22">
        <f t="shared" si="0"/>
        <v>0</v>
      </c>
      <c r="E6" s="23"/>
      <c r="F6" s="23"/>
      <c r="G6" s="23"/>
      <c r="H6" s="23"/>
      <c r="I6" s="23"/>
      <c r="J6" s="23"/>
      <c r="K6" s="23"/>
      <c r="L6" s="23"/>
      <c r="M6" s="23"/>
      <c r="N6" s="23"/>
      <c r="O6" s="23"/>
      <c r="P6" s="23"/>
    </row>
    <row r="7" spans="1:16" ht="81" customHeight="1" x14ac:dyDescent="0.25">
      <c r="A7" s="19" t="s">
        <v>20</v>
      </c>
      <c r="B7" s="5" t="s">
        <v>23</v>
      </c>
      <c r="C7" s="30">
        <v>2</v>
      </c>
      <c r="D7" s="22">
        <f t="shared" si="0"/>
        <v>0</v>
      </c>
      <c r="E7" s="23"/>
      <c r="F7" s="23"/>
      <c r="G7" s="23"/>
      <c r="H7" s="23"/>
      <c r="I7" s="23"/>
      <c r="J7" s="23"/>
      <c r="K7" s="23"/>
      <c r="L7" s="23"/>
      <c r="M7" s="23"/>
      <c r="N7" s="23"/>
      <c r="O7" s="23"/>
      <c r="P7" s="23"/>
    </row>
    <row r="8" spans="1:16" ht="81" customHeight="1" x14ac:dyDescent="0.25">
      <c r="A8" s="19" t="s">
        <v>20</v>
      </c>
      <c r="B8" s="5" t="s">
        <v>24</v>
      </c>
      <c r="C8" s="30">
        <v>1</v>
      </c>
      <c r="D8" s="22">
        <f t="shared" si="0"/>
        <v>0</v>
      </c>
      <c r="E8" s="23"/>
      <c r="F8" s="23"/>
      <c r="G8" s="23"/>
      <c r="H8" s="23"/>
      <c r="I8" s="23"/>
      <c r="J8" s="23"/>
      <c r="K8" s="23"/>
      <c r="L8" s="23"/>
      <c r="M8" s="23"/>
      <c r="N8" s="23"/>
      <c r="O8" s="23"/>
      <c r="P8" s="23"/>
    </row>
    <row r="9" spans="1:16" ht="28.5" customHeight="1" x14ac:dyDescent="0.25">
      <c r="A9" s="44" t="s">
        <v>46</v>
      </c>
      <c r="B9" s="31" t="s">
        <v>47</v>
      </c>
      <c r="C9" s="30">
        <v>3</v>
      </c>
      <c r="D9" s="22">
        <f t="shared" ref="D9:D36" si="1">SUM(E9:O9)</f>
        <v>0</v>
      </c>
      <c r="E9" s="23"/>
      <c r="F9" s="23"/>
      <c r="G9" s="23"/>
      <c r="H9" s="23"/>
      <c r="I9" s="23"/>
      <c r="J9" s="23"/>
      <c r="K9" s="23"/>
      <c r="L9" s="23"/>
      <c r="M9" s="23"/>
      <c r="N9" s="23"/>
      <c r="O9" s="23"/>
      <c r="P9" s="32"/>
    </row>
    <row r="10" spans="1:16" ht="28.5" customHeight="1" x14ac:dyDescent="0.25">
      <c r="A10" s="45"/>
      <c r="B10" s="31" t="s">
        <v>48</v>
      </c>
      <c r="C10" s="30">
        <v>3</v>
      </c>
      <c r="D10" s="22">
        <f t="shared" si="1"/>
        <v>0</v>
      </c>
      <c r="E10" s="23"/>
      <c r="F10" s="23"/>
      <c r="G10" s="23"/>
      <c r="H10" s="23"/>
      <c r="I10" s="23"/>
      <c r="J10" s="23"/>
      <c r="K10" s="23"/>
      <c r="L10" s="23"/>
      <c r="M10" s="23"/>
      <c r="N10" s="23"/>
      <c r="O10" s="23"/>
      <c r="P10" s="32"/>
    </row>
    <row r="11" spans="1:16" ht="28.5" customHeight="1" x14ac:dyDescent="0.25">
      <c r="A11" s="45"/>
      <c r="B11" s="31" t="s">
        <v>49</v>
      </c>
      <c r="C11" s="30">
        <v>117</v>
      </c>
      <c r="D11" s="22">
        <f t="shared" si="1"/>
        <v>24</v>
      </c>
      <c r="E11" s="23">
        <v>11</v>
      </c>
      <c r="F11" s="23">
        <v>7</v>
      </c>
      <c r="G11" s="23"/>
      <c r="H11" s="23">
        <v>6</v>
      </c>
      <c r="I11" s="23"/>
      <c r="J11" s="23"/>
      <c r="K11" s="23"/>
      <c r="L11" s="23"/>
      <c r="M11" s="23"/>
      <c r="N11" s="23"/>
      <c r="O11" s="23"/>
      <c r="P11" s="32"/>
    </row>
    <row r="12" spans="1:16" ht="28.5" customHeight="1" x14ac:dyDescent="0.25">
      <c r="A12" s="45"/>
      <c r="B12" s="31" t="s">
        <v>50</v>
      </c>
      <c r="C12" s="30">
        <v>94</v>
      </c>
      <c r="D12" s="22">
        <f t="shared" si="1"/>
        <v>56</v>
      </c>
      <c r="E12" s="23"/>
      <c r="F12" s="23"/>
      <c r="G12" s="23">
        <v>18</v>
      </c>
      <c r="H12" s="23">
        <v>38</v>
      </c>
      <c r="I12" s="23"/>
      <c r="J12" s="23"/>
      <c r="K12" s="23"/>
      <c r="L12" s="23"/>
      <c r="M12" s="23"/>
      <c r="N12" s="23"/>
      <c r="O12" s="23"/>
      <c r="P12" s="32"/>
    </row>
    <row r="13" spans="1:16" ht="28.5" customHeight="1" x14ac:dyDescent="0.25">
      <c r="A13" s="45"/>
      <c r="B13" s="31" t="s">
        <v>51</v>
      </c>
      <c r="C13" s="30">
        <v>10</v>
      </c>
      <c r="D13" s="22">
        <f t="shared" si="1"/>
        <v>1</v>
      </c>
      <c r="E13" s="23"/>
      <c r="F13" s="23"/>
      <c r="G13" s="23">
        <v>1</v>
      </c>
      <c r="H13" s="23"/>
      <c r="I13" s="23"/>
      <c r="J13" s="23"/>
      <c r="K13" s="23"/>
      <c r="L13" s="23"/>
      <c r="M13" s="23"/>
      <c r="N13" s="23"/>
      <c r="O13" s="23"/>
      <c r="P13" s="32"/>
    </row>
    <row r="14" spans="1:16" ht="28.5" customHeight="1" x14ac:dyDescent="0.25">
      <c r="A14" s="45"/>
      <c r="B14" s="31" t="s">
        <v>52</v>
      </c>
      <c r="C14" s="30">
        <v>6</v>
      </c>
      <c r="D14" s="22">
        <f t="shared" si="1"/>
        <v>1</v>
      </c>
      <c r="E14" s="23"/>
      <c r="F14" s="23"/>
      <c r="G14" s="23">
        <v>1</v>
      </c>
      <c r="H14" s="23"/>
      <c r="I14" s="23"/>
      <c r="J14" s="23"/>
      <c r="K14" s="23"/>
      <c r="L14" s="23"/>
      <c r="M14" s="23"/>
      <c r="N14" s="23"/>
      <c r="O14" s="23"/>
      <c r="P14" s="32"/>
    </row>
    <row r="15" spans="1:16" ht="28.5" customHeight="1" x14ac:dyDescent="0.25">
      <c r="A15" s="45"/>
      <c r="B15" s="31" t="s">
        <v>53</v>
      </c>
      <c r="C15" s="30">
        <v>0</v>
      </c>
      <c r="D15" s="22">
        <f t="shared" si="1"/>
        <v>0</v>
      </c>
      <c r="E15" s="23"/>
      <c r="F15" s="23"/>
      <c r="G15" s="23"/>
      <c r="H15" s="23"/>
      <c r="I15" s="23"/>
      <c r="J15" s="23"/>
      <c r="K15" s="23"/>
      <c r="L15" s="23"/>
      <c r="M15" s="23"/>
      <c r="N15" s="23"/>
      <c r="O15" s="23"/>
      <c r="P15" s="32"/>
    </row>
    <row r="16" spans="1:16" ht="28.5" customHeight="1" x14ac:dyDescent="0.25">
      <c r="A16" s="45"/>
      <c r="B16" s="31" t="s">
        <v>54</v>
      </c>
      <c r="C16" s="30">
        <v>0</v>
      </c>
      <c r="D16" s="22">
        <f t="shared" si="1"/>
        <v>0</v>
      </c>
      <c r="E16" s="23"/>
      <c r="F16" s="23"/>
      <c r="G16" s="23"/>
      <c r="H16" s="23"/>
      <c r="I16" s="23"/>
      <c r="J16" s="23"/>
      <c r="K16" s="23"/>
      <c r="L16" s="23"/>
      <c r="M16" s="23"/>
      <c r="N16" s="23"/>
      <c r="O16" s="23"/>
      <c r="P16" s="32"/>
    </row>
    <row r="17" spans="1:16" ht="28.5" customHeight="1" x14ac:dyDescent="0.25">
      <c r="A17" s="45"/>
      <c r="B17" s="31" t="s">
        <v>55</v>
      </c>
      <c r="C17" s="30">
        <v>2</v>
      </c>
      <c r="D17" s="22">
        <f t="shared" si="1"/>
        <v>0</v>
      </c>
      <c r="E17" s="23"/>
      <c r="F17" s="23"/>
      <c r="G17" s="23"/>
      <c r="H17" s="23"/>
      <c r="I17" s="23"/>
      <c r="J17" s="23"/>
      <c r="K17" s="23"/>
      <c r="L17" s="23"/>
      <c r="M17" s="23"/>
      <c r="N17" s="23"/>
      <c r="O17" s="23"/>
      <c r="P17" s="32"/>
    </row>
    <row r="18" spans="1:16" ht="28.5" customHeight="1" x14ac:dyDescent="0.25">
      <c r="A18" s="45"/>
      <c r="B18" s="31" t="s">
        <v>56</v>
      </c>
      <c r="C18" s="30">
        <v>2</v>
      </c>
      <c r="D18" s="22">
        <f t="shared" si="1"/>
        <v>0</v>
      </c>
      <c r="E18" s="23"/>
      <c r="F18" s="23"/>
      <c r="G18" s="23"/>
      <c r="H18" s="23"/>
      <c r="I18" s="23"/>
      <c r="J18" s="23"/>
      <c r="K18" s="23"/>
      <c r="L18" s="23"/>
      <c r="M18" s="23"/>
      <c r="N18" s="23"/>
      <c r="O18" s="23"/>
      <c r="P18" s="32"/>
    </row>
    <row r="19" spans="1:16" ht="28.5" customHeight="1" x14ac:dyDescent="0.25">
      <c r="A19" s="45"/>
      <c r="B19" s="31" t="s">
        <v>57</v>
      </c>
      <c r="C19" s="30">
        <v>0</v>
      </c>
      <c r="D19" s="22">
        <f t="shared" si="1"/>
        <v>0</v>
      </c>
      <c r="E19" s="23"/>
      <c r="F19" s="23"/>
      <c r="G19" s="23"/>
      <c r="H19" s="23"/>
      <c r="I19" s="23"/>
      <c r="J19" s="23"/>
      <c r="K19" s="23"/>
      <c r="L19" s="23"/>
      <c r="M19" s="23"/>
      <c r="N19" s="23"/>
      <c r="O19" s="23"/>
      <c r="P19" s="32"/>
    </row>
    <row r="20" spans="1:16" ht="28.5" customHeight="1" x14ac:dyDescent="0.25">
      <c r="A20" s="45"/>
      <c r="B20" s="31" t="s">
        <v>58</v>
      </c>
      <c r="C20" s="30">
        <v>0</v>
      </c>
      <c r="D20" s="22">
        <f t="shared" si="1"/>
        <v>0</v>
      </c>
      <c r="E20" s="23"/>
      <c r="F20" s="23"/>
      <c r="G20" s="23"/>
      <c r="H20" s="23"/>
      <c r="I20" s="23"/>
      <c r="J20" s="23"/>
      <c r="K20" s="23"/>
      <c r="L20" s="23"/>
      <c r="M20" s="23"/>
      <c r="N20" s="23"/>
      <c r="O20" s="23"/>
      <c r="P20" s="32"/>
    </row>
    <row r="21" spans="1:16" ht="28.5" customHeight="1" x14ac:dyDescent="0.25">
      <c r="A21" s="45"/>
      <c r="B21" s="31" t="s">
        <v>59</v>
      </c>
      <c r="C21" s="30">
        <v>0</v>
      </c>
      <c r="D21" s="22">
        <f t="shared" si="1"/>
        <v>0</v>
      </c>
      <c r="E21" s="23"/>
      <c r="F21" s="23"/>
      <c r="G21" s="23"/>
      <c r="H21" s="23"/>
      <c r="I21" s="23"/>
      <c r="J21" s="23"/>
      <c r="K21" s="23"/>
      <c r="L21" s="23"/>
      <c r="M21" s="23"/>
      <c r="N21" s="23"/>
      <c r="O21" s="23"/>
      <c r="P21" s="32"/>
    </row>
    <row r="22" spans="1:16" ht="28.5" customHeight="1" x14ac:dyDescent="0.25">
      <c r="A22" s="45"/>
      <c r="B22" s="31" t="s">
        <v>60</v>
      </c>
      <c r="C22" s="30">
        <v>0</v>
      </c>
      <c r="D22" s="22">
        <f t="shared" si="1"/>
        <v>0</v>
      </c>
      <c r="E22" s="23"/>
      <c r="F22" s="23"/>
      <c r="G22" s="23"/>
      <c r="H22" s="23"/>
      <c r="I22" s="23"/>
      <c r="J22" s="23"/>
      <c r="K22" s="23"/>
      <c r="L22" s="23"/>
      <c r="M22" s="23"/>
      <c r="N22" s="23"/>
      <c r="O22" s="23"/>
      <c r="P22" s="32"/>
    </row>
    <row r="23" spans="1:16" ht="28.5" customHeight="1" x14ac:dyDescent="0.25">
      <c r="A23" s="45"/>
      <c r="B23" s="31" t="s">
        <v>61</v>
      </c>
      <c r="C23" s="30">
        <v>204</v>
      </c>
      <c r="D23" s="22">
        <f t="shared" si="1"/>
        <v>103</v>
      </c>
      <c r="E23" s="23">
        <v>52</v>
      </c>
      <c r="F23" s="23"/>
      <c r="G23" s="23"/>
      <c r="H23" s="23">
        <v>51</v>
      </c>
      <c r="I23" s="23"/>
      <c r="J23" s="23"/>
      <c r="K23" s="23"/>
      <c r="L23" s="23"/>
      <c r="M23" s="23"/>
      <c r="N23" s="23"/>
      <c r="O23" s="23"/>
      <c r="P23" s="32"/>
    </row>
    <row r="24" spans="1:16" ht="28.5" customHeight="1" x14ac:dyDescent="0.25">
      <c r="A24" s="45"/>
      <c r="B24" s="31" t="s">
        <v>62</v>
      </c>
      <c r="C24" s="30">
        <v>4</v>
      </c>
      <c r="D24" s="22">
        <f t="shared" si="1"/>
        <v>3</v>
      </c>
      <c r="E24" s="23"/>
      <c r="F24" s="23">
        <v>2</v>
      </c>
      <c r="G24" s="23">
        <v>1</v>
      </c>
      <c r="H24" s="23"/>
      <c r="I24" s="23"/>
      <c r="J24" s="23"/>
      <c r="K24" s="23"/>
      <c r="L24" s="23"/>
      <c r="M24" s="23"/>
      <c r="N24" s="23"/>
      <c r="O24" s="23"/>
      <c r="P24" s="32"/>
    </row>
    <row r="25" spans="1:16" ht="24" customHeight="1" x14ac:dyDescent="0.25">
      <c r="A25" s="45"/>
      <c r="B25" s="33" t="s">
        <v>63</v>
      </c>
      <c r="C25" s="30">
        <v>2</v>
      </c>
      <c r="D25" s="22">
        <f t="shared" si="1"/>
        <v>2</v>
      </c>
      <c r="E25" s="23"/>
      <c r="F25" s="23"/>
      <c r="G25" s="23"/>
      <c r="H25" s="23">
        <v>2</v>
      </c>
      <c r="I25" s="23"/>
      <c r="J25" s="23"/>
      <c r="K25" s="23"/>
      <c r="L25" s="23"/>
      <c r="M25" s="23"/>
      <c r="N25" s="23"/>
      <c r="O25" s="23"/>
      <c r="P25" s="32"/>
    </row>
    <row r="26" spans="1:16" ht="24" customHeight="1" x14ac:dyDescent="0.25">
      <c r="A26" s="45"/>
      <c r="B26" s="33" t="s">
        <v>64</v>
      </c>
      <c r="C26" s="30">
        <v>2</v>
      </c>
      <c r="D26" s="22">
        <f t="shared" si="1"/>
        <v>2</v>
      </c>
      <c r="E26" s="23"/>
      <c r="F26" s="23"/>
      <c r="G26" s="23"/>
      <c r="H26" s="23">
        <v>2</v>
      </c>
      <c r="I26" s="23"/>
      <c r="J26" s="23"/>
      <c r="K26" s="23"/>
      <c r="L26" s="23"/>
      <c r="M26" s="23"/>
      <c r="N26" s="23"/>
      <c r="O26" s="23"/>
      <c r="P26" s="32"/>
    </row>
    <row r="27" spans="1:16" ht="24" customHeight="1" x14ac:dyDescent="0.25">
      <c r="A27" s="45"/>
      <c r="B27" s="33" t="s">
        <v>65</v>
      </c>
      <c r="C27" s="30">
        <v>2</v>
      </c>
      <c r="D27" s="22">
        <f t="shared" si="1"/>
        <v>2</v>
      </c>
      <c r="E27" s="23"/>
      <c r="F27" s="23"/>
      <c r="G27" s="23"/>
      <c r="H27" s="23"/>
      <c r="I27" s="23">
        <v>2</v>
      </c>
      <c r="J27" s="23"/>
      <c r="K27" s="23"/>
      <c r="L27" s="23"/>
      <c r="M27" s="23"/>
      <c r="N27" s="23"/>
      <c r="O27" s="23"/>
      <c r="P27" s="32"/>
    </row>
    <row r="28" spans="1:16" ht="24" customHeight="1" x14ac:dyDescent="0.25">
      <c r="A28" s="45"/>
      <c r="B28" s="33" t="s">
        <v>66</v>
      </c>
      <c r="C28" s="30">
        <v>2</v>
      </c>
      <c r="D28" s="22">
        <f t="shared" si="1"/>
        <v>2</v>
      </c>
      <c r="E28" s="23"/>
      <c r="F28" s="23"/>
      <c r="G28" s="23"/>
      <c r="H28" s="23"/>
      <c r="I28" s="23">
        <v>2</v>
      </c>
      <c r="J28" s="23"/>
      <c r="K28" s="23"/>
      <c r="L28" s="23"/>
      <c r="M28" s="23"/>
      <c r="N28" s="23"/>
      <c r="O28" s="23"/>
      <c r="P28" s="32"/>
    </row>
    <row r="29" spans="1:16" ht="24" customHeight="1" x14ac:dyDescent="0.25">
      <c r="A29" s="45"/>
      <c r="B29" s="33" t="s">
        <v>67</v>
      </c>
      <c r="C29" s="30">
        <v>2</v>
      </c>
      <c r="D29" s="22">
        <f t="shared" si="1"/>
        <v>1</v>
      </c>
      <c r="E29" s="23"/>
      <c r="F29" s="23"/>
      <c r="G29" s="23"/>
      <c r="H29" s="23"/>
      <c r="I29" s="23">
        <v>1</v>
      </c>
      <c r="J29" s="23"/>
      <c r="K29" s="23"/>
      <c r="L29" s="23"/>
      <c r="M29" s="23"/>
      <c r="N29" s="23"/>
      <c r="O29" s="23"/>
      <c r="P29" s="32"/>
    </row>
    <row r="30" spans="1:16" ht="24" customHeight="1" x14ac:dyDescent="0.25">
      <c r="A30" s="45"/>
      <c r="B30" s="33" t="s">
        <v>68</v>
      </c>
      <c r="C30" s="30">
        <v>1</v>
      </c>
      <c r="D30" s="22">
        <f t="shared" si="1"/>
        <v>0</v>
      </c>
      <c r="E30" s="23"/>
      <c r="F30" s="23"/>
      <c r="G30" s="23"/>
      <c r="H30" s="23"/>
      <c r="I30" s="23"/>
      <c r="J30" s="23"/>
      <c r="K30" s="23"/>
      <c r="L30" s="23"/>
      <c r="M30" s="23"/>
      <c r="N30" s="23"/>
      <c r="O30" s="23"/>
      <c r="P30" s="32"/>
    </row>
    <row r="31" spans="1:16" ht="24" customHeight="1" x14ac:dyDescent="0.25">
      <c r="A31" s="45"/>
      <c r="B31" s="33" t="s">
        <v>69</v>
      </c>
      <c r="C31" s="30">
        <v>1</v>
      </c>
      <c r="D31" s="22">
        <f t="shared" si="1"/>
        <v>0</v>
      </c>
      <c r="E31" s="23"/>
      <c r="F31" s="23"/>
      <c r="G31" s="23"/>
      <c r="H31" s="23"/>
      <c r="I31" s="23"/>
      <c r="J31" s="23"/>
      <c r="K31" s="23"/>
      <c r="L31" s="23"/>
      <c r="M31" s="23"/>
      <c r="N31" s="23"/>
      <c r="O31" s="23"/>
      <c r="P31" s="32"/>
    </row>
    <row r="32" spans="1:16" ht="24" customHeight="1" x14ac:dyDescent="0.25">
      <c r="A32" s="45"/>
      <c r="B32" s="33" t="s">
        <v>70</v>
      </c>
      <c r="C32" s="30">
        <v>1</v>
      </c>
      <c r="D32" s="22">
        <f t="shared" si="1"/>
        <v>0</v>
      </c>
      <c r="E32" s="23"/>
      <c r="F32" s="23"/>
      <c r="G32" s="23"/>
      <c r="H32" s="23"/>
      <c r="I32" s="23"/>
      <c r="J32" s="23"/>
      <c r="K32" s="23"/>
      <c r="L32" s="23"/>
      <c r="M32" s="23"/>
      <c r="N32" s="23"/>
      <c r="O32" s="23"/>
      <c r="P32" s="32"/>
    </row>
    <row r="33" spans="1:16" ht="24" customHeight="1" x14ac:dyDescent="0.25">
      <c r="A33" s="45"/>
      <c r="B33" s="33" t="s">
        <v>71</v>
      </c>
      <c r="C33" s="30">
        <v>1</v>
      </c>
      <c r="D33" s="22">
        <f t="shared" si="1"/>
        <v>0</v>
      </c>
      <c r="E33" s="23"/>
      <c r="F33" s="23"/>
      <c r="G33" s="23"/>
      <c r="H33" s="23"/>
      <c r="I33" s="23"/>
      <c r="J33" s="23"/>
      <c r="K33" s="23"/>
      <c r="L33" s="23"/>
      <c r="M33" s="23"/>
      <c r="N33" s="23"/>
      <c r="O33" s="23"/>
      <c r="P33" s="32"/>
    </row>
    <row r="34" spans="1:16" ht="24" customHeight="1" x14ac:dyDescent="0.25">
      <c r="A34" s="45"/>
      <c r="B34" s="33" t="s">
        <v>72</v>
      </c>
      <c r="C34" s="30">
        <v>1</v>
      </c>
      <c r="D34" s="22">
        <f t="shared" si="1"/>
        <v>0</v>
      </c>
      <c r="E34" s="23"/>
      <c r="F34" s="23"/>
      <c r="G34" s="23"/>
      <c r="H34" s="23"/>
      <c r="I34" s="23"/>
      <c r="J34" s="23"/>
      <c r="K34" s="23"/>
      <c r="L34" s="23"/>
      <c r="M34" s="23"/>
      <c r="N34" s="23"/>
      <c r="O34" s="23"/>
      <c r="P34" s="32"/>
    </row>
    <row r="35" spans="1:16" ht="24" customHeight="1" x14ac:dyDescent="0.25">
      <c r="A35" s="45"/>
      <c r="B35" s="33" t="s">
        <v>73</v>
      </c>
      <c r="C35" s="30">
        <v>1</v>
      </c>
      <c r="D35" s="22">
        <f t="shared" si="1"/>
        <v>0</v>
      </c>
      <c r="E35" s="23"/>
      <c r="F35" s="23"/>
      <c r="G35" s="23"/>
      <c r="H35" s="23"/>
      <c r="I35" s="23"/>
      <c r="J35" s="23"/>
      <c r="K35" s="23"/>
      <c r="L35" s="23"/>
      <c r="M35" s="23"/>
      <c r="N35" s="23"/>
      <c r="O35" s="23"/>
      <c r="P35" s="32"/>
    </row>
    <row r="36" spans="1:16" ht="24" customHeight="1" thickBot="1" x14ac:dyDescent="0.3">
      <c r="A36" s="46"/>
      <c r="B36" s="34" t="s">
        <v>74</v>
      </c>
      <c r="C36" s="30">
        <v>1</v>
      </c>
      <c r="D36" s="22">
        <f t="shared" si="1"/>
        <v>0</v>
      </c>
      <c r="E36" s="23"/>
      <c r="F36" s="23"/>
      <c r="G36" s="23"/>
      <c r="H36" s="23"/>
      <c r="I36" s="23"/>
      <c r="J36" s="23"/>
      <c r="K36" s="23"/>
      <c r="L36" s="23"/>
      <c r="M36" s="23"/>
      <c r="N36" s="23"/>
      <c r="O36" s="23"/>
      <c r="P36" s="32"/>
    </row>
    <row r="37" spans="1:16" x14ac:dyDescent="0.25">
      <c r="C37" s="35">
        <f>SUM(C3:C36)</f>
        <v>471</v>
      </c>
      <c r="D37" s="36">
        <f>SUM(D3:D36)</f>
        <v>200</v>
      </c>
    </row>
    <row r="38" spans="1:16" x14ac:dyDescent="0.25">
      <c r="C38" s="37"/>
      <c r="D38" s="38">
        <f>D37/C37</f>
        <v>0.42462845010615713</v>
      </c>
    </row>
  </sheetData>
  <sheetProtection algorithmName="SHA-512" hashValue="9obflfD9deY0rSJ+zwXEa82EgIEWpYU28dajR7DP+VOU5iy809VWIMpTsLnr7DZpWaJg850gjt6O65c2pMfO1g==" saltValue="IfSfK7+qrrYANRKyDYtrSQ==" spinCount="100000" sheet="1" objects="1" scenarios="1" autoFilter="0"/>
  <mergeCells count="2">
    <mergeCell ref="A1:A2"/>
    <mergeCell ref="A9:A36"/>
  </mergeCells>
  <conditionalFormatting sqref="C8">
    <cfRule type="dataBar" priority="2">
      <dataBar>
        <cfvo type="min"/>
        <cfvo type="max"/>
        <color rgb="FF008AEF"/>
      </dataBar>
      <extLst>
        <ext xmlns:x14="http://schemas.microsoft.com/office/spreadsheetml/2009/9/main" uri="{B025F937-C7B1-47D3-B67F-A62EFF666E3E}">
          <x14:id>{E79638BD-6953-4F27-8F81-626489A2C64F}</x14:id>
        </ext>
      </extLst>
    </cfRule>
  </conditionalFormatting>
  <conditionalFormatting sqref="C3:D3">
    <cfRule type="dataBar" priority="6">
      <dataBar>
        <cfvo type="min"/>
        <cfvo type="max"/>
        <color rgb="FF008AEF"/>
      </dataBar>
      <extLst>
        <ext xmlns:x14="http://schemas.microsoft.com/office/spreadsheetml/2009/9/main" uri="{B025F937-C7B1-47D3-B67F-A62EFF666E3E}">
          <x14:id>{F1101844-C24E-4AC0-8092-194ED6CC1817}</x14:id>
        </ext>
      </extLst>
    </cfRule>
  </conditionalFormatting>
  <conditionalFormatting sqref="C4:D4">
    <cfRule type="dataBar" priority="8">
      <dataBar>
        <cfvo type="min"/>
        <cfvo type="max"/>
        <color rgb="FF008AEF"/>
      </dataBar>
      <extLst>
        <ext xmlns:x14="http://schemas.microsoft.com/office/spreadsheetml/2009/9/main" uri="{B025F937-C7B1-47D3-B67F-A62EFF666E3E}">
          <x14:id>{24F90107-0AF5-4920-8A38-67AAC02ED2E0}</x14:id>
        </ext>
      </extLst>
    </cfRule>
  </conditionalFormatting>
  <conditionalFormatting sqref="C5:D5">
    <cfRule type="dataBar" priority="9">
      <dataBar>
        <cfvo type="min"/>
        <cfvo type="max"/>
        <color rgb="FF008AEF"/>
      </dataBar>
      <extLst>
        <ext xmlns:x14="http://schemas.microsoft.com/office/spreadsheetml/2009/9/main" uri="{B025F937-C7B1-47D3-B67F-A62EFF666E3E}">
          <x14:id>{28591A0C-A02C-4977-A3A5-550F84880CA0}</x14:id>
        </ext>
      </extLst>
    </cfRule>
  </conditionalFormatting>
  <conditionalFormatting sqref="C6:D6">
    <cfRule type="dataBar" priority="10">
      <dataBar>
        <cfvo type="min"/>
        <cfvo type="max"/>
        <color rgb="FF008AEF"/>
      </dataBar>
      <extLst>
        <ext xmlns:x14="http://schemas.microsoft.com/office/spreadsheetml/2009/9/main" uri="{B025F937-C7B1-47D3-B67F-A62EFF666E3E}">
          <x14:id>{0D9084ED-B468-4C6F-A6E0-9D071E6C159A}</x14:id>
        </ext>
      </extLst>
    </cfRule>
  </conditionalFormatting>
  <conditionalFormatting sqref="C7:D7">
    <cfRule type="dataBar" priority="11">
      <dataBar>
        <cfvo type="min"/>
        <cfvo type="max"/>
        <color rgb="FF008AEF"/>
      </dataBar>
      <extLst>
        <ext xmlns:x14="http://schemas.microsoft.com/office/spreadsheetml/2009/9/main" uri="{B025F937-C7B1-47D3-B67F-A62EFF666E3E}">
          <x14:id>{D03739B6-F45A-450B-99C9-12A0C0FCA626}</x14:id>
        </ext>
      </extLst>
    </cfRule>
  </conditionalFormatting>
  <conditionalFormatting sqref="C9:D9">
    <cfRule type="dataBar" priority="13">
      <dataBar>
        <cfvo type="min"/>
        <cfvo type="max"/>
        <color rgb="FF008AEF"/>
      </dataBar>
      <extLst>
        <ext xmlns:x14="http://schemas.microsoft.com/office/spreadsheetml/2009/9/main" uri="{B025F937-C7B1-47D3-B67F-A62EFF666E3E}">
          <x14:id>{FFA03968-3E31-4925-A5B7-5D8990C31122}</x14:id>
        </ext>
      </extLst>
    </cfRule>
  </conditionalFormatting>
  <conditionalFormatting sqref="C10:D10">
    <cfRule type="dataBar" priority="40">
      <dataBar>
        <cfvo type="min"/>
        <cfvo type="max"/>
        <color rgb="FF008AEF"/>
      </dataBar>
      <extLst>
        <ext xmlns:x14="http://schemas.microsoft.com/office/spreadsheetml/2009/9/main" uri="{B025F937-C7B1-47D3-B67F-A62EFF666E3E}">
          <x14:id>{F637AA7D-8FBB-4438-855A-DA9E3F92ABFD}</x14:id>
        </ext>
      </extLst>
    </cfRule>
  </conditionalFormatting>
  <conditionalFormatting sqref="C11:D11">
    <cfRule type="dataBar" priority="39">
      <dataBar>
        <cfvo type="min"/>
        <cfvo type="max"/>
        <color rgb="FF008AEF"/>
      </dataBar>
      <extLst>
        <ext xmlns:x14="http://schemas.microsoft.com/office/spreadsheetml/2009/9/main" uri="{B025F937-C7B1-47D3-B67F-A62EFF666E3E}">
          <x14:id>{50771815-39DA-4037-B21B-B5D203345519}</x14:id>
        </ext>
      </extLst>
    </cfRule>
  </conditionalFormatting>
  <conditionalFormatting sqref="C12:D12">
    <cfRule type="dataBar" priority="38">
      <dataBar>
        <cfvo type="min"/>
        <cfvo type="max"/>
        <color rgb="FF008AEF"/>
      </dataBar>
      <extLst>
        <ext xmlns:x14="http://schemas.microsoft.com/office/spreadsheetml/2009/9/main" uri="{B025F937-C7B1-47D3-B67F-A62EFF666E3E}">
          <x14:id>{6BDA1F71-09F7-4C1B-8884-208CF92BBE99}</x14:id>
        </ext>
      </extLst>
    </cfRule>
  </conditionalFormatting>
  <conditionalFormatting sqref="C13:D13">
    <cfRule type="dataBar" priority="37">
      <dataBar>
        <cfvo type="min"/>
        <cfvo type="max"/>
        <color rgb="FF008AEF"/>
      </dataBar>
      <extLst>
        <ext xmlns:x14="http://schemas.microsoft.com/office/spreadsheetml/2009/9/main" uri="{B025F937-C7B1-47D3-B67F-A62EFF666E3E}">
          <x14:id>{1A4BB22D-132D-4F6A-9A8E-7465C5DA2ACA}</x14:id>
        </ext>
      </extLst>
    </cfRule>
  </conditionalFormatting>
  <conditionalFormatting sqref="C14:D14">
    <cfRule type="dataBar" priority="36">
      <dataBar>
        <cfvo type="min"/>
        <cfvo type="max"/>
        <color rgb="FF008AEF"/>
      </dataBar>
      <extLst>
        <ext xmlns:x14="http://schemas.microsoft.com/office/spreadsheetml/2009/9/main" uri="{B025F937-C7B1-47D3-B67F-A62EFF666E3E}">
          <x14:id>{0C0F1D86-477D-4DFE-95EB-C678DA6117D9}</x14:id>
        </ext>
      </extLst>
    </cfRule>
  </conditionalFormatting>
  <conditionalFormatting sqref="C15:D15">
    <cfRule type="dataBar" priority="35">
      <dataBar>
        <cfvo type="min"/>
        <cfvo type="max"/>
        <color rgb="FF008AEF"/>
      </dataBar>
      <extLst>
        <ext xmlns:x14="http://schemas.microsoft.com/office/spreadsheetml/2009/9/main" uri="{B025F937-C7B1-47D3-B67F-A62EFF666E3E}">
          <x14:id>{2737DA97-6D34-4E72-AEAB-CE895527B56C}</x14:id>
        </ext>
      </extLst>
    </cfRule>
  </conditionalFormatting>
  <conditionalFormatting sqref="C16:D16">
    <cfRule type="dataBar" priority="34">
      <dataBar>
        <cfvo type="min"/>
        <cfvo type="max"/>
        <color rgb="FF008AEF"/>
      </dataBar>
      <extLst>
        <ext xmlns:x14="http://schemas.microsoft.com/office/spreadsheetml/2009/9/main" uri="{B025F937-C7B1-47D3-B67F-A62EFF666E3E}">
          <x14:id>{DD93EFD4-3701-47B3-AD53-B8B52276CA60}</x14:id>
        </ext>
      </extLst>
    </cfRule>
  </conditionalFormatting>
  <conditionalFormatting sqref="C17:D17">
    <cfRule type="dataBar" priority="33">
      <dataBar>
        <cfvo type="min"/>
        <cfvo type="max"/>
        <color rgb="FF008AEF"/>
      </dataBar>
      <extLst>
        <ext xmlns:x14="http://schemas.microsoft.com/office/spreadsheetml/2009/9/main" uri="{B025F937-C7B1-47D3-B67F-A62EFF666E3E}">
          <x14:id>{BD0E554E-0110-4112-A3ED-AFCD2267DD2D}</x14:id>
        </ext>
      </extLst>
    </cfRule>
  </conditionalFormatting>
  <conditionalFormatting sqref="C18:D18">
    <cfRule type="dataBar" priority="32">
      <dataBar>
        <cfvo type="min"/>
        <cfvo type="max"/>
        <color rgb="FF008AEF"/>
      </dataBar>
      <extLst>
        <ext xmlns:x14="http://schemas.microsoft.com/office/spreadsheetml/2009/9/main" uri="{B025F937-C7B1-47D3-B67F-A62EFF666E3E}">
          <x14:id>{4F13BC30-E74F-44D8-90EE-396CA1F7E51A}</x14:id>
        </ext>
      </extLst>
    </cfRule>
  </conditionalFormatting>
  <conditionalFormatting sqref="C19:D19">
    <cfRule type="dataBar" priority="31">
      <dataBar>
        <cfvo type="min"/>
        <cfvo type="max"/>
        <color rgb="FF008AEF"/>
      </dataBar>
      <extLst>
        <ext xmlns:x14="http://schemas.microsoft.com/office/spreadsheetml/2009/9/main" uri="{B025F937-C7B1-47D3-B67F-A62EFF666E3E}">
          <x14:id>{DED2BDA7-ECA3-41B9-86A3-FC620E9654E5}</x14:id>
        </ext>
      </extLst>
    </cfRule>
  </conditionalFormatting>
  <conditionalFormatting sqref="C20:D20">
    <cfRule type="dataBar" priority="30">
      <dataBar>
        <cfvo type="min"/>
        <cfvo type="max"/>
        <color rgb="FF008AEF"/>
      </dataBar>
      <extLst>
        <ext xmlns:x14="http://schemas.microsoft.com/office/spreadsheetml/2009/9/main" uri="{B025F937-C7B1-47D3-B67F-A62EFF666E3E}">
          <x14:id>{313EA485-ACD6-4591-B28C-94ED7D0991AA}</x14:id>
        </ext>
      </extLst>
    </cfRule>
  </conditionalFormatting>
  <conditionalFormatting sqref="C21:D21">
    <cfRule type="dataBar" priority="29">
      <dataBar>
        <cfvo type="min"/>
        <cfvo type="max"/>
        <color rgb="FF008AEF"/>
      </dataBar>
      <extLst>
        <ext xmlns:x14="http://schemas.microsoft.com/office/spreadsheetml/2009/9/main" uri="{B025F937-C7B1-47D3-B67F-A62EFF666E3E}">
          <x14:id>{8EA15FF3-C431-41EC-9C28-B3979B2F5898}</x14:id>
        </ext>
      </extLst>
    </cfRule>
  </conditionalFormatting>
  <conditionalFormatting sqref="C22:D22">
    <cfRule type="dataBar" priority="28">
      <dataBar>
        <cfvo type="min"/>
        <cfvo type="max"/>
        <color rgb="FF008AEF"/>
      </dataBar>
      <extLst>
        <ext xmlns:x14="http://schemas.microsoft.com/office/spreadsheetml/2009/9/main" uri="{B025F937-C7B1-47D3-B67F-A62EFF666E3E}">
          <x14:id>{3D59D669-2E40-445F-8297-3DDB3C93647B}</x14:id>
        </ext>
      </extLst>
    </cfRule>
  </conditionalFormatting>
  <conditionalFormatting sqref="C23:D23">
    <cfRule type="dataBar" priority="27">
      <dataBar>
        <cfvo type="min"/>
        <cfvo type="max"/>
        <color rgb="FF008AEF"/>
      </dataBar>
      <extLst>
        <ext xmlns:x14="http://schemas.microsoft.com/office/spreadsheetml/2009/9/main" uri="{B025F937-C7B1-47D3-B67F-A62EFF666E3E}">
          <x14:id>{69399132-989D-433E-8778-63076C1EDCF4}</x14:id>
        </ext>
      </extLst>
    </cfRule>
  </conditionalFormatting>
  <conditionalFormatting sqref="C24:D24">
    <cfRule type="dataBar" priority="26">
      <dataBar>
        <cfvo type="min"/>
        <cfvo type="max"/>
        <color rgb="FF008AEF"/>
      </dataBar>
      <extLst>
        <ext xmlns:x14="http://schemas.microsoft.com/office/spreadsheetml/2009/9/main" uri="{B025F937-C7B1-47D3-B67F-A62EFF666E3E}">
          <x14:id>{9F7A336D-35A4-4D98-8415-877EAE48746B}</x14:id>
        </ext>
      </extLst>
    </cfRule>
  </conditionalFormatting>
  <conditionalFormatting sqref="C25:D25">
    <cfRule type="dataBar" priority="25">
      <dataBar>
        <cfvo type="min"/>
        <cfvo type="max"/>
        <color rgb="FF008AEF"/>
      </dataBar>
      <extLst>
        <ext xmlns:x14="http://schemas.microsoft.com/office/spreadsheetml/2009/9/main" uri="{B025F937-C7B1-47D3-B67F-A62EFF666E3E}">
          <x14:id>{653817C3-63C4-4094-BCD1-95425FE7258F}</x14:id>
        </ext>
      </extLst>
    </cfRule>
  </conditionalFormatting>
  <conditionalFormatting sqref="C26:D26">
    <cfRule type="dataBar" priority="24">
      <dataBar>
        <cfvo type="min"/>
        <cfvo type="max"/>
        <color rgb="FF008AEF"/>
      </dataBar>
      <extLst>
        <ext xmlns:x14="http://schemas.microsoft.com/office/spreadsheetml/2009/9/main" uri="{B025F937-C7B1-47D3-B67F-A62EFF666E3E}">
          <x14:id>{A74AFD50-66E4-4629-B03A-DDD2B0EE2FA7}</x14:id>
        </ext>
      </extLst>
    </cfRule>
  </conditionalFormatting>
  <conditionalFormatting sqref="C27:D27">
    <cfRule type="dataBar" priority="23">
      <dataBar>
        <cfvo type="min"/>
        <cfvo type="max"/>
        <color rgb="FF008AEF"/>
      </dataBar>
      <extLst>
        <ext xmlns:x14="http://schemas.microsoft.com/office/spreadsheetml/2009/9/main" uri="{B025F937-C7B1-47D3-B67F-A62EFF666E3E}">
          <x14:id>{84BB8934-0210-4C25-82FE-B83B680BF3FF}</x14:id>
        </ext>
      </extLst>
    </cfRule>
  </conditionalFormatting>
  <conditionalFormatting sqref="C28:D28">
    <cfRule type="dataBar" priority="22">
      <dataBar>
        <cfvo type="min"/>
        <cfvo type="max"/>
        <color rgb="FF008AEF"/>
      </dataBar>
      <extLst>
        <ext xmlns:x14="http://schemas.microsoft.com/office/spreadsheetml/2009/9/main" uri="{B025F937-C7B1-47D3-B67F-A62EFF666E3E}">
          <x14:id>{79BFCBCE-2B8D-41DE-8FF9-348FA91A3AC9}</x14:id>
        </ext>
      </extLst>
    </cfRule>
  </conditionalFormatting>
  <conditionalFormatting sqref="C29:D29">
    <cfRule type="dataBar" priority="21">
      <dataBar>
        <cfvo type="min"/>
        <cfvo type="max"/>
        <color rgb="FF008AEF"/>
      </dataBar>
      <extLst>
        <ext xmlns:x14="http://schemas.microsoft.com/office/spreadsheetml/2009/9/main" uri="{B025F937-C7B1-47D3-B67F-A62EFF666E3E}">
          <x14:id>{21772A3F-9008-4972-B94F-5F737CF89AA5}</x14:id>
        </ext>
      </extLst>
    </cfRule>
  </conditionalFormatting>
  <conditionalFormatting sqref="C30:D30">
    <cfRule type="dataBar" priority="20">
      <dataBar>
        <cfvo type="min"/>
        <cfvo type="max"/>
        <color rgb="FF008AEF"/>
      </dataBar>
      <extLst>
        <ext xmlns:x14="http://schemas.microsoft.com/office/spreadsheetml/2009/9/main" uri="{B025F937-C7B1-47D3-B67F-A62EFF666E3E}">
          <x14:id>{7A80E758-8053-49D8-B131-BE63C421691F}</x14:id>
        </ext>
      </extLst>
    </cfRule>
  </conditionalFormatting>
  <conditionalFormatting sqref="C31:D31">
    <cfRule type="dataBar" priority="19">
      <dataBar>
        <cfvo type="min"/>
        <cfvo type="max"/>
        <color rgb="FF008AEF"/>
      </dataBar>
      <extLst>
        <ext xmlns:x14="http://schemas.microsoft.com/office/spreadsheetml/2009/9/main" uri="{B025F937-C7B1-47D3-B67F-A62EFF666E3E}">
          <x14:id>{4751AB9E-8C82-458C-8532-6CA8F8803850}</x14:id>
        </ext>
      </extLst>
    </cfRule>
  </conditionalFormatting>
  <conditionalFormatting sqref="C32:D32">
    <cfRule type="dataBar" priority="18">
      <dataBar>
        <cfvo type="min"/>
        <cfvo type="max"/>
        <color rgb="FF008AEF"/>
      </dataBar>
      <extLst>
        <ext xmlns:x14="http://schemas.microsoft.com/office/spreadsheetml/2009/9/main" uri="{B025F937-C7B1-47D3-B67F-A62EFF666E3E}">
          <x14:id>{B5AD8055-C1E2-425D-B553-65CE64BFBEC5}</x14:id>
        </ext>
      </extLst>
    </cfRule>
  </conditionalFormatting>
  <conditionalFormatting sqref="C33:D33">
    <cfRule type="dataBar" priority="17">
      <dataBar>
        <cfvo type="min"/>
        <cfvo type="max"/>
        <color rgb="FF008AEF"/>
      </dataBar>
      <extLst>
        <ext xmlns:x14="http://schemas.microsoft.com/office/spreadsheetml/2009/9/main" uri="{B025F937-C7B1-47D3-B67F-A62EFF666E3E}">
          <x14:id>{D92047B4-D56E-4511-87B7-62D571BF7A9F}</x14:id>
        </ext>
      </extLst>
    </cfRule>
  </conditionalFormatting>
  <conditionalFormatting sqref="C34:D34">
    <cfRule type="dataBar" priority="16">
      <dataBar>
        <cfvo type="min"/>
        <cfvo type="max"/>
        <color rgb="FF008AEF"/>
      </dataBar>
      <extLst>
        <ext xmlns:x14="http://schemas.microsoft.com/office/spreadsheetml/2009/9/main" uri="{B025F937-C7B1-47D3-B67F-A62EFF666E3E}">
          <x14:id>{6406108D-ACEB-43EE-810C-71C3E1AC2F7B}</x14:id>
        </ext>
      </extLst>
    </cfRule>
  </conditionalFormatting>
  <conditionalFormatting sqref="C35:D35">
    <cfRule type="dataBar" priority="15">
      <dataBar>
        <cfvo type="min"/>
        <cfvo type="max"/>
        <color rgb="FF008AEF"/>
      </dataBar>
      <extLst>
        <ext xmlns:x14="http://schemas.microsoft.com/office/spreadsheetml/2009/9/main" uri="{B025F937-C7B1-47D3-B67F-A62EFF666E3E}">
          <x14:id>{F56F6951-5835-4CE2-827C-85EAD3602A67}</x14:id>
        </ext>
      </extLst>
    </cfRule>
  </conditionalFormatting>
  <conditionalFormatting sqref="C36:D36">
    <cfRule type="dataBar" priority="14">
      <dataBar>
        <cfvo type="min"/>
        <cfvo type="max"/>
        <color rgb="FF008AEF"/>
      </dataBar>
      <extLst>
        <ext xmlns:x14="http://schemas.microsoft.com/office/spreadsheetml/2009/9/main" uri="{B025F937-C7B1-47D3-B67F-A62EFF666E3E}">
          <x14:id>{071EB97D-62D9-4B54-B239-D99FBF653605}</x14:id>
        </ext>
      </extLst>
    </cfRule>
  </conditionalFormatting>
  <conditionalFormatting sqref="D3:D8">
    <cfRule type="dataBar" priority="47">
      <dataBar>
        <cfvo type="min"/>
        <cfvo type="max"/>
        <color rgb="FF008AEF"/>
      </dataBar>
      <extLst>
        <ext xmlns:x14="http://schemas.microsoft.com/office/spreadsheetml/2009/9/main" uri="{B025F937-C7B1-47D3-B67F-A62EFF666E3E}">
          <x14:id>{FB6874ED-8084-4087-8556-65D7871C53FE}</x14:id>
        </ext>
      </extLst>
    </cfRule>
  </conditionalFormatting>
  <conditionalFormatting sqref="G9:O32">
    <cfRule type="cellIs" dxfId="10" priority="12" operator="greaterThan">
      <formula>0</formula>
    </cfRule>
  </conditionalFormatting>
  <conditionalFormatting sqref="G3:P8 E3:F32 E33:O36">
    <cfRule type="cellIs" dxfId="9" priority="3" operator="greaterThan">
      <formula>0</formula>
    </cfRule>
  </conditionalFormatting>
  <pageMargins left="0.7" right="0.7" top="0.75" bottom="0.75"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dataBar" id="{E79638BD-6953-4F27-8F81-626489A2C64F}">
            <x14:dataBar minLength="0" maxLength="100" gradient="0">
              <x14:cfvo type="autoMin"/>
              <x14:cfvo type="autoMax"/>
              <x14:negativeFillColor rgb="FFFF0000"/>
              <x14:axisColor rgb="FF000000"/>
            </x14:dataBar>
          </x14:cfRule>
          <xm:sqref>C8</xm:sqref>
        </x14:conditionalFormatting>
        <x14:conditionalFormatting xmlns:xm="http://schemas.microsoft.com/office/excel/2006/main">
          <x14:cfRule type="dataBar" id="{F1101844-C24E-4AC0-8092-194ED6CC1817}">
            <x14:dataBar minLength="0" maxLength="100" gradient="0">
              <x14:cfvo type="autoMin"/>
              <x14:cfvo type="autoMax"/>
              <x14:negativeFillColor rgb="FFFF0000"/>
              <x14:axisColor rgb="FF000000"/>
            </x14:dataBar>
          </x14:cfRule>
          <xm:sqref>C3:D3</xm:sqref>
        </x14:conditionalFormatting>
        <x14:conditionalFormatting xmlns:xm="http://schemas.microsoft.com/office/excel/2006/main">
          <x14:cfRule type="dataBar" id="{24F90107-0AF5-4920-8A38-67AAC02ED2E0}">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28591A0C-A02C-4977-A3A5-550F84880CA0}">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0D9084ED-B468-4C6F-A6E0-9D071E6C159A}">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D03739B6-F45A-450B-99C9-12A0C0FCA626}">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FFA03968-3E31-4925-A5B7-5D8990C31122}">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F637AA7D-8FBB-4438-855A-DA9E3F92ABFD}">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50771815-39DA-4037-B21B-B5D203345519}">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6BDA1F71-09F7-4C1B-8884-208CF92BBE99}">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1A4BB22D-132D-4F6A-9A8E-7465C5DA2ACA}">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0C0F1D86-477D-4DFE-95EB-C678DA6117D9}">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2737DA97-6D34-4E72-AEAB-CE895527B56C}">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DD93EFD4-3701-47B3-AD53-B8B52276CA60}">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BD0E554E-0110-4112-A3ED-AFCD2267DD2D}">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4F13BC30-E74F-44D8-90EE-396CA1F7E51A}">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DED2BDA7-ECA3-41B9-86A3-FC620E9654E5}">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313EA485-ACD6-4591-B28C-94ED7D0991AA}">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8EA15FF3-C431-41EC-9C28-B3979B2F5898}">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3D59D669-2E40-445F-8297-3DDB3C93647B}">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69399132-989D-433E-8778-63076C1EDCF4}">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9F7A336D-35A4-4D98-8415-877EAE48746B}">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653817C3-63C4-4094-BCD1-95425FE7258F}">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A74AFD50-66E4-4629-B03A-DDD2B0EE2FA7}">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84BB8934-0210-4C25-82FE-B83B680BF3FF}">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79BFCBCE-2B8D-41DE-8FF9-348FA91A3AC9}">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21772A3F-9008-4972-B94F-5F737CF89AA5}">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7A80E758-8053-49D8-B131-BE63C421691F}">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4751AB9E-8C82-458C-8532-6CA8F8803850}">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B5AD8055-C1E2-425D-B553-65CE64BFBEC5}">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D92047B4-D56E-4511-87B7-62D571BF7A9F}">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6406108D-ACEB-43EE-810C-71C3E1AC2F7B}">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F56F6951-5835-4CE2-827C-85EAD3602A67}">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071EB97D-62D9-4B54-B239-D99FBF653605}">
            <x14:dataBar minLength="0" maxLength="100" gradient="0">
              <x14:cfvo type="autoMin"/>
              <x14:cfvo type="autoMax"/>
              <x14:negativeFillColor rgb="FFFF0000"/>
              <x14:axisColor rgb="FF000000"/>
            </x14:dataBar>
          </x14:cfRule>
          <xm:sqref>C36:D36</xm:sqref>
        </x14:conditionalFormatting>
        <x14:conditionalFormatting xmlns:xm="http://schemas.microsoft.com/office/excel/2006/main">
          <x14:cfRule type="dataBar" id="{FB6874ED-8084-4087-8556-65D7871C53FE}">
            <x14:dataBar minLength="0" maxLength="100" gradient="0">
              <x14:cfvo type="autoMin"/>
              <x14:cfvo type="autoMax"/>
              <x14:negativeFillColor rgb="FFFF0000"/>
              <x14:axisColor rgb="FF000000"/>
            </x14:dataBar>
          </x14:cfRule>
          <xm:sqref>D3:D8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P38"/>
  <sheetViews>
    <sheetView topLeftCell="A8" zoomScale="70" zoomScaleNormal="70" workbookViewId="0">
      <selection activeCell="G20" sqref="G20"/>
    </sheetView>
  </sheetViews>
  <sheetFormatPr baseColWidth="10" defaultColWidth="11.42578125" defaultRowHeight="15" x14ac:dyDescent="0.25"/>
  <cols>
    <col min="1" max="1" width="8.42578125" style="2" customWidth="1"/>
    <col min="2" max="2" width="106.5703125" style="2" customWidth="1"/>
    <col min="3" max="3" width="11.42578125" style="2"/>
    <col min="4" max="4" width="22.42578125" style="2" customWidth="1"/>
    <col min="5" max="9" width="17.28515625" style="2" customWidth="1"/>
    <col min="10" max="16384" width="11.42578125" style="2"/>
  </cols>
  <sheetData>
    <row r="1" spans="1:16" ht="61.5" customHeight="1" x14ac:dyDescent="0.25">
      <c r="A1" s="42" t="s">
        <v>1</v>
      </c>
      <c r="B1" s="16" t="s">
        <v>25</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3" customFormat="1" ht="15.75" thickBot="1" x14ac:dyDescent="0.3">
      <c r="A2" s="43"/>
      <c r="B2" s="16"/>
      <c r="C2" s="17">
        <v>2026</v>
      </c>
      <c r="D2" s="17" t="s">
        <v>16</v>
      </c>
      <c r="E2" s="18"/>
      <c r="F2" s="18"/>
      <c r="G2" s="18"/>
      <c r="H2" s="18"/>
      <c r="I2" s="18"/>
      <c r="J2" s="18"/>
      <c r="K2" s="18"/>
      <c r="L2" s="18"/>
      <c r="M2" s="18"/>
      <c r="N2" s="18"/>
      <c r="O2" s="18"/>
      <c r="P2" s="18"/>
    </row>
    <row r="3" spans="1:16" ht="81" customHeight="1" thickBot="1" x14ac:dyDescent="0.3">
      <c r="A3" s="19" t="s">
        <v>20</v>
      </c>
      <c r="B3" s="6" t="s">
        <v>26</v>
      </c>
      <c r="C3" s="21">
        <v>2</v>
      </c>
      <c r="D3" s="22">
        <f t="shared" ref="D3:D8" si="0">SUM(E3:P3)</f>
        <v>0</v>
      </c>
      <c r="E3" s="23"/>
      <c r="F3" s="23"/>
      <c r="G3" s="23"/>
      <c r="H3" s="23"/>
      <c r="I3" s="23"/>
      <c r="J3" s="23"/>
      <c r="K3" s="23"/>
      <c r="L3" s="23"/>
      <c r="M3" s="23"/>
      <c r="N3" s="23"/>
      <c r="O3" s="23"/>
      <c r="P3" s="23"/>
    </row>
    <row r="4" spans="1:16" ht="81" customHeight="1" thickBot="1" x14ac:dyDescent="0.3">
      <c r="A4" s="24" t="s">
        <v>18</v>
      </c>
      <c r="B4" s="7" t="s">
        <v>17</v>
      </c>
      <c r="C4" s="26">
        <v>1</v>
      </c>
      <c r="D4" s="22">
        <f t="shared" si="0"/>
        <v>0</v>
      </c>
      <c r="E4" s="23">
        <v>0</v>
      </c>
      <c r="F4" s="23">
        <v>0</v>
      </c>
      <c r="G4" s="23">
        <v>0</v>
      </c>
      <c r="H4" s="23">
        <v>0</v>
      </c>
      <c r="I4" s="23"/>
      <c r="J4" s="23"/>
      <c r="K4" s="23"/>
      <c r="L4" s="23"/>
      <c r="M4" s="23"/>
      <c r="N4" s="23"/>
      <c r="O4" s="23"/>
      <c r="P4" s="23"/>
    </row>
    <row r="5" spans="1:16" ht="81" customHeight="1" thickBot="1" x14ac:dyDescent="0.3">
      <c r="A5" s="19" t="s">
        <v>20</v>
      </c>
      <c r="B5" s="6" t="s">
        <v>19</v>
      </c>
      <c r="C5" s="30">
        <v>1</v>
      </c>
      <c r="D5" s="22">
        <f t="shared" si="0"/>
        <v>0</v>
      </c>
      <c r="E5" s="23"/>
      <c r="F5" s="23"/>
      <c r="G5" s="23"/>
      <c r="H5" s="23"/>
      <c r="I5" s="23"/>
      <c r="J5" s="23"/>
      <c r="K5" s="23"/>
      <c r="L5" s="23"/>
      <c r="M5" s="23"/>
      <c r="N5" s="23"/>
      <c r="O5" s="23"/>
      <c r="P5" s="23"/>
    </row>
    <row r="6" spans="1:16" ht="81" customHeight="1" thickBot="1" x14ac:dyDescent="0.3">
      <c r="A6" s="19" t="s">
        <v>20</v>
      </c>
      <c r="B6" s="6" t="s">
        <v>21</v>
      </c>
      <c r="C6" s="30">
        <v>2</v>
      </c>
      <c r="D6" s="22">
        <f t="shared" si="0"/>
        <v>1</v>
      </c>
      <c r="E6" s="23"/>
      <c r="F6" s="23"/>
      <c r="G6" s="23"/>
      <c r="H6" s="23"/>
      <c r="I6" s="23">
        <v>1</v>
      </c>
      <c r="J6" s="23"/>
      <c r="K6" s="23"/>
      <c r="L6" s="23"/>
      <c r="M6" s="23"/>
      <c r="N6" s="23"/>
      <c r="O6" s="23"/>
      <c r="P6" s="23"/>
    </row>
    <row r="7" spans="1:16" ht="81" customHeight="1" thickBot="1" x14ac:dyDescent="0.3">
      <c r="A7" s="19" t="s">
        <v>20</v>
      </c>
      <c r="B7" s="6" t="s">
        <v>22</v>
      </c>
      <c r="C7" s="30">
        <v>1</v>
      </c>
      <c r="D7" s="22">
        <f t="shared" si="0"/>
        <v>0</v>
      </c>
      <c r="E7" s="23"/>
      <c r="F7" s="23"/>
      <c r="G7" s="23"/>
      <c r="H7" s="23"/>
      <c r="I7" s="23"/>
      <c r="J7" s="23"/>
      <c r="K7" s="23"/>
      <c r="L7" s="23"/>
      <c r="M7" s="23"/>
      <c r="N7" s="23"/>
      <c r="O7" s="23"/>
      <c r="P7" s="23"/>
    </row>
    <row r="8" spans="1:16" ht="81" customHeight="1" thickBot="1" x14ac:dyDescent="0.3">
      <c r="A8" s="19" t="s">
        <v>20</v>
      </c>
      <c r="B8" s="6" t="s">
        <v>27</v>
      </c>
      <c r="C8" s="30">
        <v>1</v>
      </c>
      <c r="D8" s="22">
        <f t="shared" si="0"/>
        <v>0</v>
      </c>
      <c r="E8" s="23"/>
      <c r="F8" s="23"/>
      <c r="G8" s="23"/>
      <c r="H8" s="23"/>
      <c r="I8" s="23"/>
      <c r="J8" s="23"/>
      <c r="K8" s="23"/>
      <c r="L8" s="23"/>
      <c r="M8" s="23"/>
      <c r="N8" s="23"/>
      <c r="O8" s="23"/>
      <c r="P8" s="23"/>
    </row>
    <row r="9" spans="1:16" ht="28.5" customHeight="1" x14ac:dyDescent="0.25">
      <c r="A9" s="44" t="s">
        <v>46</v>
      </c>
      <c r="B9" s="31" t="s">
        <v>47</v>
      </c>
      <c r="C9" s="30">
        <v>3</v>
      </c>
      <c r="D9" s="22">
        <f t="shared" ref="D9:D36" si="1">SUM(E9:O9)</f>
        <v>1</v>
      </c>
      <c r="E9" s="23"/>
      <c r="F9" s="23"/>
      <c r="G9" s="23">
        <v>1</v>
      </c>
      <c r="H9" s="23"/>
      <c r="I9" s="23"/>
      <c r="J9" s="23"/>
      <c r="K9" s="23"/>
      <c r="L9" s="23"/>
      <c r="M9" s="23"/>
      <c r="N9" s="23"/>
      <c r="O9" s="23"/>
      <c r="P9" s="32"/>
    </row>
    <row r="10" spans="1:16" ht="28.5" customHeight="1" x14ac:dyDescent="0.25">
      <c r="A10" s="45"/>
      <c r="B10" s="31" t="s">
        <v>48</v>
      </c>
      <c r="C10" s="30">
        <v>3</v>
      </c>
      <c r="D10" s="22">
        <f t="shared" si="1"/>
        <v>0</v>
      </c>
      <c r="E10" s="23"/>
      <c r="F10" s="23"/>
      <c r="G10" s="23"/>
      <c r="H10" s="23"/>
      <c r="I10" s="23"/>
      <c r="J10" s="23"/>
      <c r="K10" s="23"/>
      <c r="L10" s="23"/>
      <c r="M10" s="23"/>
      <c r="N10" s="23"/>
      <c r="O10" s="23"/>
      <c r="P10" s="32"/>
    </row>
    <row r="11" spans="1:16" ht="28.5" customHeight="1" x14ac:dyDescent="0.25">
      <c r="A11" s="45"/>
      <c r="B11" s="31" t="s">
        <v>49</v>
      </c>
      <c r="C11" s="30">
        <v>96</v>
      </c>
      <c r="D11" s="22">
        <f t="shared" si="1"/>
        <v>33</v>
      </c>
      <c r="E11" s="23"/>
      <c r="F11" s="23">
        <v>13</v>
      </c>
      <c r="G11" s="23">
        <v>11</v>
      </c>
      <c r="H11" s="23">
        <v>7</v>
      </c>
      <c r="I11" s="23">
        <v>1</v>
      </c>
      <c r="J11" s="23">
        <v>1</v>
      </c>
      <c r="K11" s="23"/>
      <c r="L11" s="23"/>
      <c r="M11" s="23"/>
      <c r="N11" s="23"/>
      <c r="O11" s="23"/>
      <c r="P11" s="32"/>
    </row>
    <row r="12" spans="1:16" ht="28.5" customHeight="1" x14ac:dyDescent="0.25">
      <c r="A12" s="45"/>
      <c r="B12" s="31" t="s">
        <v>50</v>
      </c>
      <c r="C12" s="30">
        <v>43</v>
      </c>
      <c r="D12" s="22">
        <f t="shared" si="1"/>
        <v>24</v>
      </c>
      <c r="E12" s="23"/>
      <c r="F12" s="23"/>
      <c r="G12" s="23">
        <v>13</v>
      </c>
      <c r="H12" s="23">
        <v>11</v>
      </c>
      <c r="I12" s="23"/>
      <c r="J12" s="23"/>
      <c r="K12" s="23"/>
      <c r="L12" s="23"/>
      <c r="M12" s="23"/>
      <c r="N12" s="23"/>
      <c r="O12" s="23"/>
      <c r="P12" s="32"/>
    </row>
    <row r="13" spans="1:16" ht="28.5" customHeight="1" x14ac:dyDescent="0.25">
      <c r="A13" s="45"/>
      <c r="B13" s="31" t="s">
        <v>51</v>
      </c>
      <c r="C13" s="30">
        <v>12</v>
      </c>
      <c r="D13" s="22">
        <f t="shared" si="1"/>
        <v>0</v>
      </c>
      <c r="E13" s="23"/>
      <c r="F13" s="23"/>
      <c r="G13" s="23"/>
      <c r="H13" s="23"/>
      <c r="I13" s="23"/>
      <c r="J13" s="23"/>
      <c r="K13" s="23"/>
      <c r="L13" s="23"/>
      <c r="M13" s="23"/>
      <c r="N13" s="23"/>
      <c r="O13" s="23"/>
      <c r="P13" s="32"/>
    </row>
    <row r="14" spans="1:16" ht="28.5" customHeight="1" x14ac:dyDescent="0.25">
      <c r="A14" s="45"/>
      <c r="B14" s="31" t="s">
        <v>52</v>
      </c>
      <c r="C14" s="30">
        <v>8</v>
      </c>
      <c r="D14" s="22">
        <f t="shared" si="1"/>
        <v>6</v>
      </c>
      <c r="E14" s="23"/>
      <c r="F14" s="23"/>
      <c r="G14" s="23">
        <v>1</v>
      </c>
      <c r="H14" s="23">
        <v>3</v>
      </c>
      <c r="I14" s="23">
        <v>2</v>
      </c>
      <c r="J14" s="23"/>
      <c r="K14" s="23"/>
      <c r="L14" s="23"/>
      <c r="M14" s="23"/>
      <c r="N14" s="23"/>
      <c r="O14" s="23"/>
      <c r="P14" s="32"/>
    </row>
    <row r="15" spans="1:16" ht="28.5" customHeight="1" x14ac:dyDescent="0.25">
      <c r="A15" s="45"/>
      <c r="B15" s="31" t="s">
        <v>53</v>
      </c>
      <c r="C15" s="30">
        <v>4</v>
      </c>
      <c r="D15" s="22">
        <f t="shared" si="1"/>
        <v>0</v>
      </c>
      <c r="E15" s="23"/>
      <c r="F15" s="23"/>
      <c r="G15" s="23"/>
      <c r="H15" s="23"/>
      <c r="I15" s="23"/>
      <c r="J15" s="23"/>
      <c r="K15" s="23"/>
      <c r="L15" s="23"/>
      <c r="M15" s="23"/>
      <c r="N15" s="23"/>
      <c r="O15" s="23"/>
      <c r="P15" s="32"/>
    </row>
    <row r="16" spans="1:16" ht="28.5" customHeight="1" x14ac:dyDescent="0.25">
      <c r="A16" s="45"/>
      <c r="B16" s="31" t="s">
        <v>54</v>
      </c>
      <c r="C16" s="30">
        <v>2</v>
      </c>
      <c r="D16" s="22">
        <f t="shared" si="1"/>
        <v>0</v>
      </c>
      <c r="E16" s="23"/>
      <c r="F16" s="23"/>
      <c r="G16" s="23"/>
      <c r="H16" s="23"/>
      <c r="I16" s="23"/>
      <c r="J16" s="23"/>
      <c r="K16" s="23"/>
      <c r="L16" s="23"/>
      <c r="M16" s="23"/>
      <c r="N16" s="23"/>
      <c r="O16" s="23"/>
      <c r="P16" s="32"/>
    </row>
    <row r="17" spans="1:16" ht="28.5" customHeight="1" x14ac:dyDescent="0.25">
      <c r="A17" s="45"/>
      <c r="B17" s="31" t="s">
        <v>55</v>
      </c>
      <c r="C17" s="30">
        <v>1</v>
      </c>
      <c r="D17" s="22">
        <f t="shared" si="1"/>
        <v>0</v>
      </c>
      <c r="E17" s="23"/>
      <c r="F17" s="23"/>
      <c r="G17" s="23"/>
      <c r="H17" s="23"/>
      <c r="I17" s="23"/>
      <c r="J17" s="23"/>
      <c r="K17" s="23"/>
      <c r="L17" s="23"/>
      <c r="M17" s="23"/>
      <c r="N17" s="23"/>
      <c r="O17" s="23"/>
      <c r="P17" s="32"/>
    </row>
    <row r="18" spans="1:16" ht="28.5" customHeight="1" x14ac:dyDescent="0.25">
      <c r="A18" s="45"/>
      <c r="B18" s="31" t="s">
        <v>56</v>
      </c>
      <c r="C18" s="30">
        <v>3</v>
      </c>
      <c r="D18" s="22">
        <f t="shared" si="1"/>
        <v>0</v>
      </c>
      <c r="E18" s="23"/>
      <c r="F18" s="23"/>
      <c r="G18" s="23"/>
      <c r="H18" s="23"/>
      <c r="I18" s="23"/>
      <c r="J18" s="23"/>
      <c r="K18" s="23"/>
      <c r="L18" s="23"/>
      <c r="M18" s="23"/>
      <c r="N18" s="23"/>
      <c r="O18" s="23"/>
      <c r="P18" s="32"/>
    </row>
    <row r="19" spans="1:16" ht="28.5" customHeight="1" x14ac:dyDescent="0.25">
      <c r="A19" s="45"/>
      <c r="B19" s="31" t="s">
        <v>57</v>
      </c>
      <c r="C19" s="30">
        <v>1</v>
      </c>
      <c r="D19" s="22">
        <f t="shared" si="1"/>
        <v>0</v>
      </c>
      <c r="E19" s="23"/>
      <c r="F19" s="23"/>
      <c r="G19" s="23"/>
      <c r="H19" s="23"/>
      <c r="I19" s="23"/>
      <c r="J19" s="23"/>
      <c r="K19" s="23"/>
      <c r="L19" s="23"/>
      <c r="M19" s="23"/>
      <c r="N19" s="23"/>
      <c r="O19" s="23"/>
      <c r="P19" s="32"/>
    </row>
    <row r="20" spans="1:16" ht="28.5" customHeight="1" x14ac:dyDescent="0.25">
      <c r="A20" s="45"/>
      <c r="B20" s="31" t="s">
        <v>58</v>
      </c>
      <c r="C20" s="30">
        <v>0</v>
      </c>
      <c r="D20" s="22">
        <f t="shared" si="1"/>
        <v>0</v>
      </c>
      <c r="E20" s="23"/>
      <c r="F20" s="23"/>
      <c r="G20" s="23"/>
      <c r="H20" s="23"/>
      <c r="I20" s="23"/>
      <c r="J20" s="23"/>
      <c r="K20" s="23"/>
      <c r="L20" s="23"/>
      <c r="M20" s="23"/>
      <c r="N20" s="23"/>
      <c r="O20" s="23"/>
      <c r="P20" s="32"/>
    </row>
    <row r="21" spans="1:16" ht="28.5" customHeight="1" x14ac:dyDescent="0.25">
      <c r="A21" s="45"/>
      <c r="B21" s="31" t="s">
        <v>59</v>
      </c>
      <c r="C21" s="30">
        <v>1</v>
      </c>
      <c r="D21" s="22">
        <f t="shared" si="1"/>
        <v>0</v>
      </c>
      <c r="E21" s="23"/>
      <c r="F21" s="23"/>
      <c r="G21" s="23"/>
      <c r="H21" s="23"/>
      <c r="I21" s="23"/>
      <c r="J21" s="23"/>
      <c r="K21" s="23"/>
      <c r="L21" s="23"/>
      <c r="M21" s="23"/>
      <c r="N21" s="23"/>
      <c r="O21" s="23"/>
      <c r="P21" s="32"/>
    </row>
    <row r="22" spans="1:16" ht="28.5" customHeight="1" x14ac:dyDescent="0.25">
      <c r="A22" s="45"/>
      <c r="B22" s="31" t="s">
        <v>60</v>
      </c>
      <c r="C22" s="30">
        <v>2</v>
      </c>
      <c r="D22" s="22">
        <f t="shared" si="1"/>
        <v>0</v>
      </c>
      <c r="E22" s="23"/>
      <c r="F22" s="23"/>
      <c r="G22" s="23"/>
      <c r="H22" s="23"/>
      <c r="I22" s="23"/>
      <c r="J22" s="23"/>
      <c r="K22" s="23"/>
      <c r="L22" s="23"/>
      <c r="M22" s="23"/>
      <c r="N22" s="23"/>
      <c r="O22" s="23"/>
      <c r="P22" s="32"/>
    </row>
    <row r="23" spans="1:16" ht="28.5" customHeight="1" x14ac:dyDescent="0.25">
      <c r="A23" s="45"/>
      <c r="B23" s="31" t="s">
        <v>61</v>
      </c>
      <c r="C23" s="30">
        <v>145</v>
      </c>
      <c r="D23" s="22">
        <f t="shared" si="1"/>
        <v>53</v>
      </c>
      <c r="E23" s="23">
        <v>10</v>
      </c>
      <c r="F23" s="23">
        <v>18</v>
      </c>
      <c r="G23" s="23">
        <v>14</v>
      </c>
      <c r="H23" s="23">
        <v>10</v>
      </c>
      <c r="I23" s="23"/>
      <c r="J23" s="23">
        <v>1</v>
      </c>
      <c r="K23" s="23"/>
      <c r="L23" s="23"/>
      <c r="M23" s="23"/>
      <c r="N23" s="23"/>
      <c r="O23" s="23"/>
      <c r="P23" s="32"/>
    </row>
    <row r="24" spans="1:16" ht="28.5" customHeight="1" x14ac:dyDescent="0.25">
      <c r="A24" s="45"/>
      <c r="B24" s="31" t="s">
        <v>62</v>
      </c>
      <c r="C24" s="30">
        <v>2</v>
      </c>
      <c r="D24" s="22">
        <f t="shared" si="1"/>
        <v>0</v>
      </c>
      <c r="E24" s="23"/>
      <c r="F24" s="23"/>
      <c r="G24" s="23"/>
      <c r="H24" s="23"/>
      <c r="I24" s="23"/>
      <c r="J24" s="23"/>
      <c r="K24" s="23"/>
      <c r="L24" s="23"/>
      <c r="M24" s="23"/>
      <c r="N24" s="23"/>
      <c r="O24" s="23"/>
      <c r="P24" s="32"/>
    </row>
    <row r="25" spans="1:16" ht="24" customHeight="1" x14ac:dyDescent="0.25">
      <c r="A25" s="45"/>
      <c r="B25" s="33" t="s">
        <v>63</v>
      </c>
      <c r="C25" s="30">
        <v>7</v>
      </c>
      <c r="D25" s="22">
        <f t="shared" si="1"/>
        <v>7</v>
      </c>
      <c r="E25" s="23"/>
      <c r="F25" s="23"/>
      <c r="G25" s="23">
        <v>7</v>
      </c>
      <c r="H25" s="23"/>
      <c r="I25" s="23"/>
      <c r="J25" s="23"/>
      <c r="K25" s="23"/>
      <c r="L25" s="23"/>
      <c r="M25" s="23"/>
      <c r="N25" s="23"/>
      <c r="O25" s="23"/>
      <c r="P25" s="32"/>
    </row>
    <row r="26" spans="1:16" ht="24" customHeight="1" x14ac:dyDescent="0.25">
      <c r="A26" s="45"/>
      <c r="B26" s="33" t="s">
        <v>64</v>
      </c>
      <c r="C26" s="30">
        <v>7</v>
      </c>
      <c r="D26" s="22">
        <f t="shared" si="1"/>
        <v>7</v>
      </c>
      <c r="E26" s="23"/>
      <c r="F26" s="23"/>
      <c r="G26" s="23"/>
      <c r="H26" s="23">
        <v>7</v>
      </c>
      <c r="I26" s="23"/>
      <c r="J26" s="23"/>
      <c r="K26" s="23"/>
      <c r="L26" s="23"/>
      <c r="M26" s="23"/>
      <c r="N26" s="23"/>
      <c r="O26" s="23"/>
      <c r="P26" s="32"/>
    </row>
    <row r="27" spans="1:16" ht="24" customHeight="1" x14ac:dyDescent="0.25">
      <c r="A27" s="45"/>
      <c r="B27" s="33" t="s">
        <v>65</v>
      </c>
      <c r="C27" s="30">
        <v>7</v>
      </c>
      <c r="D27" s="22">
        <f t="shared" si="1"/>
        <v>7</v>
      </c>
      <c r="E27" s="23"/>
      <c r="F27" s="23"/>
      <c r="G27" s="23"/>
      <c r="H27" s="23"/>
      <c r="I27" s="23">
        <v>7</v>
      </c>
      <c r="J27" s="23"/>
      <c r="K27" s="23"/>
      <c r="L27" s="23"/>
      <c r="M27" s="23"/>
      <c r="N27" s="23"/>
      <c r="O27" s="23"/>
      <c r="P27" s="32"/>
    </row>
    <row r="28" spans="1:16" ht="24" customHeight="1" x14ac:dyDescent="0.25">
      <c r="A28" s="45"/>
      <c r="B28" s="33" t="s">
        <v>66</v>
      </c>
      <c r="C28" s="30">
        <v>7</v>
      </c>
      <c r="D28" s="22">
        <f t="shared" si="1"/>
        <v>0</v>
      </c>
      <c r="E28" s="23"/>
      <c r="F28" s="23"/>
      <c r="G28" s="23"/>
      <c r="H28" s="23"/>
      <c r="I28" s="23"/>
      <c r="J28" s="23"/>
      <c r="K28" s="23"/>
      <c r="L28" s="23"/>
      <c r="M28" s="23"/>
      <c r="N28" s="23"/>
      <c r="O28" s="23"/>
      <c r="P28" s="32"/>
    </row>
    <row r="29" spans="1:16" ht="24" customHeight="1" x14ac:dyDescent="0.25">
      <c r="A29" s="45"/>
      <c r="B29" s="33" t="s">
        <v>67</v>
      </c>
      <c r="C29" s="30">
        <v>7</v>
      </c>
      <c r="D29" s="22">
        <f t="shared" si="1"/>
        <v>0</v>
      </c>
      <c r="E29" s="23"/>
      <c r="F29" s="23"/>
      <c r="G29" s="23"/>
      <c r="H29" s="23"/>
      <c r="I29" s="23"/>
      <c r="J29" s="23"/>
      <c r="K29" s="23"/>
      <c r="L29" s="23"/>
      <c r="M29" s="23"/>
      <c r="N29" s="23"/>
      <c r="O29" s="23"/>
      <c r="P29" s="32"/>
    </row>
    <row r="30" spans="1:16" ht="24" customHeight="1" x14ac:dyDescent="0.25">
      <c r="A30" s="45"/>
      <c r="B30" s="33" t="s">
        <v>68</v>
      </c>
      <c r="C30" s="30">
        <v>1</v>
      </c>
      <c r="D30" s="22">
        <f t="shared" si="1"/>
        <v>0</v>
      </c>
      <c r="E30" s="23"/>
      <c r="F30" s="23"/>
      <c r="G30" s="23"/>
      <c r="H30" s="23"/>
      <c r="I30" s="23"/>
      <c r="J30" s="23"/>
      <c r="K30" s="23"/>
      <c r="L30" s="23"/>
      <c r="M30" s="23"/>
      <c r="N30" s="23"/>
      <c r="O30" s="23"/>
      <c r="P30" s="32"/>
    </row>
    <row r="31" spans="1:16" ht="24" customHeight="1" x14ac:dyDescent="0.25">
      <c r="A31" s="45"/>
      <c r="B31" s="33" t="s">
        <v>69</v>
      </c>
      <c r="C31" s="30">
        <v>1</v>
      </c>
      <c r="D31" s="22">
        <f t="shared" si="1"/>
        <v>0</v>
      </c>
      <c r="E31" s="23"/>
      <c r="F31" s="23"/>
      <c r="G31" s="23"/>
      <c r="H31" s="23"/>
      <c r="I31" s="23"/>
      <c r="J31" s="23"/>
      <c r="K31" s="23"/>
      <c r="L31" s="23"/>
      <c r="M31" s="23"/>
      <c r="N31" s="23"/>
      <c r="O31" s="23"/>
      <c r="P31" s="32"/>
    </row>
    <row r="32" spans="1:16" ht="24" customHeight="1" x14ac:dyDescent="0.25">
      <c r="A32" s="45"/>
      <c r="B32" s="33" t="s">
        <v>70</v>
      </c>
      <c r="C32" s="30">
        <v>1</v>
      </c>
      <c r="D32" s="22">
        <f t="shared" si="1"/>
        <v>0</v>
      </c>
      <c r="E32" s="23"/>
      <c r="F32" s="23"/>
      <c r="G32" s="23"/>
      <c r="H32" s="23"/>
      <c r="I32" s="23"/>
      <c r="J32" s="23"/>
      <c r="K32" s="23"/>
      <c r="L32" s="23"/>
      <c r="M32" s="23"/>
      <c r="N32" s="23"/>
      <c r="O32" s="23"/>
      <c r="P32" s="32"/>
    </row>
    <row r="33" spans="1:16" ht="24" customHeight="1" x14ac:dyDescent="0.25">
      <c r="A33" s="45"/>
      <c r="B33" s="33" t="s">
        <v>71</v>
      </c>
      <c r="C33" s="30">
        <v>1</v>
      </c>
      <c r="D33" s="22">
        <f t="shared" si="1"/>
        <v>0</v>
      </c>
      <c r="E33" s="23"/>
      <c r="F33" s="23"/>
      <c r="G33" s="23"/>
      <c r="H33" s="23"/>
      <c r="I33" s="23"/>
      <c r="J33" s="23"/>
      <c r="K33" s="23"/>
      <c r="L33" s="23"/>
      <c r="M33" s="23"/>
      <c r="N33" s="23"/>
      <c r="O33" s="23"/>
      <c r="P33" s="32"/>
    </row>
    <row r="34" spans="1:16" ht="24" customHeight="1" x14ac:dyDescent="0.25">
      <c r="A34" s="45"/>
      <c r="B34" s="33" t="s">
        <v>72</v>
      </c>
      <c r="C34" s="30">
        <v>1</v>
      </c>
      <c r="D34" s="22">
        <f t="shared" si="1"/>
        <v>0</v>
      </c>
      <c r="E34" s="23"/>
      <c r="F34" s="23"/>
      <c r="G34" s="23"/>
      <c r="H34" s="23"/>
      <c r="I34" s="23"/>
      <c r="J34" s="23"/>
      <c r="K34" s="23"/>
      <c r="L34" s="23"/>
      <c r="M34" s="23"/>
      <c r="N34" s="23"/>
      <c r="O34" s="23"/>
      <c r="P34" s="32"/>
    </row>
    <row r="35" spans="1:16" ht="24" customHeight="1" x14ac:dyDescent="0.25">
      <c r="A35" s="45"/>
      <c r="B35" s="33" t="s">
        <v>73</v>
      </c>
      <c r="C35" s="30">
        <v>1</v>
      </c>
      <c r="D35" s="22">
        <f t="shared" si="1"/>
        <v>0</v>
      </c>
      <c r="E35" s="23"/>
      <c r="F35" s="23"/>
      <c r="G35" s="23"/>
      <c r="H35" s="23"/>
      <c r="I35" s="23"/>
      <c r="J35" s="23"/>
      <c r="K35" s="23"/>
      <c r="L35" s="23"/>
      <c r="M35" s="23"/>
      <c r="N35" s="23"/>
      <c r="O35" s="23"/>
      <c r="P35" s="32"/>
    </row>
    <row r="36" spans="1:16" ht="24" customHeight="1" thickBot="1" x14ac:dyDescent="0.3">
      <c r="A36" s="46"/>
      <c r="B36" s="34" t="s">
        <v>74</v>
      </c>
      <c r="C36" s="30">
        <v>1</v>
      </c>
      <c r="D36" s="22">
        <f t="shared" si="1"/>
        <v>0</v>
      </c>
      <c r="E36" s="23"/>
      <c r="F36" s="23"/>
      <c r="G36" s="23"/>
      <c r="H36" s="23"/>
      <c r="I36" s="23"/>
      <c r="J36" s="23"/>
      <c r="K36" s="23"/>
      <c r="L36" s="23"/>
      <c r="M36" s="23"/>
      <c r="N36" s="23"/>
      <c r="O36" s="23"/>
      <c r="P36" s="32"/>
    </row>
    <row r="37" spans="1:16" x14ac:dyDescent="0.25">
      <c r="C37" s="35">
        <f>SUM(C3:C36)</f>
        <v>376</v>
      </c>
      <c r="D37" s="36">
        <f>SUM(D3:D36)</f>
        <v>139</v>
      </c>
    </row>
    <row r="38" spans="1:16" x14ac:dyDescent="0.25">
      <c r="C38" s="37"/>
      <c r="D38" s="38">
        <f>D37/C37</f>
        <v>0.36968085106382981</v>
      </c>
    </row>
  </sheetData>
  <sheetProtection algorithmName="SHA-512" hashValue="PXkI6CSbJiK3SheCCEn8K0yOdqv7zYMqXiTxuu1Es7HaeatJ2ZruXXUP4323oOwCKFM6TLgBSn1OZq4wG0IE2w==" saltValue="BGD7CYFVcfassudLxAJZDg==" spinCount="100000" sheet="1" objects="1" scenarios="1" autoFilter="0"/>
  <mergeCells count="2">
    <mergeCell ref="A1:A2"/>
    <mergeCell ref="A9:A36"/>
  </mergeCells>
  <conditionalFormatting sqref="C3:D3 D4:D8">
    <cfRule type="dataBar" priority="51">
      <dataBar>
        <cfvo type="min"/>
        <cfvo type="max"/>
        <color rgb="FF008AEF"/>
      </dataBar>
      <extLst>
        <ext xmlns:x14="http://schemas.microsoft.com/office/spreadsheetml/2009/9/main" uri="{B025F937-C7B1-47D3-B67F-A62EFF666E3E}">
          <x14:id>{3C5C92E2-50F4-40A5-8B22-385FA1031935}</x14:id>
        </ext>
      </extLst>
    </cfRule>
  </conditionalFormatting>
  <conditionalFormatting sqref="C4:D4">
    <cfRule type="dataBar" priority="6">
      <dataBar>
        <cfvo type="min"/>
        <cfvo type="max"/>
        <color rgb="FF008AEF"/>
      </dataBar>
      <extLst>
        <ext xmlns:x14="http://schemas.microsoft.com/office/spreadsheetml/2009/9/main" uri="{B025F937-C7B1-47D3-B67F-A62EFF666E3E}">
          <x14:id>{4D35596B-607E-49A4-846E-B338CDDB8A1B}</x14:id>
        </ext>
      </extLst>
    </cfRule>
  </conditionalFormatting>
  <conditionalFormatting sqref="C5:D5">
    <cfRule type="dataBar" priority="8">
      <dataBar>
        <cfvo type="min"/>
        <cfvo type="max"/>
        <color rgb="FF008AEF"/>
      </dataBar>
      <extLst>
        <ext xmlns:x14="http://schemas.microsoft.com/office/spreadsheetml/2009/9/main" uri="{B025F937-C7B1-47D3-B67F-A62EFF666E3E}">
          <x14:id>{0D1B5F46-A003-4860-AF66-5B8482A8AE3E}</x14:id>
        </ext>
      </extLst>
    </cfRule>
  </conditionalFormatting>
  <conditionalFormatting sqref="C6:D6">
    <cfRule type="dataBar" priority="9">
      <dataBar>
        <cfvo type="min"/>
        <cfvo type="max"/>
        <color rgb="FF008AEF"/>
      </dataBar>
      <extLst>
        <ext xmlns:x14="http://schemas.microsoft.com/office/spreadsheetml/2009/9/main" uri="{B025F937-C7B1-47D3-B67F-A62EFF666E3E}">
          <x14:id>{99ADD839-C8E9-4CE0-BBFD-D5EDAD0B7024}</x14:id>
        </ext>
      </extLst>
    </cfRule>
  </conditionalFormatting>
  <conditionalFormatting sqref="C7:D7">
    <cfRule type="dataBar" priority="10">
      <dataBar>
        <cfvo type="min"/>
        <cfvo type="max"/>
        <color rgb="FF008AEF"/>
      </dataBar>
      <extLst>
        <ext xmlns:x14="http://schemas.microsoft.com/office/spreadsheetml/2009/9/main" uri="{B025F937-C7B1-47D3-B67F-A62EFF666E3E}">
          <x14:id>{09CDE982-74A4-4724-8509-5437A795B9EF}</x14:id>
        </ext>
      </extLst>
    </cfRule>
  </conditionalFormatting>
  <conditionalFormatting sqref="C8:D8">
    <cfRule type="dataBar" priority="11">
      <dataBar>
        <cfvo type="min"/>
        <cfvo type="max"/>
        <color rgb="FF008AEF"/>
      </dataBar>
      <extLst>
        <ext xmlns:x14="http://schemas.microsoft.com/office/spreadsheetml/2009/9/main" uri="{B025F937-C7B1-47D3-B67F-A62EFF666E3E}">
          <x14:id>{B1040556-030A-4B3B-803D-52C5D321308F}</x14:id>
        </ext>
      </extLst>
    </cfRule>
  </conditionalFormatting>
  <conditionalFormatting sqref="C9:D9">
    <cfRule type="dataBar" priority="13">
      <dataBar>
        <cfvo type="min"/>
        <cfvo type="max"/>
        <color rgb="FF008AEF"/>
      </dataBar>
      <extLst>
        <ext xmlns:x14="http://schemas.microsoft.com/office/spreadsheetml/2009/9/main" uri="{B025F937-C7B1-47D3-B67F-A62EFF666E3E}">
          <x14:id>{E1BDA5F4-511D-4CAD-A6BA-9A6726A3C44E}</x14:id>
        </ext>
      </extLst>
    </cfRule>
  </conditionalFormatting>
  <conditionalFormatting sqref="C10:D10">
    <cfRule type="dataBar" priority="40">
      <dataBar>
        <cfvo type="min"/>
        <cfvo type="max"/>
        <color rgb="FF008AEF"/>
      </dataBar>
      <extLst>
        <ext xmlns:x14="http://schemas.microsoft.com/office/spreadsheetml/2009/9/main" uri="{B025F937-C7B1-47D3-B67F-A62EFF666E3E}">
          <x14:id>{27CC7764-74C9-457B-AE2A-3D613B9530AD}</x14:id>
        </ext>
      </extLst>
    </cfRule>
  </conditionalFormatting>
  <conditionalFormatting sqref="C11:D11">
    <cfRule type="dataBar" priority="39">
      <dataBar>
        <cfvo type="min"/>
        <cfvo type="max"/>
        <color rgb="FF008AEF"/>
      </dataBar>
      <extLst>
        <ext xmlns:x14="http://schemas.microsoft.com/office/spreadsheetml/2009/9/main" uri="{B025F937-C7B1-47D3-B67F-A62EFF666E3E}">
          <x14:id>{3322E651-138B-49B6-A3D8-F1FB2AC738B6}</x14:id>
        </ext>
      </extLst>
    </cfRule>
  </conditionalFormatting>
  <conditionalFormatting sqref="C12:D12">
    <cfRule type="dataBar" priority="38">
      <dataBar>
        <cfvo type="min"/>
        <cfvo type="max"/>
        <color rgb="FF008AEF"/>
      </dataBar>
      <extLst>
        <ext xmlns:x14="http://schemas.microsoft.com/office/spreadsheetml/2009/9/main" uri="{B025F937-C7B1-47D3-B67F-A62EFF666E3E}">
          <x14:id>{FBEC4148-2373-42CD-A742-BEA7D76374BA}</x14:id>
        </ext>
      </extLst>
    </cfRule>
  </conditionalFormatting>
  <conditionalFormatting sqref="C13:D13">
    <cfRule type="dataBar" priority="37">
      <dataBar>
        <cfvo type="min"/>
        <cfvo type="max"/>
        <color rgb="FF008AEF"/>
      </dataBar>
      <extLst>
        <ext xmlns:x14="http://schemas.microsoft.com/office/spreadsheetml/2009/9/main" uri="{B025F937-C7B1-47D3-B67F-A62EFF666E3E}">
          <x14:id>{3A717203-8F6F-43D8-A69F-7DD342C97CF3}</x14:id>
        </ext>
      </extLst>
    </cfRule>
  </conditionalFormatting>
  <conditionalFormatting sqref="C14:D14">
    <cfRule type="dataBar" priority="36">
      <dataBar>
        <cfvo type="min"/>
        <cfvo type="max"/>
        <color rgb="FF008AEF"/>
      </dataBar>
      <extLst>
        <ext xmlns:x14="http://schemas.microsoft.com/office/spreadsheetml/2009/9/main" uri="{B025F937-C7B1-47D3-B67F-A62EFF666E3E}">
          <x14:id>{74D1FBF1-3FB0-499A-80F6-C479752D7A0C}</x14:id>
        </ext>
      </extLst>
    </cfRule>
  </conditionalFormatting>
  <conditionalFormatting sqref="C15:D15">
    <cfRule type="dataBar" priority="35">
      <dataBar>
        <cfvo type="min"/>
        <cfvo type="max"/>
        <color rgb="FF008AEF"/>
      </dataBar>
      <extLst>
        <ext xmlns:x14="http://schemas.microsoft.com/office/spreadsheetml/2009/9/main" uri="{B025F937-C7B1-47D3-B67F-A62EFF666E3E}">
          <x14:id>{20F0A1ED-46A9-4EA9-9AFC-53B8B427D475}</x14:id>
        </ext>
      </extLst>
    </cfRule>
  </conditionalFormatting>
  <conditionalFormatting sqref="C16:D16">
    <cfRule type="dataBar" priority="34">
      <dataBar>
        <cfvo type="min"/>
        <cfvo type="max"/>
        <color rgb="FF008AEF"/>
      </dataBar>
      <extLst>
        <ext xmlns:x14="http://schemas.microsoft.com/office/spreadsheetml/2009/9/main" uri="{B025F937-C7B1-47D3-B67F-A62EFF666E3E}">
          <x14:id>{118C4299-0D53-4BDC-BE6B-DD57132712F8}</x14:id>
        </ext>
      </extLst>
    </cfRule>
  </conditionalFormatting>
  <conditionalFormatting sqref="C17:D17">
    <cfRule type="dataBar" priority="33">
      <dataBar>
        <cfvo type="min"/>
        <cfvo type="max"/>
        <color rgb="FF008AEF"/>
      </dataBar>
      <extLst>
        <ext xmlns:x14="http://schemas.microsoft.com/office/spreadsheetml/2009/9/main" uri="{B025F937-C7B1-47D3-B67F-A62EFF666E3E}">
          <x14:id>{3155B2B7-93AE-4DB5-BFC5-C0B861F2AFB2}</x14:id>
        </ext>
      </extLst>
    </cfRule>
  </conditionalFormatting>
  <conditionalFormatting sqref="C18:D18">
    <cfRule type="dataBar" priority="32">
      <dataBar>
        <cfvo type="min"/>
        <cfvo type="max"/>
        <color rgb="FF008AEF"/>
      </dataBar>
      <extLst>
        <ext xmlns:x14="http://schemas.microsoft.com/office/spreadsheetml/2009/9/main" uri="{B025F937-C7B1-47D3-B67F-A62EFF666E3E}">
          <x14:id>{407B2693-834D-4774-9C07-F4332DB7133C}</x14:id>
        </ext>
      </extLst>
    </cfRule>
  </conditionalFormatting>
  <conditionalFormatting sqref="C19:D19">
    <cfRule type="dataBar" priority="31">
      <dataBar>
        <cfvo type="min"/>
        <cfvo type="max"/>
        <color rgb="FF008AEF"/>
      </dataBar>
      <extLst>
        <ext xmlns:x14="http://schemas.microsoft.com/office/spreadsheetml/2009/9/main" uri="{B025F937-C7B1-47D3-B67F-A62EFF666E3E}">
          <x14:id>{A919FE0A-F42A-47E6-A1A8-7E80C6911585}</x14:id>
        </ext>
      </extLst>
    </cfRule>
  </conditionalFormatting>
  <conditionalFormatting sqref="C20:D20">
    <cfRule type="dataBar" priority="30">
      <dataBar>
        <cfvo type="min"/>
        <cfvo type="max"/>
        <color rgb="FF008AEF"/>
      </dataBar>
      <extLst>
        <ext xmlns:x14="http://schemas.microsoft.com/office/spreadsheetml/2009/9/main" uri="{B025F937-C7B1-47D3-B67F-A62EFF666E3E}">
          <x14:id>{C5AE9344-4086-45C6-9B2C-DF7E1EA333AB}</x14:id>
        </ext>
      </extLst>
    </cfRule>
  </conditionalFormatting>
  <conditionalFormatting sqref="C21:D21">
    <cfRule type="dataBar" priority="29">
      <dataBar>
        <cfvo type="min"/>
        <cfvo type="max"/>
        <color rgb="FF008AEF"/>
      </dataBar>
      <extLst>
        <ext xmlns:x14="http://schemas.microsoft.com/office/spreadsheetml/2009/9/main" uri="{B025F937-C7B1-47D3-B67F-A62EFF666E3E}">
          <x14:id>{9D67FC81-1CF1-41A8-90C9-05FD7F30C0E3}</x14:id>
        </ext>
      </extLst>
    </cfRule>
  </conditionalFormatting>
  <conditionalFormatting sqref="C22:D22">
    <cfRule type="dataBar" priority="28">
      <dataBar>
        <cfvo type="min"/>
        <cfvo type="max"/>
        <color rgb="FF008AEF"/>
      </dataBar>
      <extLst>
        <ext xmlns:x14="http://schemas.microsoft.com/office/spreadsheetml/2009/9/main" uri="{B025F937-C7B1-47D3-B67F-A62EFF666E3E}">
          <x14:id>{B3F216C4-4748-420F-8D4D-3DC70F4BCA5A}</x14:id>
        </ext>
      </extLst>
    </cfRule>
  </conditionalFormatting>
  <conditionalFormatting sqref="C23:D23">
    <cfRule type="dataBar" priority="27">
      <dataBar>
        <cfvo type="min"/>
        <cfvo type="max"/>
        <color rgb="FF008AEF"/>
      </dataBar>
      <extLst>
        <ext xmlns:x14="http://schemas.microsoft.com/office/spreadsheetml/2009/9/main" uri="{B025F937-C7B1-47D3-B67F-A62EFF666E3E}">
          <x14:id>{C84B998B-6588-49C9-A69B-E1C05F84D9E1}</x14:id>
        </ext>
      </extLst>
    </cfRule>
  </conditionalFormatting>
  <conditionalFormatting sqref="C24:D24">
    <cfRule type="dataBar" priority="26">
      <dataBar>
        <cfvo type="min"/>
        <cfvo type="max"/>
        <color rgb="FF008AEF"/>
      </dataBar>
      <extLst>
        <ext xmlns:x14="http://schemas.microsoft.com/office/spreadsheetml/2009/9/main" uri="{B025F937-C7B1-47D3-B67F-A62EFF666E3E}">
          <x14:id>{40F76F77-A587-4122-A922-3878300A40E0}</x14:id>
        </ext>
      </extLst>
    </cfRule>
  </conditionalFormatting>
  <conditionalFormatting sqref="C25:D25">
    <cfRule type="dataBar" priority="25">
      <dataBar>
        <cfvo type="min"/>
        <cfvo type="max"/>
        <color rgb="FF008AEF"/>
      </dataBar>
      <extLst>
        <ext xmlns:x14="http://schemas.microsoft.com/office/spreadsheetml/2009/9/main" uri="{B025F937-C7B1-47D3-B67F-A62EFF666E3E}">
          <x14:id>{9264A80F-54BD-4464-8ABA-A684CBFDFE9A}</x14:id>
        </ext>
      </extLst>
    </cfRule>
  </conditionalFormatting>
  <conditionalFormatting sqref="C26:D26">
    <cfRule type="dataBar" priority="24">
      <dataBar>
        <cfvo type="min"/>
        <cfvo type="max"/>
        <color rgb="FF008AEF"/>
      </dataBar>
      <extLst>
        <ext xmlns:x14="http://schemas.microsoft.com/office/spreadsheetml/2009/9/main" uri="{B025F937-C7B1-47D3-B67F-A62EFF666E3E}">
          <x14:id>{DE5495C5-631A-4D77-8BE1-3C251C132FED}</x14:id>
        </ext>
      </extLst>
    </cfRule>
  </conditionalFormatting>
  <conditionalFormatting sqref="C27:D27">
    <cfRule type="dataBar" priority="23">
      <dataBar>
        <cfvo type="min"/>
        <cfvo type="max"/>
        <color rgb="FF008AEF"/>
      </dataBar>
      <extLst>
        <ext xmlns:x14="http://schemas.microsoft.com/office/spreadsheetml/2009/9/main" uri="{B025F937-C7B1-47D3-B67F-A62EFF666E3E}">
          <x14:id>{63E922CA-8E28-4D93-9185-906BFE61DE14}</x14:id>
        </ext>
      </extLst>
    </cfRule>
  </conditionalFormatting>
  <conditionalFormatting sqref="C28:D28">
    <cfRule type="dataBar" priority="22">
      <dataBar>
        <cfvo type="min"/>
        <cfvo type="max"/>
        <color rgb="FF008AEF"/>
      </dataBar>
      <extLst>
        <ext xmlns:x14="http://schemas.microsoft.com/office/spreadsheetml/2009/9/main" uri="{B025F937-C7B1-47D3-B67F-A62EFF666E3E}">
          <x14:id>{F814A469-BE06-4308-9109-0633166631C5}</x14:id>
        </ext>
      </extLst>
    </cfRule>
  </conditionalFormatting>
  <conditionalFormatting sqref="C29:D29">
    <cfRule type="dataBar" priority="21">
      <dataBar>
        <cfvo type="min"/>
        <cfvo type="max"/>
        <color rgb="FF008AEF"/>
      </dataBar>
      <extLst>
        <ext xmlns:x14="http://schemas.microsoft.com/office/spreadsheetml/2009/9/main" uri="{B025F937-C7B1-47D3-B67F-A62EFF666E3E}">
          <x14:id>{2A0A3A0B-6976-4054-9309-2BE966903F7E}</x14:id>
        </ext>
      </extLst>
    </cfRule>
  </conditionalFormatting>
  <conditionalFormatting sqref="C30:D30">
    <cfRule type="dataBar" priority="20">
      <dataBar>
        <cfvo type="min"/>
        <cfvo type="max"/>
        <color rgb="FF008AEF"/>
      </dataBar>
      <extLst>
        <ext xmlns:x14="http://schemas.microsoft.com/office/spreadsheetml/2009/9/main" uri="{B025F937-C7B1-47D3-B67F-A62EFF666E3E}">
          <x14:id>{23A08A80-9090-4E11-B04F-3DD2A53DCA2F}</x14:id>
        </ext>
      </extLst>
    </cfRule>
  </conditionalFormatting>
  <conditionalFormatting sqref="C31:D31">
    <cfRule type="dataBar" priority="19">
      <dataBar>
        <cfvo type="min"/>
        <cfvo type="max"/>
        <color rgb="FF008AEF"/>
      </dataBar>
      <extLst>
        <ext xmlns:x14="http://schemas.microsoft.com/office/spreadsheetml/2009/9/main" uri="{B025F937-C7B1-47D3-B67F-A62EFF666E3E}">
          <x14:id>{B1EE6D18-3BD9-4800-B12F-735D44513591}</x14:id>
        </ext>
      </extLst>
    </cfRule>
  </conditionalFormatting>
  <conditionalFormatting sqref="C32:D32">
    <cfRule type="dataBar" priority="18">
      <dataBar>
        <cfvo type="min"/>
        <cfvo type="max"/>
        <color rgb="FF008AEF"/>
      </dataBar>
      <extLst>
        <ext xmlns:x14="http://schemas.microsoft.com/office/spreadsheetml/2009/9/main" uri="{B025F937-C7B1-47D3-B67F-A62EFF666E3E}">
          <x14:id>{6A17204B-C1C0-425B-B394-C2987270F9AB}</x14:id>
        </ext>
      </extLst>
    </cfRule>
  </conditionalFormatting>
  <conditionalFormatting sqref="C33:D33">
    <cfRule type="dataBar" priority="17">
      <dataBar>
        <cfvo type="min"/>
        <cfvo type="max"/>
        <color rgb="FF008AEF"/>
      </dataBar>
      <extLst>
        <ext xmlns:x14="http://schemas.microsoft.com/office/spreadsheetml/2009/9/main" uri="{B025F937-C7B1-47D3-B67F-A62EFF666E3E}">
          <x14:id>{FCD2145B-942C-4E5F-B910-5ECC5DCE132B}</x14:id>
        </ext>
      </extLst>
    </cfRule>
  </conditionalFormatting>
  <conditionalFormatting sqref="C34:D34">
    <cfRule type="dataBar" priority="16">
      <dataBar>
        <cfvo type="min"/>
        <cfvo type="max"/>
        <color rgb="FF008AEF"/>
      </dataBar>
      <extLst>
        <ext xmlns:x14="http://schemas.microsoft.com/office/spreadsheetml/2009/9/main" uri="{B025F937-C7B1-47D3-B67F-A62EFF666E3E}">
          <x14:id>{DB9F0017-DB29-44BE-BE6F-DE5CD3D18AE1}</x14:id>
        </ext>
      </extLst>
    </cfRule>
  </conditionalFormatting>
  <conditionalFormatting sqref="C35:D35">
    <cfRule type="dataBar" priority="15">
      <dataBar>
        <cfvo type="min"/>
        <cfvo type="max"/>
        <color rgb="FF008AEF"/>
      </dataBar>
      <extLst>
        <ext xmlns:x14="http://schemas.microsoft.com/office/spreadsheetml/2009/9/main" uri="{B025F937-C7B1-47D3-B67F-A62EFF666E3E}">
          <x14:id>{88F30920-02A9-4A0F-8990-657D1A05D9BE}</x14:id>
        </ext>
      </extLst>
    </cfRule>
  </conditionalFormatting>
  <conditionalFormatting sqref="C36:D36">
    <cfRule type="dataBar" priority="14">
      <dataBar>
        <cfvo type="min"/>
        <cfvo type="max"/>
        <color rgb="FF008AEF"/>
      </dataBar>
      <extLst>
        <ext xmlns:x14="http://schemas.microsoft.com/office/spreadsheetml/2009/9/main" uri="{B025F937-C7B1-47D3-B67F-A62EFF666E3E}">
          <x14:id>{8F5B16B0-5CCF-47E6-A98F-798368EF9D36}</x14:id>
        </ext>
      </extLst>
    </cfRule>
  </conditionalFormatting>
  <conditionalFormatting sqref="G9:O32">
    <cfRule type="cellIs" dxfId="8" priority="12" operator="greaterThan">
      <formula>0</formula>
    </cfRule>
  </conditionalFormatting>
  <conditionalFormatting sqref="G3:P8 E3:F32 E33:O36">
    <cfRule type="cellIs" dxfId="7" priority="3"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C5C92E2-50F4-40A5-8B22-385FA1031935}">
            <x14:dataBar minLength="0" maxLength="100" gradient="0">
              <x14:cfvo type="autoMin"/>
              <x14:cfvo type="autoMax"/>
              <x14:negativeFillColor rgb="FFFF0000"/>
              <x14:axisColor rgb="FF000000"/>
            </x14:dataBar>
          </x14:cfRule>
          <xm:sqref>C3:D3 D4:D8</xm:sqref>
        </x14:conditionalFormatting>
        <x14:conditionalFormatting xmlns:xm="http://schemas.microsoft.com/office/excel/2006/main">
          <x14:cfRule type="dataBar" id="{4D35596B-607E-49A4-846E-B338CDDB8A1B}">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0D1B5F46-A003-4860-AF66-5B8482A8AE3E}">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99ADD839-C8E9-4CE0-BBFD-D5EDAD0B7024}">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09CDE982-74A4-4724-8509-5437A795B9EF}">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B1040556-030A-4B3B-803D-52C5D321308F}">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E1BDA5F4-511D-4CAD-A6BA-9A6726A3C44E}">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27CC7764-74C9-457B-AE2A-3D613B9530AD}">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3322E651-138B-49B6-A3D8-F1FB2AC738B6}">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FBEC4148-2373-42CD-A742-BEA7D76374BA}">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3A717203-8F6F-43D8-A69F-7DD342C97CF3}">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74D1FBF1-3FB0-499A-80F6-C479752D7A0C}">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20F0A1ED-46A9-4EA9-9AFC-53B8B427D475}">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118C4299-0D53-4BDC-BE6B-DD57132712F8}">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3155B2B7-93AE-4DB5-BFC5-C0B861F2AFB2}">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407B2693-834D-4774-9C07-F4332DB7133C}">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A919FE0A-F42A-47E6-A1A8-7E80C6911585}">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C5AE9344-4086-45C6-9B2C-DF7E1EA333AB}">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9D67FC81-1CF1-41A8-90C9-05FD7F30C0E3}">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B3F216C4-4748-420F-8D4D-3DC70F4BCA5A}">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C84B998B-6588-49C9-A69B-E1C05F84D9E1}">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40F76F77-A587-4122-A922-3878300A40E0}">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9264A80F-54BD-4464-8ABA-A684CBFDFE9A}">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DE5495C5-631A-4D77-8BE1-3C251C132FED}">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63E922CA-8E28-4D93-9185-906BFE61DE14}">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F814A469-BE06-4308-9109-0633166631C5}">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2A0A3A0B-6976-4054-9309-2BE966903F7E}">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23A08A80-9090-4E11-B04F-3DD2A53DCA2F}">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B1EE6D18-3BD9-4800-B12F-735D44513591}">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6A17204B-C1C0-425B-B394-C2987270F9AB}">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FCD2145B-942C-4E5F-B910-5ECC5DCE132B}">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DB9F0017-DB29-44BE-BE6F-DE5CD3D18AE1}">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88F30920-02A9-4A0F-8990-657D1A05D9BE}">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8F5B16B0-5CCF-47E6-A98F-798368EF9D36}">
            <x14:dataBar minLength="0" maxLength="100" gradient="0">
              <x14:cfvo type="autoMin"/>
              <x14:cfvo type="autoMax"/>
              <x14:negativeFillColor rgb="FFFF0000"/>
              <x14:axisColor rgb="FF000000"/>
            </x14:dataBar>
          </x14:cfRule>
          <xm:sqref>C36:D36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41"/>
  <sheetViews>
    <sheetView topLeftCell="A10" zoomScale="70" zoomScaleNormal="70" workbookViewId="0">
      <selection activeCell="K24" sqref="K24"/>
    </sheetView>
  </sheetViews>
  <sheetFormatPr baseColWidth="10" defaultColWidth="11.42578125" defaultRowHeight="15" x14ac:dyDescent="0.25"/>
  <cols>
    <col min="1" max="1" width="7.7109375" style="2" customWidth="1"/>
    <col min="2" max="2" width="107.85546875" style="2" customWidth="1"/>
    <col min="3" max="3" width="11.42578125" style="2"/>
    <col min="4" max="4" width="22.42578125" style="2" customWidth="1"/>
    <col min="5" max="9" width="17.28515625" style="2" customWidth="1"/>
    <col min="10" max="16384" width="11.42578125" style="2"/>
  </cols>
  <sheetData>
    <row r="1" spans="1:16" ht="61.5" customHeight="1" x14ac:dyDescent="0.25">
      <c r="A1" s="42" t="s">
        <v>1</v>
      </c>
      <c r="B1" s="16" t="s">
        <v>28</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3" customFormat="1" ht="15.75" thickBot="1" x14ac:dyDescent="0.3">
      <c r="A2" s="43"/>
      <c r="B2" s="16"/>
      <c r="C2" s="17">
        <v>2026</v>
      </c>
      <c r="D2" s="17" t="s">
        <v>16</v>
      </c>
      <c r="E2" s="18"/>
      <c r="F2" s="18"/>
      <c r="G2" s="18"/>
      <c r="H2" s="18"/>
      <c r="I2" s="18"/>
      <c r="J2" s="18"/>
      <c r="K2" s="18"/>
      <c r="L2" s="18"/>
      <c r="M2" s="18"/>
      <c r="N2" s="18"/>
      <c r="O2" s="18"/>
      <c r="P2" s="18"/>
    </row>
    <row r="3" spans="1:16" ht="81" customHeight="1" x14ac:dyDescent="0.25">
      <c r="A3" s="19" t="s">
        <v>20</v>
      </c>
      <c r="B3" s="20" t="s">
        <v>26</v>
      </c>
      <c r="C3" s="21">
        <v>2</v>
      </c>
      <c r="D3" s="22">
        <f t="shared" ref="D3:D10" si="0">SUM(E3:P3)</f>
        <v>0</v>
      </c>
      <c r="E3" s="23"/>
      <c r="F3" s="23"/>
      <c r="G3" s="23"/>
      <c r="H3" s="23"/>
      <c r="I3" s="23"/>
      <c r="J3" s="23"/>
      <c r="K3" s="23"/>
      <c r="L3" s="23"/>
      <c r="M3" s="23"/>
      <c r="N3" s="23"/>
      <c r="O3" s="23"/>
      <c r="P3" s="23"/>
    </row>
    <row r="4" spans="1:16" ht="81" customHeight="1" x14ac:dyDescent="0.25">
      <c r="A4" s="24" t="s">
        <v>18</v>
      </c>
      <c r="B4" s="25" t="s">
        <v>17</v>
      </c>
      <c r="C4" s="26">
        <v>1</v>
      </c>
      <c r="D4" s="22">
        <f t="shared" si="0"/>
        <v>0</v>
      </c>
      <c r="E4" s="23">
        <v>0</v>
      </c>
      <c r="F4" s="23">
        <v>0</v>
      </c>
      <c r="G4" s="23">
        <v>0</v>
      </c>
      <c r="H4" s="23">
        <v>0</v>
      </c>
      <c r="I4" s="23"/>
      <c r="J4" s="23"/>
      <c r="K4" s="23"/>
      <c r="L4" s="23"/>
      <c r="M4" s="23"/>
      <c r="N4" s="23"/>
      <c r="O4" s="23"/>
      <c r="P4" s="23"/>
    </row>
    <row r="5" spans="1:16" ht="81" customHeight="1" x14ac:dyDescent="0.25">
      <c r="A5" s="27" t="s">
        <v>30</v>
      </c>
      <c r="B5" s="28" t="s">
        <v>29</v>
      </c>
      <c r="C5" s="29">
        <v>1</v>
      </c>
      <c r="D5" s="22">
        <f t="shared" si="0"/>
        <v>2</v>
      </c>
      <c r="E5" s="23">
        <v>0</v>
      </c>
      <c r="F5" s="23">
        <v>0</v>
      </c>
      <c r="G5" s="23">
        <v>0</v>
      </c>
      <c r="H5" s="23">
        <v>2</v>
      </c>
      <c r="I5" s="23"/>
      <c r="J5" s="23"/>
      <c r="K5" s="23"/>
      <c r="L5" s="23"/>
      <c r="M5" s="23"/>
      <c r="N5" s="23"/>
      <c r="O5" s="23"/>
      <c r="P5" s="23"/>
    </row>
    <row r="6" spans="1:16" ht="81" customHeight="1" x14ac:dyDescent="0.25">
      <c r="A6" s="19" t="s">
        <v>20</v>
      </c>
      <c r="B6" s="20" t="s">
        <v>31</v>
      </c>
      <c r="C6" s="30">
        <v>2</v>
      </c>
      <c r="D6" s="22">
        <f t="shared" si="0"/>
        <v>0</v>
      </c>
      <c r="E6" s="23"/>
      <c r="F6" s="23"/>
      <c r="G6" s="23"/>
      <c r="H6" s="23"/>
      <c r="I6" s="23"/>
      <c r="J6" s="23"/>
      <c r="K6" s="23"/>
      <c r="L6" s="23"/>
      <c r="M6" s="23"/>
      <c r="N6" s="23"/>
      <c r="O6" s="23"/>
      <c r="P6" s="23"/>
    </row>
    <row r="7" spans="1:16" ht="81" customHeight="1" x14ac:dyDescent="0.25">
      <c r="A7" s="19" t="s">
        <v>20</v>
      </c>
      <c r="B7" s="20" t="s">
        <v>32</v>
      </c>
      <c r="C7" s="30">
        <v>2</v>
      </c>
      <c r="D7" s="22">
        <f t="shared" si="0"/>
        <v>1</v>
      </c>
      <c r="E7" s="23"/>
      <c r="F7" s="23"/>
      <c r="G7" s="23">
        <v>1</v>
      </c>
      <c r="H7" s="23"/>
      <c r="I7" s="23"/>
      <c r="J7" s="23"/>
      <c r="K7" s="23"/>
      <c r="L7" s="23"/>
      <c r="M7" s="23"/>
      <c r="N7" s="23"/>
      <c r="O7" s="23"/>
      <c r="P7" s="23"/>
    </row>
    <row r="8" spans="1:16" ht="81" customHeight="1" x14ac:dyDescent="0.25">
      <c r="A8" s="19" t="s">
        <v>20</v>
      </c>
      <c r="B8" s="20" t="s">
        <v>33</v>
      </c>
      <c r="C8" s="30">
        <v>1</v>
      </c>
      <c r="D8" s="22">
        <f t="shared" si="0"/>
        <v>1</v>
      </c>
      <c r="E8" s="23"/>
      <c r="F8" s="23"/>
      <c r="G8" s="23">
        <v>1</v>
      </c>
      <c r="H8" s="23"/>
      <c r="I8" s="23"/>
      <c r="J8" s="23"/>
      <c r="K8" s="23"/>
      <c r="L8" s="23"/>
      <c r="M8" s="23"/>
      <c r="N8" s="23"/>
      <c r="O8" s="23"/>
      <c r="P8" s="23"/>
    </row>
    <row r="9" spans="1:16" ht="81" customHeight="1" x14ac:dyDescent="0.25">
      <c r="A9" s="19" t="s">
        <v>20</v>
      </c>
      <c r="B9" s="20" t="s">
        <v>21</v>
      </c>
      <c r="C9" s="30">
        <v>2</v>
      </c>
      <c r="D9" s="22">
        <f t="shared" si="0"/>
        <v>2</v>
      </c>
      <c r="E9" s="23"/>
      <c r="F9" s="23"/>
      <c r="G9" s="23">
        <v>2</v>
      </c>
      <c r="H9" s="23"/>
      <c r="I9" s="23"/>
      <c r="J9" s="23"/>
      <c r="K9" s="23"/>
      <c r="L9" s="23"/>
      <c r="M9" s="23"/>
      <c r="N9" s="23"/>
      <c r="O9" s="23"/>
      <c r="P9" s="23"/>
    </row>
    <row r="10" spans="1:16" ht="81" customHeight="1" x14ac:dyDescent="0.25">
      <c r="A10" s="19" t="s">
        <v>20</v>
      </c>
      <c r="B10" s="20" t="s">
        <v>22</v>
      </c>
      <c r="C10" s="30">
        <v>1</v>
      </c>
      <c r="D10" s="22">
        <f t="shared" si="0"/>
        <v>1</v>
      </c>
      <c r="E10" s="23"/>
      <c r="F10" s="23"/>
      <c r="G10" s="23"/>
      <c r="H10" s="23">
        <v>1</v>
      </c>
      <c r="I10" s="23"/>
      <c r="J10" s="23"/>
      <c r="K10" s="23"/>
      <c r="L10" s="23"/>
      <c r="M10" s="23"/>
      <c r="N10" s="23"/>
      <c r="O10" s="23"/>
      <c r="P10" s="23"/>
    </row>
    <row r="11" spans="1:16" ht="81" customHeight="1" x14ac:dyDescent="0.25">
      <c r="A11" s="19" t="s">
        <v>20</v>
      </c>
      <c r="B11" s="8" t="s">
        <v>27</v>
      </c>
      <c r="C11" s="30">
        <v>2</v>
      </c>
      <c r="D11" s="22">
        <f>SUM(E11:P11)</f>
        <v>1</v>
      </c>
      <c r="E11" s="23"/>
      <c r="F11" s="23"/>
      <c r="G11" s="23">
        <v>1</v>
      </c>
      <c r="H11" s="23"/>
      <c r="I11" s="23"/>
      <c r="J11" s="23"/>
      <c r="K11" s="23"/>
      <c r="L11" s="23"/>
      <c r="M11" s="23"/>
      <c r="N11" s="23"/>
      <c r="O11" s="23"/>
      <c r="P11" s="23"/>
    </row>
    <row r="12" spans="1:16" ht="28.5" customHeight="1" x14ac:dyDescent="0.25">
      <c r="A12" s="44" t="s">
        <v>46</v>
      </c>
      <c r="B12" s="31" t="s">
        <v>47</v>
      </c>
      <c r="C12" s="30">
        <v>3</v>
      </c>
      <c r="D12" s="22">
        <f t="shared" ref="D12:D39" si="1">SUM(E12:O12)</f>
        <v>0</v>
      </c>
      <c r="E12" s="23"/>
      <c r="F12" s="23"/>
      <c r="G12" s="23"/>
      <c r="H12" s="23"/>
      <c r="I12" s="23"/>
      <c r="J12" s="23"/>
      <c r="K12" s="23"/>
      <c r="L12" s="23"/>
      <c r="M12" s="23"/>
      <c r="N12" s="23"/>
      <c r="O12" s="23"/>
      <c r="P12" s="32"/>
    </row>
    <row r="13" spans="1:16" ht="28.5" customHeight="1" x14ac:dyDescent="0.25">
      <c r="A13" s="45"/>
      <c r="B13" s="31" t="s">
        <v>48</v>
      </c>
      <c r="C13" s="30">
        <v>3</v>
      </c>
      <c r="D13" s="22">
        <f t="shared" si="1"/>
        <v>0</v>
      </c>
      <c r="E13" s="23"/>
      <c r="F13" s="23"/>
      <c r="G13" s="23"/>
      <c r="H13" s="23"/>
      <c r="I13" s="23"/>
      <c r="J13" s="23"/>
      <c r="K13" s="23"/>
      <c r="L13" s="23"/>
      <c r="M13" s="23"/>
      <c r="N13" s="23"/>
      <c r="O13" s="23"/>
      <c r="P13" s="32"/>
    </row>
    <row r="14" spans="1:16" ht="28.5" customHeight="1" x14ac:dyDescent="0.25">
      <c r="A14" s="45"/>
      <c r="B14" s="31" t="s">
        <v>49</v>
      </c>
      <c r="C14" s="30">
        <v>88</v>
      </c>
      <c r="D14" s="22">
        <f t="shared" si="1"/>
        <v>39</v>
      </c>
      <c r="E14" s="23"/>
      <c r="F14" s="23">
        <v>10</v>
      </c>
      <c r="G14" s="23">
        <v>10</v>
      </c>
      <c r="H14" s="23">
        <v>13</v>
      </c>
      <c r="I14" s="23">
        <v>6</v>
      </c>
      <c r="J14" s="23"/>
      <c r="K14" s="23"/>
      <c r="L14" s="23"/>
      <c r="M14" s="23"/>
      <c r="N14" s="23"/>
      <c r="O14" s="23"/>
      <c r="P14" s="32"/>
    </row>
    <row r="15" spans="1:16" ht="28.5" customHeight="1" x14ac:dyDescent="0.25">
      <c r="A15" s="45"/>
      <c r="B15" s="31" t="s">
        <v>50</v>
      </c>
      <c r="C15" s="30">
        <v>43</v>
      </c>
      <c r="D15" s="22">
        <f t="shared" si="1"/>
        <v>11</v>
      </c>
      <c r="E15" s="23"/>
      <c r="F15" s="23"/>
      <c r="G15" s="23"/>
      <c r="H15" s="23">
        <v>11</v>
      </c>
      <c r="I15" s="23"/>
      <c r="J15" s="23"/>
      <c r="K15" s="23"/>
      <c r="L15" s="23"/>
      <c r="M15" s="23"/>
      <c r="N15" s="23"/>
      <c r="O15" s="23"/>
      <c r="P15" s="32"/>
    </row>
    <row r="16" spans="1:16" ht="28.5" customHeight="1" x14ac:dyDescent="0.25">
      <c r="A16" s="45"/>
      <c r="B16" s="31" t="s">
        <v>51</v>
      </c>
      <c r="C16" s="30">
        <v>1</v>
      </c>
      <c r="D16" s="22">
        <f t="shared" si="1"/>
        <v>0</v>
      </c>
      <c r="E16" s="23"/>
      <c r="F16" s="23"/>
      <c r="G16" s="23"/>
      <c r="H16" s="23"/>
      <c r="I16" s="23"/>
      <c r="J16" s="23"/>
      <c r="K16" s="23"/>
      <c r="L16" s="23"/>
      <c r="M16" s="23"/>
      <c r="N16" s="23"/>
      <c r="O16" s="23"/>
      <c r="P16" s="32"/>
    </row>
    <row r="17" spans="1:16" ht="28.5" customHeight="1" x14ac:dyDescent="0.25">
      <c r="A17" s="45"/>
      <c r="B17" s="31" t="s">
        <v>52</v>
      </c>
      <c r="C17" s="30">
        <v>5</v>
      </c>
      <c r="D17" s="22">
        <f t="shared" si="1"/>
        <v>0</v>
      </c>
      <c r="E17" s="23"/>
      <c r="F17" s="23"/>
      <c r="G17" s="23"/>
      <c r="H17" s="23"/>
      <c r="I17" s="23"/>
      <c r="J17" s="23"/>
      <c r="K17" s="23"/>
      <c r="L17" s="23"/>
      <c r="M17" s="23"/>
      <c r="N17" s="23"/>
      <c r="O17" s="23"/>
      <c r="P17" s="32"/>
    </row>
    <row r="18" spans="1:16" ht="28.5" customHeight="1" x14ac:dyDescent="0.25">
      <c r="A18" s="45"/>
      <c r="B18" s="31" t="s">
        <v>53</v>
      </c>
      <c r="C18" s="30">
        <v>0</v>
      </c>
      <c r="D18" s="22">
        <f t="shared" si="1"/>
        <v>0</v>
      </c>
      <c r="E18" s="23"/>
      <c r="F18" s="23"/>
      <c r="G18" s="23"/>
      <c r="H18" s="23"/>
      <c r="I18" s="23"/>
      <c r="J18" s="23"/>
      <c r="K18" s="23"/>
      <c r="L18" s="23"/>
      <c r="M18" s="23"/>
      <c r="N18" s="23"/>
      <c r="O18" s="23"/>
      <c r="P18" s="32"/>
    </row>
    <row r="19" spans="1:16" ht="28.5" customHeight="1" x14ac:dyDescent="0.25">
      <c r="A19" s="45"/>
      <c r="B19" s="31" t="s">
        <v>54</v>
      </c>
      <c r="C19" s="30">
        <v>0</v>
      </c>
      <c r="D19" s="22">
        <f t="shared" si="1"/>
        <v>0</v>
      </c>
      <c r="E19" s="23"/>
      <c r="F19" s="23"/>
      <c r="G19" s="23"/>
      <c r="H19" s="23"/>
      <c r="I19" s="23"/>
      <c r="J19" s="23"/>
      <c r="K19" s="23"/>
      <c r="L19" s="23"/>
      <c r="M19" s="23"/>
      <c r="N19" s="23"/>
      <c r="O19" s="23"/>
      <c r="P19" s="32"/>
    </row>
    <row r="20" spans="1:16" ht="28.5" customHeight="1" x14ac:dyDescent="0.25">
      <c r="A20" s="45"/>
      <c r="B20" s="31" t="s">
        <v>55</v>
      </c>
      <c r="C20" s="30">
        <v>0</v>
      </c>
      <c r="D20" s="22">
        <f t="shared" si="1"/>
        <v>0</v>
      </c>
      <c r="E20" s="23"/>
      <c r="F20" s="23"/>
      <c r="G20" s="23"/>
      <c r="H20" s="23"/>
      <c r="I20" s="23"/>
      <c r="J20" s="23"/>
      <c r="K20" s="23"/>
      <c r="L20" s="23"/>
      <c r="M20" s="23"/>
      <c r="N20" s="23"/>
      <c r="O20" s="23"/>
      <c r="P20" s="32"/>
    </row>
    <row r="21" spans="1:16" ht="28.5" customHeight="1" x14ac:dyDescent="0.25">
      <c r="A21" s="45"/>
      <c r="B21" s="31" t="s">
        <v>56</v>
      </c>
      <c r="C21" s="30">
        <v>1</v>
      </c>
      <c r="D21" s="22">
        <f t="shared" si="1"/>
        <v>0</v>
      </c>
      <c r="E21" s="23"/>
      <c r="F21" s="23"/>
      <c r="G21" s="23"/>
      <c r="H21" s="23"/>
      <c r="I21" s="23"/>
      <c r="J21" s="23"/>
      <c r="K21" s="23"/>
      <c r="L21" s="23"/>
      <c r="M21" s="23"/>
      <c r="N21" s="23"/>
      <c r="O21" s="23"/>
      <c r="P21" s="32"/>
    </row>
    <row r="22" spans="1:16" ht="28.5" customHeight="1" x14ac:dyDescent="0.25">
      <c r="A22" s="45"/>
      <c r="B22" s="31" t="s">
        <v>57</v>
      </c>
      <c r="C22" s="30">
        <v>4</v>
      </c>
      <c r="D22" s="22">
        <f t="shared" si="1"/>
        <v>0</v>
      </c>
      <c r="E22" s="23"/>
      <c r="F22" s="23"/>
      <c r="G22" s="23"/>
      <c r="H22" s="23"/>
      <c r="I22" s="23"/>
      <c r="J22" s="23"/>
      <c r="K22" s="23"/>
      <c r="L22" s="23"/>
      <c r="M22" s="23"/>
      <c r="N22" s="23"/>
      <c r="O22" s="23"/>
      <c r="P22" s="32"/>
    </row>
    <row r="23" spans="1:16" ht="28.5" customHeight="1" x14ac:dyDescent="0.25">
      <c r="A23" s="45"/>
      <c r="B23" s="31" t="s">
        <v>58</v>
      </c>
      <c r="C23" s="30">
        <v>0</v>
      </c>
      <c r="D23" s="22">
        <f t="shared" si="1"/>
        <v>0</v>
      </c>
      <c r="E23" s="23"/>
      <c r="F23" s="23"/>
      <c r="G23" s="23"/>
      <c r="H23" s="23"/>
      <c r="I23" s="23"/>
      <c r="J23" s="23"/>
      <c r="K23" s="23"/>
      <c r="L23" s="23"/>
      <c r="M23" s="23"/>
      <c r="N23" s="23"/>
      <c r="O23" s="23"/>
      <c r="P23" s="32"/>
    </row>
    <row r="24" spans="1:16" ht="28.5" customHeight="1" x14ac:dyDescent="0.25">
      <c r="A24" s="45"/>
      <c r="B24" s="31" t="s">
        <v>59</v>
      </c>
      <c r="C24" s="30">
        <v>0</v>
      </c>
      <c r="D24" s="22">
        <f t="shared" si="1"/>
        <v>0</v>
      </c>
      <c r="E24" s="23"/>
      <c r="F24" s="23"/>
      <c r="G24" s="23"/>
      <c r="H24" s="23"/>
      <c r="I24" s="23"/>
      <c r="J24" s="23"/>
      <c r="K24" s="23"/>
      <c r="L24" s="23"/>
      <c r="M24" s="23"/>
      <c r="N24" s="23"/>
      <c r="O24" s="23"/>
      <c r="P24" s="32"/>
    </row>
    <row r="25" spans="1:16" ht="28.5" customHeight="1" x14ac:dyDescent="0.25">
      <c r="A25" s="45"/>
      <c r="B25" s="31" t="s">
        <v>60</v>
      </c>
      <c r="C25" s="30">
        <v>2</v>
      </c>
      <c r="D25" s="22">
        <f t="shared" si="1"/>
        <v>2</v>
      </c>
      <c r="E25" s="23"/>
      <c r="F25" s="23"/>
      <c r="G25" s="23"/>
      <c r="H25" s="23">
        <v>2</v>
      </c>
      <c r="I25" s="23"/>
      <c r="J25" s="23"/>
      <c r="K25" s="23"/>
      <c r="L25" s="23"/>
      <c r="M25" s="23"/>
      <c r="N25" s="23"/>
      <c r="O25" s="23"/>
      <c r="P25" s="32"/>
    </row>
    <row r="26" spans="1:16" ht="28.5" customHeight="1" x14ac:dyDescent="0.25">
      <c r="A26" s="45"/>
      <c r="B26" s="31" t="s">
        <v>61</v>
      </c>
      <c r="C26" s="30">
        <v>190</v>
      </c>
      <c r="D26" s="22">
        <f t="shared" si="1"/>
        <v>77</v>
      </c>
      <c r="E26" s="23"/>
      <c r="F26" s="23">
        <v>36</v>
      </c>
      <c r="G26" s="23"/>
      <c r="H26" s="23">
        <v>3</v>
      </c>
      <c r="I26" s="23">
        <v>38</v>
      </c>
      <c r="J26" s="23"/>
      <c r="K26" s="23"/>
      <c r="L26" s="23"/>
      <c r="M26" s="23"/>
      <c r="N26" s="23"/>
      <c r="O26" s="23"/>
      <c r="P26" s="32"/>
    </row>
    <row r="27" spans="1:16" ht="28.5" customHeight="1" x14ac:dyDescent="0.25">
      <c r="A27" s="45"/>
      <c r="B27" s="31" t="s">
        <v>62</v>
      </c>
      <c r="C27" s="30">
        <v>2</v>
      </c>
      <c r="D27" s="22">
        <f t="shared" si="1"/>
        <v>2</v>
      </c>
      <c r="E27" s="23"/>
      <c r="F27" s="23"/>
      <c r="G27" s="23"/>
      <c r="H27" s="23">
        <v>2</v>
      </c>
      <c r="I27" s="23"/>
      <c r="J27" s="23"/>
      <c r="K27" s="23"/>
      <c r="L27" s="23"/>
      <c r="M27" s="23"/>
      <c r="N27" s="23"/>
      <c r="O27" s="23"/>
      <c r="P27" s="32"/>
    </row>
    <row r="28" spans="1:16" ht="24" customHeight="1" x14ac:dyDescent="0.25">
      <c r="A28" s="45"/>
      <c r="B28" s="33" t="s">
        <v>63</v>
      </c>
      <c r="C28" s="30">
        <v>4</v>
      </c>
      <c r="D28" s="22">
        <f t="shared" si="1"/>
        <v>0</v>
      </c>
      <c r="E28" s="23"/>
      <c r="F28" s="23"/>
      <c r="G28" s="23"/>
      <c r="H28" s="23"/>
      <c r="I28" s="23"/>
      <c r="J28" s="23"/>
      <c r="K28" s="23"/>
      <c r="L28" s="23"/>
      <c r="M28" s="23"/>
      <c r="N28" s="23"/>
      <c r="O28" s="23"/>
      <c r="P28" s="32"/>
    </row>
    <row r="29" spans="1:16" ht="24" customHeight="1" x14ac:dyDescent="0.25">
      <c r="A29" s="45"/>
      <c r="B29" s="33" t="s">
        <v>64</v>
      </c>
      <c r="C29" s="30">
        <v>4</v>
      </c>
      <c r="D29" s="22">
        <f t="shared" si="1"/>
        <v>0</v>
      </c>
      <c r="E29" s="23"/>
      <c r="F29" s="23"/>
      <c r="G29" s="23"/>
      <c r="H29" s="23"/>
      <c r="I29" s="23"/>
      <c r="J29" s="23"/>
      <c r="K29" s="23"/>
      <c r="L29" s="23"/>
      <c r="M29" s="23"/>
      <c r="N29" s="23"/>
      <c r="O29" s="23"/>
      <c r="P29" s="32"/>
    </row>
    <row r="30" spans="1:16" ht="24" customHeight="1" x14ac:dyDescent="0.25">
      <c r="A30" s="45"/>
      <c r="B30" s="33" t="s">
        <v>65</v>
      </c>
      <c r="C30" s="30">
        <v>4</v>
      </c>
      <c r="D30" s="22">
        <f t="shared" si="1"/>
        <v>0</v>
      </c>
      <c r="E30" s="23"/>
      <c r="F30" s="23"/>
      <c r="G30" s="23"/>
      <c r="H30" s="23"/>
      <c r="I30" s="23"/>
      <c r="J30" s="23"/>
      <c r="K30" s="23"/>
      <c r="L30" s="23"/>
      <c r="M30" s="23"/>
      <c r="N30" s="23"/>
      <c r="O30" s="23"/>
      <c r="P30" s="32"/>
    </row>
    <row r="31" spans="1:16" ht="24" customHeight="1" x14ac:dyDescent="0.25">
      <c r="A31" s="45"/>
      <c r="B31" s="33" t="s">
        <v>66</v>
      </c>
      <c r="C31" s="30">
        <v>4</v>
      </c>
      <c r="D31" s="22">
        <f t="shared" si="1"/>
        <v>0</v>
      </c>
      <c r="E31" s="23"/>
      <c r="F31" s="23"/>
      <c r="G31" s="23"/>
      <c r="H31" s="23"/>
      <c r="I31" s="23"/>
      <c r="J31" s="23"/>
      <c r="K31" s="23"/>
      <c r="L31" s="23"/>
      <c r="M31" s="23"/>
      <c r="N31" s="23"/>
      <c r="O31" s="23"/>
      <c r="P31" s="32"/>
    </row>
    <row r="32" spans="1:16" ht="24" customHeight="1" x14ac:dyDescent="0.25">
      <c r="A32" s="45"/>
      <c r="B32" s="33" t="s">
        <v>67</v>
      </c>
      <c r="C32" s="30">
        <v>4</v>
      </c>
      <c r="D32" s="22">
        <f t="shared" si="1"/>
        <v>0</v>
      </c>
      <c r="E32" s="23"/>
      <c r="F32" s="23"/>
      <c r="G32" s="23"/>
      <c r="H32" s="23"/>
      <c r="I32" s="23"/>
      <c r="J32" s="23"/>
      <c r="K32" s="23"/>
      <c r="L32" s="23"/>
      <c r="M32" s="23"/>
      <c r="N32" s="23"/>
      <c r="O32" s="23"/>
      <c r="P32" s="32"/>
    </row>
    <row r="33" spans="1:16" ht="24" customHeight="1" x14ac:dyDescent="0.25">
      <c r="A33" s="45"/>
      <c r="B33" s="33" t="s">
        <v>68</v>
      </c>
      <c r="C33" s="30">
        <v>1</v>
      </c>
      <c r="D33" s="22">
        <f t="shared" si="1"/>
        <v>0</v>
      </c>
      <c r="E33" s="23"/>
      <c r="F33" s="23"/>
      <c r="G33" s="23"/>
      <c r="H33" s="23"/>
      <c r="I33" s="23"/>
      <c r="J33" s="23"/>
      <c r="K33" s="23"/>
      <c r="L33" s="23"/>
      <c r="M33" s="23"/>
      <c r="N33" s="23"/>
      <c r="O33" s="23"/>
      <c r="P33" s="32"/>
    </row>
    <row r="34" spans="1:16" ht="24" customHeight="1" x14ac:dyDescent="0.25">
      <c r="A34" s="45"/>
      <c r="B34" s="33" t="s">
        <v>69</v>
      </c>
      <c r="C34" s="30">
        <v>1</v>
      </c>
      <c r="D34" s="22">
        <f t="shared" si="1"/>
        <v>0</v>
      </c>
      <c r="E34" s="23"/>
      <c r="F34" s="23"/>
      <c r="G34" s="23"/>
      <c r="H34" s="23"/>
      <c r="I34" s="23"/>
      <c r="J34" s="23"/>
      <c r="K34" s="23"/>
      <c r="L34" s="23"/>
      <c r="M34" s="23"/>
      <c r="N34" s="23"/>
      <c r="O34" s="23"/>
      <c r="P34" s="32"/>
    </row>
    <row r="35" spans="1:16" ht="24" customHeight="1" x14ac:dyDescent="0.25">
      <c r="A35" s="45"/>
      <c r="B35" s="33" t="s">
        <v>70</v>
      </c>
      <c r="C35" s="30">
        <v>1</v>
      </c>
      <c r="D35" s="22">
        <f t="shared" si="1"/>
        <v>0</v>
      </c>
      <c r="E35" s="23"/>
      <c r="F35" s="23"/>
      <c r="G35" s="23"/>
      <c r="H35" s="23"/>
      <c r="I35" s="23"/>
      <c r="J35" s="23"/>
      <c r="K35" s="23"/>
      <c r="L35" s="23"/>
      <c r="M35" s="23"/>
      <c r="N35" s="23"/>
      <c r="O35" s="23"/>
      <c r="P35" s="32"/>
    </row>
    <row r="36" spans="1:16" ht="24" customHeight="1" x14ac:dyDescent="0.25">
      <c r="A36" s="45"/>
      <c r="B36" s="33" t="s">
        <v>71</v>
      </c>
      <c r="C36" s="30">
        <v>1</v>
      </c>
      <c r="D36" s="22">
        <f t="shared" si="1"/>
        <v>0</v>
      </c>
      <c r="E36" s="23"/>
      <c r="F36" s="23"/>
      <c r="G36" s="23"/>
      <c r="H36" s="23"/>
      <c r="I36" s="23"/>
      <c r="J36" s="23"/>
      <c r="K36" s="23"/>
      <c r="L36" s="23"/>
      <c r="M36" s="23"/>
      <c r="N36" s="23"/>
      <c r="O36" s="23"/>
      <c r="P36" s="32"/>
    </row>
    <row r="37" spans="1:16" ht="24" customHeight="1" x14ac:dyDescent="0.25">
      <c r="A37" s="45"/>
      <c r="B37" s="33" t="s">
        <v>72</v>
      </c>
      <c r="C37" s="30">
        <v>1</v>
      </c>
      <c r="D37" s="22">
        <f t="shared" si="1"/>
        <v>0</v>
      </c>
      <c r="E37" s="23"/>
      <c r="F37" s="23"/>
      <c r="G37" s="23"/>
      <c r="H37" s="23"/>
      <c r="I37" s="23"/>
      <c r="J37" s="23"/>
      <c r="K37" s="23"/>
      <c r="L37" s="23"/>
      <c r="M37" s="23"/>
      <c r="N37" s="23"/>
      <c r="O37" s="23"/>
      <c r="P37" s="32"/>
    </row>
    <row r="38" spans="1:16" ht="24" customHeight="1" x14ac:dyDescent="0.25">
      <c r="A38" s="45"/>
      <c r="B38" s="33" t="s">
        <v>73</v>
      </c>
      <c r="C38" s="30">
        <v>1</v>
      </c>
      <c r="D38" s="22">
        <f t="shared" si="1"/>
        <v>0</v>
      </c>
      <c r="E38" s="23"/>
      <c r="F38" s="23"/>
      <c r="G38" s="23"/>
      <c r="H38" s="23"/>
      <c r="I38" s="23"/>
      <c r="J38" s="23"/>
      <c r="K38" s="23"/>
      <c r="L38" s="23"/>
      <c r="M38" s="23"/>
      <c r="N38" s="23"/>
      <c r="O38" s="23"/>
      <c r="P38" s="32"/>
    </row>
    <row r="39" spans="1:16" ht="24" customHeight="1" thickBot="1" x14ac:dyDescent="0.3">
      <c r="A39" s="46"/>
      <c r="B39" s="34" t="s">
        <v>74</v>
      </c>
      <c r="C39" s="30">
        <v>1</v>
      </c>
      <c r="D39" s="22">
        <f t="shared" si="1"/>
        <v>0</v>
      </c>
      <c r="E39" s="23"/>
      <c r="F39" s="23"/>
      <c r="G39" s="23"/>
      <c r="H39" s="23"/>
      <c r="I39" s="23"/>
      <c r="J39" s="23"/>
      <c r="K39" s="23"/>
      <c r="L39" s="23"/>
      <c r="M39" s="23"/>
      <c r="N39" s="23"/>
      <c r="O39" s="23"/>
      <c r="P39" s="32"/>
    </row>
    <row r="40" spans="1:16" x14ac:dyDescent="0.25">
      <c r="C40" s="35">
        <f>SUM(C3:C39)</f>
        <v>383</v>
      </c>
      <c r="D40" s="36">
        <f>SUM(D3:D39)</f>
        <v>139</v>
      </c>
    </row>
    <row r="41" spans="1:16" x14ac:dyDescent="0.25">
      <c r="C41" s="37"/>
      <c r="D41" s="38">
        <f>D40/C40</f>
        <v>0.36292428198433418</v>
      </c>
    </row>
  </sheetData>
  <sheetProtection algorithmName="SHA-512" hashValue="K6wjET9CNdWwA5QmCf53MXwScZQqspw1ORW5FFCsSxjv286RU/DcsA0Pr/SDK38AuO5hyT9e+dP7bX2yLAj0OQ==" saltValue="hLdc3z5vLwuO+srp6sWAbQ==" spinCount="100000" sheet="1" objects="1" scenarios="1" autoFilter="0"/>
  <mergeCells count="2">
    <mergeCell ref="A1:A2"/>
    <mergeCell ref="A12:A39"/>
  </mergeCells>
  <conditionalFormatting sqref="C10">
    <cfRule type="dataBar" priority="2">
      <dataBar>
        <cfvo type="min"/>
        <cfvo type="max"/>
        <color rgb="FF008AEF"/>
      </dataBar>
      <extLst>
        <ext xmlns:x14="http://schemas.microsoft.com/office/spreadsheetml/2009/9/main" uri="{B025F937-C7B1-47D3-B67F-A62EFF666E3E}">
          <x14:id>{8FD9CD0E-4397-41F2-A700-8C13BFCB4B7E}</x14:id>
        </ext>
      </extLst>
    </cfRule>
  </conditionalFormatting>
  <conditionalFormatting sqref="C3:D3 D4:D11">
    <cfRule type="dataBar" priority="5">
      <dataBar>
        <cfvo type="min"/>
        <cfvo type="max"/>
        <color rgb="FF008AEF"/>
      </dataBar>
      <extLst>
        <ext xmlns:x14="http://schemas.microsoft.com/office/spreadsheetml/2009/9/main" uri="{B025F937-C7B1-47D3-B67F-A62EFF666E3E}">
          <x14:id>{1D2AD1D2-6DA8-4586-80BD-A8B4C90AF538}</x14:id>
        </ext>
      </extLst>
    </cfRule>
  </conditionalFormatting>
  <conditionalFormatting sqref="C4:D4">
    <cfRule type="dataBar" priority="6">
      <dataBar>
        <cfvo type="min"/>
        <cfvo type="max"/>
        <color rgb="FF008AEF"/>
      </dataBar>
      <extLst>
        <ext xmlns:x14="http://schemas.microsoft.com/office/spreadsheetml/2009/9/main" uri="{B025F937-C7B1-47D3-B67F-A62EFF666E3E}">
          <x14:id>{1F3C0F35-6EE5-4496-BF43-E8D608C6AC45}</x14:id>
        </ext>
      </extLst>
    </cfRule>
  </conditionalFormatting>
  <conditionalFormatting sqref="C5:D5">
    <cfRule type="dataBar" priority="7">
      <dataBar>
        <cfvo type="min"/>
        <cfvo type="max"/>
        <color rgb="FF008AEF"/>
      </dataBar>
      <extLst>
        <ext xmlns:x14="http://schemas.microsoft.com/office/spreadsheetml/2009/9/main" uri="{B025F937-C7B1-47D3-B67F-A62EFF666E3E}">
          <x14:id>{0E921742-BADE-4B14-AEA2-92A95ACC69D8}</x14:id>
        </ext>
      </extLst>
    </cfRule>
  </conditionalFormatting>
  <conditionalFormatting sqref="C6:D6">
    <cfRule type="dataBar" priority="8">
      <dataBar>
        <cfvo type="min"/>
        <cfvo type="max"/>
        <color rgb="FF008AEF"/>
      </dataBar>
      <extLst>
        <ext xmlns:x14="http://schemas.microsoft.com/office/spreadsheetml/2009/9/main" uri="{B025F937-C7B1-47D3-B67F-A62EFF666E3E}">
          <x14:id>{078389FF-E8D8-46B1-89BD-3888D1637369}</x14:id>
        </ext>
      </extLst>
    </cfRule>
  </conditionalFormatting>
  <conditionalFormatting sqref="C7:D7">
    <cfRule type="dataBar" priority="9">
      <dataBar>
        <cfvo type="min"/>
        <cfvo type="max"/>
        <color rgb="FF008AEF"/>
      </dataBar>
      <extLst>
        <ext xmlns:x14="http://schemas.microsoft.com/office/spreadsheetml/2009/9/main" uri="{B025F937-C7B1-47D3-B67F-A62EFF666E3E}">
          <x14:id>{99D35646-7097-40EF-8DB9-A6230498C749}</x14:id>
        </ext>
      </extLst>
    </cfRule>
  </conditionalFormatting>
  <conditionalFormatting sqref="C8:D8">
    <cfRule type="dataBar" priority="10">
      <dataBar>
        <cfvo type="min"/>
        <cfvo type="max"/>
        <color rgb="FF008AEF"/>
      </dataBar>
      <extLst>
        <ext xmlns:x14="http://schemas.microsoft.com/office/spreadsheetml/2009/9/main" uri="{B025F937-C7B1-47D3-B67F-A62EFF666E3E}">
          <x14:id>{EAEDCB93-2ACF-4602-AF6D-749710879DE0}</x14:id>
        </ext>
      </extLst>
    </cfRule>
  </conditionalFormatting>
  <conditionalFormatting sqref="C9:D9">
    <cfRule type="dataBar" priority="11">
      <dataBar>
        <cfvo type="min"/>
        <cfvo type="max"/>
        <color rgb="FF008AEF"/>
      </dataBar>
      <extLst>
        <ext xmlns:x14="http://schemas.microsoft.com/office/spreadsheetml/2009/9/main" uri="{B025F937-C7B1-47D3-B67F-A62EFF666E3E}">
          <x14:id>{B721079C-E744-42B7-BC20-09FFCC008011}</x14:id>
        </ext>
      </extLst>
    </cfRule>
  </conditionalFormatting>
  <conditionalFormatting sqref="C11:D11">
    <cfRule type="dataBar" priority="1">
      <dataBar>
        <cfvo type="min"/>
        <cfvo type="max"/>
        <color rgb="FF008AEF"/>
      </dataBar>
      <extLst>
        <ext xmlns:x14="http://schemas.microsoft.com/office/spreadsheetml/2009/9/main" uri="{B025F937-C7B1-47D3-B67F-A62EFF666E3E}">
          <x14:id>{0CEF55DD-4967-44F3-8F82-BFC7CD039C06}</x14:id>
        </ext>
      </extLst>
    </cfRule>
  </conditionalFormatting>
  <conditionalFormatting sqref="C12:D12">
    <cfRule type="dataBar" priority="13">
      <dataBar>
        <cfvo type="min"/>
        <cfvo type="max"/>
        <color rgb="FF008AEF"/>
      </dataBar>
      <extLst>
        <ext xmlns:x14="http://schemas.microsoft.com/office/spreadsheetml/2009/9/main" uri="{B025F937-C7B1-47D3-B67F-A62EFF666E3E}">
          <x14:id>{AB4C27E2-D4CE-40F4-897E-4A09B5513670}</x14:id>
        </ext>
      </extLst>
    </cfRule>
  </conditionalFormatting>
  <conditionalFormatting sqref="C13:D13">
    <cfRule type="dataBar" priority="40">
      <dataBar>
        <cfvo type="min"/>
        <cfvo type="max"/>
        <color rgb="FF008AEF"/>
      </dataBar>
      <extLst>
        <ext xmlns:x14="http://schemas.microsoft.com/office/spreadsheetml/2009/9/main" uri="{B025F937-C7B1-47D3-B67F-A62EFF666E3E}">
          <x14:id>{DBB903F6-5295-4B2E-A6F0-0F2D731E9778}</x14:id>
        </ext>
      </extLst>
    </cfRule>
  </conditionalFormatting>
  <conditionalFormatting sqref="C14:D14">
    <cfRule type="dataBar" priority="39">
      <dataBar>
        <cfvo type="min"/>
        <cfvo type="max"/>
        <color rgb="FF008AEF"/>
      </dataBar>
      <extLst>
        <ext xmlns:x14="http://schemas.microsoft.com/office/spreadsheetml/2009/9/main" uri="{B025F937-C7B1-47D3-B67F-A62EFF666E3E}">
          <x14:id>{B988ACA2-F417-4D9F-BD02-317178A1A514}</x14:id>
        </ext>
      </extLst>
    </cfRule>
  </conditionalFormatting>
  <conditionalFormatting sqref="C15:D15">
    <cfRule type="dataBar" priority="38">
      <dataBar>
        <cfvo type="min"/>
        <cfvo type="max"/>
        <color rgb="FF008AEF"/>
      </dataBar>
      <extLst>
        <ext xmlns:x14="http://schemas.microsoft.com/office/spreadsheetml/2009/9/main" uri="{B025F937-C7B1-47D3-B67F-A62EFF666E3E}">
          <x14:id>{30024C87-20A6-420F-90DC-FC0A7EE3309A}</x14:id>
        </ext>
      </extLst>
    </cfRule>
  </conditionalFormatting>
  <conditionalFormatting sqref="C16:D16">
    <cfRule type="dataBar" priority="37">
      <dataBar>
        <cfvo type="min"/>
        <cfvo type="max"/>
        <color rgb="FF008AEF"/>
      </dataBar>
      <extLst>
        <ext xmlns:x14="http://schemas.microsoft.com/office/spreadsheetml/2009/9/main" uri="{B025F937-C7B1-47D3-B67F-A62EFF666E3E}">
          <x14:id>{1B71B060-CCB4-432A-93A2-EE2F1B13E2EE}</x14:id>
        </ext>
      </extLst>
    </cfRule>
  </conditionalFormatting>
  <conditionalFormatting sqref="C17:D17">
    <cfRule type="dataBar" priority="36">
      <dataBar>
        <cfvo type="min"/>
        <cfvo type="max"/>
        <color rgb="FF008AEF"/>
      </dataBar>
      <extLst>
        <ext xmlns:x14="http://schemas.microsoft.com/office/spreadsheetml/2009/9/main" uri="{B025F937-C7B1-47D3-B67F-A62EFF666E3E}">
          <x14:id>{4A96F7E9-6FCE-40AB-9823-95F966B416CE}</x14:id>
        </ext>
      </extLst>
    </cfRule>
  </conditionalFormatting>
  <conditionalFormatting sqref="C18:D18">
    <cfRule type="dataBar" priority="35">
      <dataBar>
        <cfvo type="min"/>
        <cfvo type="max"/>
        <color rgb="FF008AEF"/>
      </dataBar>
      <extLst>
        <ext xmlns:x14="http://schemas.microsoft.com/office/spreadsheetml/2009/9/main" uri="{B025F937-C7B1-47D3-B67F-A62EFF666E3E}">
          <x14:id>{E54FFB4C-F596-4FD9-9C18-58A261756EA1}</x14:id>
        </ext>
      </extLst>
    </cfRule>
  </conditionalFormatting>
  <conditionalFormatting sqref="C19:D19">
    <cfRule type="dataBar" priority="34">
      <dataBar>
        <cfvo type="min"/>
        <cfvo type="max"/>
        <color rgb="FF008AEF"/>
      </dataBar>
      <extLst>
        <ext xmlns:x14="http://schemas.microsoft.com/office/spreadsheetml/2009/9/main" uri="{B025F937-C7B1-47D3-B67F-A62EFF666E3E}">
          <x14:id>{19F0BBB1-87FC-4B3E-8D30-F227DC0654BD}</x14:id>
        </ext>
      </extLst>
    </cfRule>
  </conditionalFormatting>
  <conditionalFormatting sqref="C20:D20">
    <cfRule type="dataBar" priority="33">
      <dataBar>
        <cfvo type="min"/>
        <cfvo type="max"/>
        <color rgb="FF008AEF"/>
      </dataBar>
      <extLst>
        <ext xmlns:x14="http://schemas.microsoft.com/office/spreadsheetml/2009/9/main" uri="{B025F937-C7B1-47D3-B67F-A62EFF666E3E}">
          <x14:id>{E3635E62-835E-4A5F-9A80-270626D9F4E6}</x14:id>
        </ext>
      </extLst>
    </cfRule>
  </conditionalFormatting>
  <conditionalFormatting sqref="C21:D21">
    <cfRule type="dataBar" priority="32">
      <dataBar>
        <cfvo type="min"/>
        <cfvo type="max"/>
        <color rgb="FF008AEF"/>
      </dataBar>
      <extLst>
        <ext xmlns:x14="http://schemas.microsoft.com/office/spreadsheetml/2009/9/main" uri="{B025F937-C7B1-47D3-B67F-A62EFF666E3E}">
          <x14:id>{C49B6096-7CF6-4F52-A4B5-19FB3B73C44C}</x14:id>
        </ext>
      </extLst>
    </cfRule>
  </conditionalFormatting>
  <conditionalFormatting sqref="C22:D22">
    <cfRule type="dataBar" priority="31">
      <dataBar>
        <cfvo type="min"/>
        <cfvo type="max"/>
        <color rgb="FF008AEF"/>
      </dataBar>
      <extLst>
        <ext xmlns:x14="http://schemas.microsoft.com/office/spreadsheetml/2009/9/main" uri="{B025F937-C7B1-47D3-B67F-A62EFF666E3E}">
          <x14:id>{BB972560-FE9F-4383-A0AE-B7602402F471}</x14:id>
        </ext>
      </extLst>
    </cfRule>
  </conditionalFormatting>
  <conditionalFormatting sqref="C23:D23">
    <cfRule type="dataBar" priority="30">
      <dataBar>
        <cfvo type="min"/>
        <cfvo type="max"/>
        <color rgb="FF008AEF"/>
      </dataBar>
      <extLst>
        <ext xmlns:x14="http://schemas.microsoft.com/office/spreadsheetml/2009/9/main" uri="{B025F937-C7B1-47D3-B67F-A62EFF666E3E}">
          <x14:id>{1D807CFB-44ED-43FF-9AD4-96BD051DE893}</x14:id>
        </ext>
      </extLst>
    </cfRule>
  </conditionalFormatting>
  <conditionalFormatting sqref="C24:D24">
    <cfRule type="dataBar" priority="29">
      <dataBar>
        <cfvo type="min"/>
        <cfvo type="max"/>
        <color rgb="FF008AEF"/>
      </dataBar>
      <extLst>
        <ext xmlns:x14="http://schemas.microsoft.com/office/spreadsheetml/2009/9/main" uri="{B025F937-C7B1-47D3-B67F-A62EFF666E3E}">
          <x14:id>{98C38A0B-C707-468B-8017-F5D4BC9EDF07}</x14:id>
        </ext>
      </extLst>
    </cfRule>
  </conditionalFormatting>
  <conditionalFormatting sqref="C25:D25">
    <cfRule type="dataBar" priority="28">
      <dataBar>
        <cfvo type="min"/>
        <cfvo type="max"/>
        <color rgb="FF008AEF"/>
      </dataBar>
      <extLst>
        <ext xmlns:x14="http://schemas.microsoft.com/office/spreadsheetml/2009/9/main" uri="{B025F937-C7B1-47D3-B67F-A62EFF666E3E}">
          <x14:id>{E7842079-6880-4E64-833D-B7BF595A0ACB}</x14:id>
        </ext>
      </extLst>
    </cfRule>
  </conditionalFormatting>
  <conditionalFormatting sqref="C26:D26">
    <cfRule type="dataBar" priority="27">
      <dataBar>
        <cfvo type="min"/>
        <cfvo type="max"/>
        <color rgb="FF008AEF"/>
      </dataBar>
      <extLst>
        <ext xmlns:x14="http://schemas.microsoft.com/office/spreadsheetml/2009/9/main" uri="{B025F937-C7B1-47D3-B67F-A62EFF666E3E}">
          <x14:id>{4AB42C23-0142-44DC-8F6A-888DE9ACC7EA}</x14:id>
        </ext>
      </extLst>
    </cfRule>
  </conditionalFormatting>
  <conditionalFormatting sqref="C27:D27">
    <cfRule type="dataBar" priority="26">
      <dataBar>
        <cfvo type="min"/>
        <cfvo type="max"/>
        <color rgb="FF008AEF"/>
      </dataBar>
      <extLst>
        <ext xmlns:x14="http://schemas.microsoft.com/office/spreadsheetml/2009/9/main" uri="{B025F937-C7B1-47D3-B67F-A62EFF666E3E}">
          <x14:id>{A414B46D-546D-4F34-B169-303CE514AAF9}</x14:id>
        </ext>
      </extLst>
    </cfRule>
  </conditionalFormatting>
  <conditionalFormatting sqref="C28:D28">
    <cfRule type="dataBar" priority="25">
      <dataBar>
        <cfvo type="min"/>
        <cfvo type="max"/>
        <color rgb="FF008AEF"/>
      </dataBar>
      <extLst>
        <ext xmlns:x14="http://schemas.microsoft.com/office/spreadsheetml/2009/9/main" uri="{B025F937-C7B1-47D3-B67F-A62EFF666E3E}">
          <x14:id>{FE50FD78-1C3B-42E3-A8F7-986EF196402D}</x14:id>
        </ext>
      </extLst>
    </cfRule>
  </conditionalFormatting>
  <conditionalFormatting sqref="C29:D29">
    <cfRule type="dataBar" priority="24">
      <dataBar>
        <cfvo type="min"/>
        <cfvo type="max"/>
        <color rgb="FF008AEF"/>
      </dataBar>
      <extLst>
        <ext xmlns:x14="http://schemas.microsoft.com/office/spreadsheetml/2009/9/main" uri="{B025F937-C7B1-47D3-B67F-A62EFF666E3E}">
          <x14:id>{5F836B67-20B9-444D-8FB3-7EDB1B2D04F1}</x14:id>
        </ext>
      </extLst>
    </cfRule>
  </conditionalFormatting>
  <conditionalFormatting sqref="C30:D30">
    <cfRule type="dataBar" priority="23">
      <dataBar>
        <cfvo type="min"/>
        <cfvo type="max"/>
        <color rgb="FF008AEF"/>
      </dataBar>
      <extLst>
        <ext xmlns:x14="http://schemas.microsoft.com/office/spreadsheetml/2009/9/main" uri="{B025F937-C7B1-47D3-B67F-A62EFF666E3E}">
          <x14:id>{57CA61A9-45DD-46CC-82E1-1869C94782AE}</x14:id>
        </ext>
      </extLst>
    </cfRule>
  </conditionalFormatting>
  <conditionalFormatting sqref="C31:D31">
    <cfRule type="dataBar" priority="22">
      <dataBar>
        <cfvo type="min"/>
        <cfvo type="max"/>
        <color rgb="FF008AEF"/>
      </dataBar>
      <extLst>
        <ext xmlns:x14="http://schemas.microsoft.com/office/spreadsheetml/2009/9/main" uri="{B025F937-C7B1-47D3-B67F-A62EFF666E3E}">
          <x14:id>{00E499B7-742F-471E-BCC7-02B4A9DB9702}</x14:id>
        </ext>
      </extLst>
    </cfRule>
  </conditionalFormatting>
  <conditionalFormatting sqref="C32:D32">
    <cfRule type="dataBar" priority="21">
      <dataBar>
        <cfvo type="min"/>
        <cfvo type="max"/>
        <color rgb="FF008AEF"/>
      </dataBar>
      <extLst>
        <ext xmlns:x14="http://schemas.microsoft.com/office/spreadsheetml/2009/9/main" uri="{B025F937-C7B1-47D3-B67F-A62EFF666E3E}">
          <x14:id>{1E563EF2-ED53-491A-80AB-B68222D0398F}</x14:id>
        </ext>
      </extLst>
    </cfRule>
  </conditionalFormatting>
  <conditionalFormatting sqref="C33:D33">
    <cfRule type="dataBar" priority="20">
      <dataBar>
        <cfvo type="min"/>
        <cfvo type="max"/>
        <color rgb="FF008AEF"/>
      </dataBar>
      <extLst>
        <ext xmlns:x14="http://schemas.microsoft.com/office/spreadsheetml/2009/9/main" uri="{B025F937-C7B1-47D3-B67F-A62EFF666E3E}">
          <x14:id>{8E6655E7-1A0B-4A14-B9C2-FF6DD78EB04B}</x14:id>
        </ext>
      </extLst>
    </cfRule>
  </conditionalFormatting>
  <conditionalFormatting sqref="C34:D34">
    <cfRule type="dataBar" priority="19">
      <dataBar>
        <cfvo type="min"/>
        <cfvo type="max"/>
        <color rgb="FF008AEF"/>
      </dataBar>
      <extLst>
        <ext xmlns:x14="http://schemas.microsoft.com/office/spreadsheetml/2009/9/main" uri="{B025F937-C7B1-47D3-B67F-A62EFF666E3E}">
          <x14:id>{CE8774BA-242F-4710-A244-619A4DCD2AF5}</x14:id>
        </ext>
      </extLst>
    </cfRule>
  </conditionalFormatting>
  <conditionalFormatting sqref="C35:D35">
    <cfRule type="dataBar" priority="18">
      <dataBar>
        <cfvo type="min"/>
        <cfvo type="max"/>
        <color rgb="FF008AEF"/>
      </dataBar>
      <extLst>
        <ext xmlns:x14="http://schemas.microsoft.com/office/spreadsheetml/2009/9/main" uri="{B025F937-C7B1-47D3-B67F-A62EFF666E3E}">
          <x14:id>{592298CA-8150-4A8A-8C83-978C334496D3}</x14:id>
        </ext>
      </extLst>
    </cfRule>
  </conditionalFormatting>
  <conditionalFormatting sqref="C36:D36">
    <cfRule type="dataBar" priority="17">
      <dataBar>
        <cfvo type="min"/>
        <cfvo type="max"/>
        <color rgb="FF008AEF"/>
      </dataBar>
      <extLst>
        <ext xmlns:x14="http://schemas.microsoft.com/office/spreadsheetml/2009/9/main" uri="{B025F937-C7B1-47D3-B67F-A62EFF666E3E}">
          <x14:id>{36E122E2-6F85-4543-A77B-EE8E0F7BA1DE}</x14:id>
        </ext>
      </extLst>
    </cfRule>
  </conditionalFormatting>
  <conditionalFormatting sqref="C37:D37">
    <cfRule type="dataBar" priority="16">
      <dataBar>
        <cfvo type="min"/>
        <cfvo type="max"/>
        <color rgb="FF008AEF"/>
      </dataBar>
      <extLst>
        <ext xmlns:x14="http://schemas.microsoft.com/office/spreadsheetml/2009/9/main" uri="{B025F937-C7B1-47D3-B67F-A62EFF666E3E}">
          <x14:id>{C8CEE74D-58E2-44FD-B0E9-8042E01BFCBE}</x14:id>
        </ext>
      </extLst>
    </cfRule>
  </conditionalFormatting>
  <conditionalFormatting sqref="C38:D38">
    <cfRule type="dataBar" priority="15">
      <dataBar>
        <cfvo type="min"/>
        <cfvo type="max"/>
        <color rgb="FF008AEF"/>
      </dataBar>
      <extLst>
        <ext xmlns:x14="http://schemas.microsoft.com/office/spreadsheetml/2009/9/main" uri="{B025F937-C7B1-47D3-B67F-A62EFF666E3E}">
          <x14:id>{73C50127-D8EA-47D6-A043-99E0D4ACD7CE}</x14:id>
        </ext>
      </extLst>
    </cfRule>
  </conditionalFormatting>
  <conditionalFormatting sqref="C39:D39">
    <cfRule type="dataBar" priority="14">
      <dataBar>
        <cfvo type="min"/>
        <cfvo type="max"/>
        <color rgb="FF008AEF"/>
      </dataBar>
      <extLst>
        <ext xmlns:x14="http://schemas.microsoft.com/office/spreadsheetml/2009/9/main" uri="{B025F937-C7B1-47D3-B67F-A62EFF666E3E}">
          <x14:id>{61F5DDBD-1E41-4BDC-8527-ADCD48BE756D}</x14:id>
        </ext>
      </extLst>
    </cfRule>
  </conditionalFormatting>
  <conditionalFormatting sqref="E3:F35 E36:O39">
    <cfRule type="cellIs" dxfId="6" priority="3" operator="greaterThan">
      <formula>0</formula>
    </cfRule>
  </conditionalFormatting>
  <conditionalFormatting sqref="G12:O35">
    <cfRule type="cellIs" dxfId="5" priority="12" operator="greaterThan">
      <formula>0</formula>
    </cfRule>
  </conditionalFormatting>
  <conditionalFormatting sqref="G3:P11">
    <cfRule type="cellIs" dxfId="4" priority="4" operator="greaterThan">
      <formula>0</formula>
    </cfRule>
  </conditionalFormatting>
  <pageMargins left="0.7" right="0.7" top="0.75" bottom="0.75"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dataBar" id="{8FD9CD0E-4397-41F2-A700-8C13BFCB4B7E}">
            <x14:dataBar minLength="0" maxLength="100" gradient="0">
              <x14:cfvo type="autoMin"/>
              <x14:cfvo type="autoMax"/>
              <x14:negativeFillColor rgb="FFFF0000"/>
              <x14:axisColor rgb="FF000000"/>
            </x14:dataBar>
          </x14:cfRule>
          <xm:sqref>C10</xm:sqref>
        </x14:conditionalFormatting>
        <x14:conditionalFormatting xmlns:xm="http://schemas.microsoft.com/office/excel/2006/main">
          <x14:cfRule type="dataBar" id="{1D2AD1D2-6DA8-4586-80BD-A8B4C90AF538}">
            <x14:dataBar minLength="0" maxLength="100" gradient="0">
              <x14:cfvo type="autoMin"/>
              <x14:cfvo type="autoMax"/>
              <x14:negativeFillColor rgb="FFFF0000"/>
              <x14:axisColor rgb="FF000000"/>
            </x14:dataBar>
          </x14:cfRule>
          <xm:sqref>C3:D3 D4:D11</xm:sqref>
        </x14:conditionalFormatting>
        <x14:conditionalFormatting xmlns:xm="http://schemas.microsoft.com/office/excel/2006/main">
          <x14:cfRule type="dataBar" id="{1F3C0F35-6EE5-4496-BF43-E8D608C6AC45}">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0E921742-BADE-4B14-AEA2-92A95ACC69D8}">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078389FF-E8D8-46B1-89BD-3888D1637369}">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99D35646-7097-40EF-8DB9-A6230498C749}">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EAEDCB93-2ACF-4602-AF6D-749710879DE0}">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B721079C-E744-42B7-BC20-09FFCC008011}">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0CEF55DD-4967-44F3-8F82-BFC7CD039C06}">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AB4C27E2-D4CE-40F4-897E-4A09B5513670}">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DBB903F6-5295-4B2E-A6F0-0F2D731E9778}">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B988ACA2-F417-4D9F-BD02-317178A1A514}">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30024C87-20A6-420F-90DC-FC0A7EE3309A}">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1B71B060-CCB4-432A-93A2-EE2F1B13E2EE}">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4A96F7E9-6FCE-40AB-9823-95F966B416CE}">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E54FFB4C-F596-4FD9-9C18-58A261756EA1}">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19F0BBB1-87FC-4B3E-8D30-F227DC0654BD}">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E3635E62-835E-4A5F-9A80-270626D9F4E6}">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C49B6096-7CF6-4F52-A4B5-19FB3B73C44C}">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BB972560-FE9F-4383-A0AE-B7602402F471}">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1D807CFB-44ED-43FF-9AD4-96BD051DE893}">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98C38A0B-C707-468B-8017-F5D4BC9EDF07}">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E7842079-6880-4E64-833D-B7BF595A0ACB}">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4AB42C23-0142-44DC-8F6A-888DE9ACC7EA}">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A414B46D-546D-4F34-B169-303CE514AAF9}">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FE50FD78-1C3B-42E3-A8F7-986EF196402D}">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5F836B67-20B9-444D-8FB3-7EDB1B2D04F1}">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57CA61A9-45DD-46CC-82E1-1869C94782AE}">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00E499B7-742F-471E-BCC7-02B4A9DB9702}">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1E563EF2-ED53-491A-80AB-B68222D0398F}">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8E6655E7-1A0B-4A14-B9C2-FF6DD78EB04B}">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CE8774BA-242F-4710-A244-619A4DCD2AF5}">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592298CA-8150-4A8A-8C83-978C334496D3}">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36E122E2-6F85-4543-A77B-EE8E0F7BA1DE}">
            <x14:dataBar minLength="0" maxLength="100" gradient="0">
              <x14:cfvo type="autoMin"/>
              <x14:cfvo type="autoMax"/>
              <x14:negativeFillColor rgb="FFFF0000"/>
              <x14:axisColor rgb="FF000000"/>
            </x14:dataBar>
          </x14:cfRule>
          <xm:sqref>C36:D36</xm:sqref>
        </x14:conditionalFormatting>
        <x14:conditionalFormatting xmlns:xm="http://schemas.microsoft.com/office/excel/2006/main">
          <x14:cfRule type="dataBar" id="{C8CEE74D-58E2-44FD-B0E9-8042E01BFCBE}">
            <x14:dataBar minLength="0" maxLength="100" gradient="0">
              <x14:cfvo type="autoMin"/>
              <x14:cfvo type="autoMax"/>
              <x14:negativeFillColor rgb="FFFF0000"/>
              <x14:axisColor rgb="FF000000"/>
            </x14:dataBar>
          </x14:cfRule>
          <xm:sqref>C37:D37</xm:sqref>
        </x14:conditionalFormatting>
        <x14:conditionalFormatting xmlns:xm="http://schemas.microsoft.com/office/excel/2006/main">
          <x14:cfRule type="dataBar" id="{73C50127-D8EA-47D6-A043-99E0D4ACD7CE}">
            <x14:dataBar minLength="0" maxLength="100" gradient="0">
              <x14:cfvo type="autoMin"/>
              <x14:cfvo type="autoMax"/>
              <x14:negativeFillColor rgb="FFFF0000"/>
              <x14:axisColor rgb="FF000000"/>
            </x14:dataBar>
          </x14:cfRule>
          <xm:sqref>C38:D38</xm:sqref>
        </x14:conditionalFormatting>
        <x14:conditionalFormatting xmlns:xm="http://schemas.microsoft.com/office/excel/2006/main">
          <x14:cfRule type="dataBar" id="{61F5DDBD-1E41-4BDC-8527-ADCD48BE756D}">
            <x14:dataBar minLength="0" maxLength="100" gradient="0">
              <x14:cfvo type="autoMin"/>
              <x14:cfvo type="autoMax"/>
              <x14:negativeFillColor rgb="FFFF0000"/>
              <x14:axisColor rgb="FF000000"/>
            </x14:dataBar>
          </x14:cfRule>
          <xm:sqref>C39:D39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P37"/>
  <sheetViews>
    <sheetView topLeftCell="A5" zoomScale="70" zoomScaleNormal="70" workbookViewId="0">
      <selection activeCell="J10" sqref="J10:J23"/>
    </sheetView>
  </sheetViews>
  <sheetFormatPr baseColWidth="10" defaultColWidth="11.42578125" defaultRowHeight="15" x14ac:dyDescent="0.25"/>
  <cols>
    <col min="1" max="1" width="5.42578125" style="2" customWidth="1"/>
    <col min="2" max="2" width="106.85546875" style="2" customWidth="1"/>
    <col min="3" max="3" width="11.42578125" style="2"/>
    <col min="4" max="4" width="22.42578125" style="2" customWidth="1"/>
    <col min="5" max="9" width="17.28515625" style="2" customWidth="1"/>
    <col min="10" max="16384" width="11.42578125" style="2"/>
  </cols>
  <sheetData>
    <row r="1" spans="1:16" ht="61.5" customHeight="1" x14ac:dyDescent="0.25">
      <c r="A1" s="42" t="s">
        <v>1</v>
      </c>
      <c r="B1" s="16" t="s">
        <v>34</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3" customFormat="1" ht="15.75" thickBot="1" x14ac:dyDescent="0.3">
      <c r="A2" s="43"/>
      <c r="B2" s="16"/>
      <c r="C2" s="17">
        <v>2026</v>
      </c>
      <c r="D2" s="17" t="s">
        <v>16</v>
      </c>
      <c r="E2" s="18"/>
      <c r="F2" s="18"/>
      <c r="G2" s="18"/>
      <c r="H2" s="18"/>
      <c r="I2" s="18"/>
      <c r="J2" s="18"/>
      <c r="K2" s="18"/>
      <c r="L2" s="18"/>
      <c r="M2" s="18"/>
      <c r="N2" s="18"/>
      <c r="O2" s="18"/>
      <c r="P2" s="18"/>
    </row>
    <row r="3" spans="1:16" ht="81" customHeight="1" thickBot="1" x14ac:dyDescent="0.3">
      <c r="A3" s="24" t="s">
        <v>18</v>
      </c>
      <c r="B3" s="9" t="s">
        <v>17</v>
      </c>
      <c r="C3" s="26">
        <v>1</v>
      </c>
      <c r="D3" s="22">
        <f t="shared" ref="D3:D7" si="0">SUM(E3:P3)</f>
        <v>0</v>
      </c>
      <c r="E3" s="23">
        <v>0</v>
      </c>
      <c r="F3" s="23">
        <v>0</v>
      </c>
      <c r="G3" s="23">
        <v>0</v>
      </c>
      <c r="H3" s="23">
        <v>0</v>
      </c>
      <c r="I3" s="23"/>
      <c r="J3" s="23"/>
      <c r="K3" s="23"/>
      <c r="L3" s="23"/>
      <c r="M3" s="23"/>
      <c r="N3" s="23"/>
      <c r="O3" s="23"/>
      <c r="P3" s="23"/>
    </row>
    <row r="4" spans="1:16" ht="81" customHeight="1" thickBot="1" x14ac:dyDescent="0.3">
      <c r="A4" s="19" t="s">
        <v>20</v>
      </c>
      <c r="B4" s="10" t="s">
        <v>19</v>
      </c>
      <c r="C4" s="30">
        <v>1</v>
      </c>
      <c r="D4" s="22">
        <f t="shared" si="0"/>
        <v>1</v>
      </c>
      <c r="E4" s="23"/>
      <c r="F4" s="23">
        <v>1</v>
      </c>
      <c r="G4" s="23"/>
      <c r="H4" s="23"/>
      <c r="I4" s="23"/>
      <c r="J4" s="23"/>
      <c r="K4" s="23"/>
      <c r="L4" s="23"/>
      <c r="M4" s="23"/>
      <c r="N4" s="23"/>
      <c r="O4" s="23"/>
      <c r="P4" s="23"/>
    </row>
    <row r="5" spans="1:16" ht="81" customHeight="1" thickBot="1" x14ac:dyDescent="0.3">
      <c r="A5" s="19" t="s">
        <v>20</v>
      </c>
      <c r="B5" s="10" t="s">
        <v>21</v>
      </c>
      <c r="C5" s="30">
        <v>2</v>
      </c>
      <c r="D5" s="22">
        <f t="shared" si="0"/>
        <v>1</v>
      </c>
      <c r="E5" s="23"/>
      <c r="F5" s="23">
        <v>1</v>
      </c>
      <c r="G5" s="23"/>
      <c r="H5" s="23"/>
      <c r="I5" s="23"/>
      <c r="J5" s="23"/>
      <c r="K5" s="23"/>
      <c r="L5" s="23"/>
      <c r="M5" s="23"/>
      <c r="N5" s="23"/>
      <c r="O5" s="23"/>
      <c r="P5" s="23"/>
    </row>
    <row r="6" spans="1:16" ht="81" customHeight="1" thickBot="1" x14ac:dyDescent="0.3">
      <c r="A6" s="19" t="s">
        <v>20</v>
      </c>
      <c r="B6" s="10" t="s">
        <v>22</v>
      </c>
      <c r="C6" s="30">
        <v>1</v>
      </c>
      <c r="D6" s="22">
        <f t="shared" si="0"/>
        <v>0</v>
      </c>
      <c r="E6" s="23"/>
      <c r="F6" s="23"/>
      <c r="G6" s="23"/>
      <c r="H6" s="23"/>
      <c r="I6" s="23"/>
      <c r="J6" s="23"/>
      <c r="K6" s="23"/>
      <c r="L6" s="23"/>
      <c r="M6" s="23"/>
      <c r="N6" s="23"/>
      <c r="O6" s="23"/>
      <c r="P6" s="23"/>
    </row>
    <row r="7" spans="1:16" ht="81" customHeight="1" thickBot="1" x14ac:dyDescent="0.3">
      <c r="A7" s="19" t="s">
        <v>20</v>
      </c>
      <c r="B7" s="10" t="s">
        <v>26</v>
      </c>
      <c r="C7" s="30">
        <v>2</v>
      </c>
      <c r="D7" s="22">
        <f t="shared" si="0"/>
        <v>1</v>
      </c>
      <c r="E7" s="23"/>
      <c r="F7" s="23">
        <v>1</v>
      </c>
      <c r="G7" s="23"/>
      <c r="H7" s="23"/>
      <c r="I7" s="23"/>
      <c r="J7" s="23"/>
      <c r="K7" s="23"/>
      <c r="L7" s="23"/>
      <c r="M7" s="23"/>
      <c r="N7" s="23"/>
      <c r="O7" s="23"/>
      <c r="P7" s="23"/>
    </row>
    <row r="8" spans="1:16" ht="28.5" customHeight="1" x14ac:dyDescent="0.25">
      <c r="A8" s="44" t="s">
        <v>46</v>
      </c>
      <c r="B8" s="31" t="s">
        <v>47</v>
      </c>
      <c r="C8" s="30">
        <v>3</v>
      </c>
      <c r="D8" s="22">
        <f t="shared" ref="D8:D35" si="1">SUM(E8:O8)</f>
        <v>0</v>
      </c>
      <c r="E8" s="23"/>
      <c r="F8" s="23"/>
      <c r="G8" s="23"/>
      <c r="H8" s="23"/>
      <c r="I8" s="23"/>
      <c r="J8" s="23"/>
      <c r="K8" s="23"/>
      <c r="L8" s="23"/>
      <c r="M8" s="23"/>
      <c r="N8" s="23"/>
      <c r="O8" s="23"/>
      <c r="P8" s="32"/>
    </row>
    <row r="9" spans="1:16" ht="28.5" customHeight="1" x14ac:dyDescent="0.25">
      <c r="A9" s="45"/>
      <c r="B9" s="31" t="s">
        <v>48</v>
      </c>
      <c r="C9" s="30">
        <v>3</v>
      </c>
      <c r="D9" s="22">
        <f t="shared" si="1"/>
        <v>0</v>
      </c>
      <c r="E9" s="23"/>
      <c r="F9" s="23"/>
      <c r="G9" s="23"/>
      <c r="H9" s="23"/>
      <c r="I9" s="23"/>
      <c r="J9" s="23"/>
      <c r="K9" s="23"/>
      <c r="L9" s="23"/>
      <c r="M9" s="23"/>
      <c r="N9" s="23"/>
      <c r="O9" s="23"/>
      <c r="P9" s="32"/>
    </row>
    <row r="10" spans="1:16" ht="28.5" customHeight="1" x14ac:dyDescent="0.25">
      <c r="A10" s="45"/>
      <c r="B10" s="31" t="s">
        <v>49</v>
      </c>
      <c r="C10" s="30">
        <v>100</v>
      </c>
      <c r="D10" s="22">
        <f t="shared" si="1"/>
        <v>30</v>
      </c>
      <c r="E10" s="23">
        <v>4</v>
      </c>
      <c r="F10" s="23">
        <v>8</v>
      </c>
      <c r="G10" s="23">
        <v>7</v>
      </c>
      <c r="H10" s="23">
        <v>4</v>
      </c>
      <c r="I10" s="23">
        <v>7</v>
      </c>
      <c r="J10" s="23"/>
      <c r="K10" s="23"/>
      <c r="L10" s="23"/>
      <c r="M10" s="23"/>
      <c r="N10" s="23"/>
      <c r="O10" s="23"/>
      <c r="P10" s="32"/>
    </row>
    <row r="11" spans="1:16" ht="28.5" customHeight="1" x14ac:dyDescent="0.25">
      <c r="A11" s="45"/>
      <c r="B11" s="31" t="s">
        <v>50</v>
      </c>
      <c r="C11" s="30">
        <v>70</v>
      </c>
      <c r="D11" s="22">
        <f t="shared" si="1"/>
        <v>48</v>
      </c>
      <c r="E11" s="23"/>
      <c r="F11" s="23"/>
      <c r="G11" s="23">
        <v>21</v>
      </c>
      <c r="H11" s="23">
        <v>27</v>
      </c>
      <c r="I11" s="23"/>
      <c r="J11" s="23"/>
      <c r="K11" s="23"/>
      <c r="L11" s="23"/>
      <c r="M11" s="23"/>
      <c r="N11" s="23"/>
      <c r="O11" s="23"/>
      <c r="P11" s="32"/>
    </row>
    <row r="12" spans="1:16" ht="28.5" customHeight="1" x14ac:dyDescent="0.25">
      <c r="A12" s="45"/>
      <c r="B12" s="31" t="s">
        <v>51</v>
      </c>
      <c r="C12" s="30">
        <v>0</v>
      </c>
      <c r="D12" s="22">
        <f t="shared" si="1"/>
        <v>0</v>
      </c>
      <c r="E12" s="23"/>
      <c r="F12" s="23"/>
      <c r="G12" s="23"/>
      <c r="H12" s="23"/>
      <c r="I12" s="23"/>
      <c r="J12" s="23"/>
      <c r="K12" s="23"/>
      <c r="L12" s="23"/>
      <c r="M12" s="23"/>
      <c r="N12" s="23"/>
      <c r="O12" s="23"/>
      <c r="P12" s="32"/>
    </row>
    <row r="13" spans="1:16" ht="28.5" customHeight="1" x14ac:dyDescent="0.25">
      <c r="A13" s="45"/>
      <c r="B13" s="31" t="s">
        <v>52</v>
      </c>
      <c r="C13" s="30">
        <v>17</v>
      </c>
      <c r="D13" s="22">
        <f t="shared" si="1"/>
        <v>2</v>
      </c>
      <c r="E13" s="23"/>
      <c r="F13" s="23"/>
      <c r="G13" s="23">
        <v>2</v>
      </c>
      <c r="H13" s="23"/>
      <c r="I13" s="23"/>
      <c r="J13" s="23"/>
      <c r="K13" s="23"/>
      <c r="L13" s="23"/>
      <c r="M13" s="23"/>
      <c r="N13" s="23"/>
      <c r="O13" s="23"/>
      <c r="P13" s="32"/>
    </row>
    <row r="14" spans="1:16" ht="28.5" customHeight="1" x14ac:dyDescent="0.25">
      <c r="A14" s="45"/>
      <c r="B14" s="31" t="s">
        <v>53</v>
      </c>
      <c r="C14" s="30">
        <v>0</v>
      </c>
      <c r="D14" s="22">
        <f t="shared" si="1"/>
        <v>0</v>
      </c>
      <c r="E14" s="23"/>
      <c r="F14" s="23"/>
      <c r="G14" s="23"/>
      <c r="H14" s="23"/>
      <c r="I14" s="23"/>
      <c r="J14" s="23"/>
      <c r="K14" s="23"/>
      <c r="L14" s="23"/>
      <c r="M14" s="23"/>
      <c r="N14" s="23"/>
      <c r="O14" s="23"/>
      <c r="P14" s="32"/>
    </row>
    <row r="15" spans="1:16" ht="28.5" customHeight="1" x14ac:dyDescent="0.25">
      <c r="A15" s="45"/>
      <c r="B15" s="31" t="s">
        <v>54</v>
      </c>
      <c r="C15" s="30">
        <v>0</v>
      </c>
      <c r="D15" s="22">
        <f t="shared" si="1"/>
        <v>0</v>
      </c>
      <c r="E15" s="23"/>
      <c r="F15" s="23"/>
      <c r="G15" s="23"/>
      <c r="H15" s="23"/>
      <c r="I15" s="23"/>
      <c r="J15" s="23"/>
      <c r="K15" s="23"/>
      <c r="L15" s="23"/>
      <c r="M15" s="23"/>
      <c r="N15" s="23"/>
      <c r="O15" s="23"/>
      <c r="P15" s="32"/>
    </row>
    <row r="16" spans="1:16" ht="28.5" customHeight="1" x14ac:dyDescent="0.25">
      <c r="A16" s="45"/>
      <c r="B16" s="31" t="s">
        <v>55</v>
      </c>
      <c r="C16" s="30">
        <v>0</v>
      </c>
      <c r="D16" s="22">
        <f t="shared" si="1"/>
        <v>0</v>
      </c>
      <c r="E16" s="23"/>
      <c r="F16" s="23"/>
      <c r="G16" s="23"/>
      <c r="H16" s="23"/>
      <c r="I16" s="23"/>
      <c r="J16" s="23"/>
      <c r="K16" s="23"/>
      <c r="L16" s="23"/>
      <c r="M16" s="23"/>
      <c r="N16" s="23"/>
      <c r="O16" s="23"/>
      <c r="P16" s="32"/>
    </row>
    <row r="17" spans="1:16" ht="28.5" customHeight="1" x14ac:dyDescent="0.25">
      <c r="A17" s="45"/>
      <c r="B17" s="31" t="s">
        <v>56</v>
      </c>
      <c r="C17" s="30">
        <v>0</v>
      </c>
      <c r="D17" s="22">
        <f t="shared" si="1"/>
        <v>0</v>
      </c>
      <c r="E17" s="23"/>
      <c r="F17" s="23"/>
      <c r="G17" s="23"/>
      <c r="H17" s="23"/>
      <c r="I17" s="23"/>
      <c r="J17" s="23"/>
      <c r="K17" s="23"/>
      <c r="L17" s="23"/>
      <c r="M17" s="23"/>
      <c r="N17" s="23"/>
      <c r="O17" s="23"/>
      <c r="P17" s="32"/>
    </row>
    <row r="18" spans="1:16" ht="28.5" customHeight="1" x14ac:dyDescent="0.25">
      <c r="A18" s="45"/>
      <c r="B18" s="31" t="s">
        <v>57</v>
      </c>
      <c r="C18" s="30">
        <v>0</v>
      </c>
      <c r="D18" s="22">
        <f t="shared" si="1"/>
        <v>0</v>
      </c>
      <c r="E18" s="23"/>
      <c r="F18" s="23"/>
      <c r="G18" s="23"/>
      <c r="H18" s="23"/>
      <c r="I18" s="23"/>
      <c r="J18" s="23"/>
      <c r="K18" s="23"/>
      <c r="L18" s="23"/>
      <c r="M18" s="23"/>
      <c r="N18" s="23"/>
      <c r="O18" s="23"/>
      <c r="P18" s="32"/>
    </row>
    <row r="19" spans="1:16" ht="28.5" customHeight="1" x14ac:dyDescent="0.25">
      <c r="A19" s="45"/>
      <c r="B19" s="31" t="s">
        <v>58</v>
      </c>
      <c r="C19" s="30">
        <v>0</v>
      </c>
      <c r="D19" s="22">
        <f t="shared" si="1"/>
        <v>0</v>
      </c>
      <c r="E19" s="23"/>
      <c r="F19" s="23"/>
      <c r="G19" s="23"/>
      <c r="H19" s="23"/>
      <c r="I19" s="23"/>
      <c r="J19" s="23"/>
      <c r="K19" s="23"/>
      <c r="L19" s="23"/>
      <c r="M19" s="23"/>
      <c r="N19" s="23"/>
      <c r="O19" s="23"/>
      <c r="P19" s="32"/>
    </row>
    <row r="20" spans="1:16" ht="28.5" customHeight="1" x14ac:dyDescent="0.25">
      <c r="A20" s="45"/>
      <c r="B20" s="31" t="s">
        <v>59</v>
      </c>
      <c r="C20" s="30">
        <v>0</v>
      </c>
      <c r="D20" s="22">
        <f t="shared" si="1"/>
        <v>0</v>
      </c>
      <c r="E20" s="23"/>
      <c r="F20" s="23"/>
      <c r="G20" s="23"/>
      <c r="H20" s="23"/>
      <c r="I20" s="23"/>
      <c r="J20" s="23"/>
      <c r="K20" s="23"/>
      <c r="L20" s="23"/>
      <c r="M20" s="23"/>
      <c r="N20" s="23"/>
      <c r="O20" s="23"/>
      <c r="P20" s="32"/>
    </row>
    <row r="21" spans="1:16" ht="28.5" customHeight="1" x14ac:dyDescent="0.25">
      <c r="A21" s="45"/>
      <c r="B21" s="31" t="s">
        <v>60</v>
      </c>
      <c r="C21" s="30">
        <v>0</v>
      </c>
      <c r="D21" s="22">
        <f t="shared" si="1"/>
        <v>0</v>
      </c>
      <c r="E21" s="23"/>
      <c r="F21" s="23"/>
      <c r="G21" s="23"/>
      <c r="H21" s="23"/>
      <c r="I21" s="23"/>
      <c r="J21" s="23"/>
      <c r="K21" s="23"/>
      <c r="L21" s="23"/>
      <c r="M21" s="23"/>
      <c r="N21" s="23"/>
      <c r="O21" s="23"/>
      <c r="P21" s="32"/>
    </row>
    <row r="22" spans="1:16" ht="28.5" customHeight="1" x14ac:dyDescent="0.25">
      <c r="A22" s="45"/>
      <c r="B22" s="31" t="s">
        <v>61</v>
      </c>
      <c r="C22" s="30">
        <v>107</v>
      </c>
      <c r="D22" s="22">
        <f t="shared" si="1"/>
        <v>48</v>
      </c>
      <c r="E22" s="23">
        <v>24</v>
      </c>
      <c r="F22" s="23"/>
      <c r="G22" s="23"/>
      <c r="H22" s="23">
        <v>24</v>
      </c>
      <c r="I22" s="23"/>
      <c r="J22" s="23"/>
      <c r="K22" s="23"/>
      <c r="L22" s="23"/>
      <c r="M22" s="23"/>
      <c r="N22" s="23"/>
      <c r="O22" s="23"/>
      <c r="P22" s="32"/>
    </row>
    <row r="23" spans="1:16" ht="28.5" customHeight="1" x14ac:dyDescent="0.25">
      <c r="A23" s="45"/>
      <c r="B23" s="31" t="s">
        <v>62</v>
      </c>
      <c r="C23" s="30">
        <v>2</v>
      </c>
      <c r="D23" s="22">
        <f t="shared" si="1"/>
        <v>0</v>
      </c>
      <c r="E23" s="23"/>
      <c r="F23" s="23"/>
      <c r="G23" s="23"/>
      <c r="H23" s="23"/>
      <c r="I23" s="23"/>
      <c r="J23" s="23"/>
      <c r="K23" s="23"/>
      <c r="L23" s="23"/>
      <c r="M23" s="23"/>
      <c r="N23" s="23"/>
      <c r="O23" s="23"/>
      <c r="P23" s="32"/>
    </row>
    <row r="24" spans="1:16" ht="24" customHeight="1" x14ac:dyDescent="0.25">
      <c r="A24" s="45"/>
      <c r="B24" s="33" t="s">
        <v>63</v>
      </c>
      <c r="C24" s="30">
        <v>1</v>
      </c>
      <c r="D24" s="22">
        <f t="shared" si="1"/>
        <v>0</v>
      </c>
      <c r="E24" s="23"/>
      <c r="F24" s="23"/>
      <c r="G24" s="23"/>
      <c r="H24" s="23"/>
      <c r="I24" s="23"/>
      <c r="J24" s="23"/>
      <c r="K24" s="23"/>
      <c r="L24" s="23"/>
      <c r="M24" s="23"/>
      <c r="N24" s="23"/>
      <c r="O24" s="23"/>
      <c r="P24" s="32"/>
    </row>
    <row r="25" spans="1:16" ht="24" customHeight="1" x14ac:dyDescent="0.25">
      <c r="A25" s="45"/>
      <c r="B25" s="33" t="s">
        <v>64</v>
      </c>
      <c r="C25" s="30">
        <v>1</v>
      </c>
      <c r="D25" s="22">
        <f t="shared" si="1"/>
        <v>1</v>
      </c>
      <c r="E25" s="23"/>
      <c r="F25" s="23"/>
      <c r="G25" s="23">
        <v>1</v>
      </c>
      <c r="H25" s="23"/>
      <c r="I25" s="23"/>
      <c r="J25" s="23"/>
      <c r="K25" s="23"/>
      <c r="L25" s="23"/>
      <c r="M25" s="23"/>
      <c r="N25" s="23"/>
      <c r="O25" s="23"/>
      <c r="P25" s="32"/>
    </row>
    <row r="26" spans="1:16" ht="24" customHeight="1" x14ac:dyDescent="0.25">
      <c r="A26" s="45"/>
      <c r="B26" s="33" t="s">
        <v>65</v>
      </c>
      <c r="C26" s="30">
        <v>1</v>
      </c>
      <c r="D26" s="22">
        <f t="shared" si="1"/>
        <v>1</v>
      </c>
      <c r="E26" s="23"/>
      <c r="F26" s="23"/>
      <c r="G26" s="23"/>
      <c r="H26" s="23">
        <v>1</v>
      </c>
      <c r="I26" s="23"/>
      <c r="J26" s="23"/>
      <c r="K26" s="23"/>
      <c r="L26" s="23"/>
      <c r="M26" s="23"/>
      <c r="N26" s="23"/>
      <c r="O26" s="23"/>
      <c r="P26" s="32"/>
    </row>
    <row r="27" spans="1:16" ht="24" customHeight="1" x14ac:dyDescent="0.25">
      <c r="A27" s="45"/>
      <c r="B27" s="33" t="s">
        <v>66</v>
      </c>
      <c r="C27" s="30">
        <v>1</v>
      </c>
      <c r="D27" s="22">
        <f t="shared" si="1"/>
        <v>1</v>
      </c>
      <c r="E27" s="23"/>
      <c r="F27" s="23"/>
      <c r="G27" s="23"/>
      <c r="H27" s="23"/>
      <c r="I27" s="23">
        <v>1</v>
      </c>
      <c r="J27" s="23"/>
      <c r="K27" s="23"/>
      <c r="L27" s="23"/>
      <c r="M27" s="23"/>
      <c r="N27" s="23"/>
      <c r="O27" s="23"/>
      <c r="P27" s="32"/>
    </row>
    <row r="28" spans="1:16" ht="24" customHeight="1" x14ac:dyDescent="0.25">
      <c r="A28" s="45"/>
      <c r="B28" s="33" t="s">
        <v>67</v>
      </c>
      <c r="C28" s="30">
        <v>1</v>
      </c>
      <c r="D28" s="22">
        <f t="shared" si="1"/>
        <v>0</v>
      </c>
      <c r="E28" s="23"/>
      <c r="F28" s="23"/>
      <c r="G28" s="23"/>
      <c r="H28" s="23"/>
      <c r="I28" s="23"/>
      <c r="J28" s="23"/>
      <c r="K28" s="23"/>
      <c r="L28" s="23"/>
      <c r="M28" s="23"/>
      <c r="N28" s="23"/>
      <c r="O28" s="23"/>
      <c r="P28" s="32"/>
    </row>
    <row r="29" spans="1:16" ht="24" customHeight="1" x14ac:dyDescent="0.25">
      <c r="A29" s="45"/>
      <c r="B29" s="33" t="s">
        <v>68</v>
      </c>
      <c r="C29" s="30">
        <v>1</v>
      </c>
      <c r="D29" s="22">
        <f t="shared" si="1"/>
        <v>0</v>
      </c>
      <c r="E29" s="23"/>
      <c r="F29" s="23"/>
      <c r="G29" s="23"/>
      <c r="H29" s="23"/>
      <c r="I29" s="23"/>
      <c r="J29" s="23"/>
      <c r="K29" s="23"/>
      <c r="L29" s="23"/>
      <c r="M29" s="23"/>
      <c r="N29" s="23"/>
      <c r="O29" s="23"/>
      <c r="P29" s="32"/>
    </row>
    <row r="30" spans="1:16" ht="24" customHeight="1" x14ac:dyDescent="0.25">
      <c r="A30" s="45"/>
      <c r="B30" s="33" t="s">
        <v>69</v>
      </c>
      <c r="C30" s="30">
        <v>1</v>
      </c>
      <c r="D30" s="22">
        <f t="shared" si="1"/>
        <v>0</v>
      </c>
      <c r="E30" s="23"/>
      <c r="F30" s="23"/>
      <c r="G30" s="23"/>
      <c r="H30" s="23"/>
      <c r="I30" s="23"/>
      <c r="J30" s="23"/>
      <c r="K30" s="23"/>
      <c r="L30" s="23"/>
      <c r="M30" s="23"/>
      <c r="N30" s="23"/>
      <c r="O30" s="23"/>
      <c r="P30" s="32"/>
    </row>
    <row r="31" spans="1:16" ht="24" customHeight="1" x14ac:dyDescent="0.25">
      <c r="A31" s="45"/>
      <c r="B31" s="33" t="s">
        <v>70</v>
      </c>
      <c r="C31" s="30">
        <v>1</v>
      </c>
      <c r="D31" s="22">
        <f t="shared" si="1"/>
        <v>0</v>
      </c>
      <c r="E31" s="23"/>
      <c r="F31" s="23"/>
      <c r="G31" s="23"/>
      <c r="H31" s="23"/>
      <c r="I31" s="23"/>
      <c r="J31" s="23"/>
      <c r="K31" s="23"/>
      <c r="L31" s="23"/>
      <c r="M31" s="23"/>
      <c r="N31" s="23"/>
      <c r="O31" s="23"/>
      <c r="P31" s="32"/>
    </row>
    <row r="32" spans="1:16" ht="24" customHeight="1" x14ac:dyDescent="0.25">
      <c r="A32" s="45"/>
      <c r="B32" s="33" t="s">
        <v>71</v>
      </c>
      <c r="C32" s="30">
        <v>1</v>
      </c>
      <c r="D32" s="22">
        <f t="shared" si="1"/>
        <v>0</v>
      </c>
      <c r="E32" s="23"/>
      <c r="F32" s="23"/>
      <c r="G32" s="23"/>
      <c r="H32" s="23"/>
      <c r="I32" s="23"/>
      <c r="J32" s="23"/>
      <c r="K32" s="23"/>
      <c r="L32" s="23"/>
      <c r="M32" s="23"/>
      <c r="N32" s="23"/>
      <c r="O32" s="23"/>
      <c r="P32" s="32"/>
    </row>
    <row r="33" spans="1:16" ht="24" customHeight="1" x14ac:dyDescent="0.25">
      <c r="A33" s="45"/>
      <c r="B33" s="33" t="s">
        <v>72</v>
      </c>
      <c r="C33" s="30">
        <v>1</v>
      </c>
      <c r="D33" s="22">
        <f t="shared" si="1"/>
        <v>0</v>
      </c>
      <c r="E33" s="23"/>
      <c r="F33" s="23"/>
      <c r="G33" s="23"/>
      <c r="H33" s="23"/>
      <c r="I33" s="23"/>
      <c r="J33" s="23"/>
      <c r="K33" s="23"/>
      <c r="L33" s="23"/>
      <c r="M33" s="23"/>
      <c r="N33" s="23"/>
      <c r="O33" s="23"/>
      <c r="P33" s="32"/>
    </row>
    <row r="34" spans="1:16" ht="24" customHeight="1" x14ac:dyDescent="0.25">
      <c r="A34" s="45"/>
      <c r="B34" s="33" t="s">
        <v>73</v>
      </c>
      <c r="C34" s="30">
        <v>1</v>
      </c>
      <c r="D34" s="22">
        <f t="shared" si="1"/>
        <v>0</v>
      </c>
      <c r="E34" s="23"/>
      <c r="F34" s="23"/>
      <c r="G34" s="23"/>
      <c r="H34" s="23"/>
      <c r="I34" s="23"/>
      <c r="J34" s="23"/>
      <c r="K34" s="23"/>
      <c r="L34" s="23"/>
      <c r="M34" s="23"/>
      <c r="N34" s="23"/>
      <c r="O34" s="23"/>
      <c r="P34" s="32"/>
    </row>
    <row r="35" spans="1:16" ht="24" customHeight="1" thickBot="1" x14ac:dyDescent="0.3">
      <c r="A35" s="46"/>
      <c r="B35" s="34" t="s">
        <v>74</v>
      </c>
      <c r="C35" s="30">
        <v>1</v>
      </c>
      <c r="D35" s="22">
        <f t="shared" si="1"/>
        <v>0</v>
      </c>
      <c r="E35" s="23"/>
      <c r="F35" s="23"/>
      <c r="G35" s="23"/>
      <c r="H35" s="23"/>
      <c r="I35" s="23"/>
      <c r="J35" s="23"/>
      <c r="K35" s="23"/>
      <c r="L35" s="23"/>
      <c r="M35" s="23"/>
      <c r="N35" s="23"/>
      <c r="O35" s="23"/>
      <c r="P35" s="32"/>
    </row>
    <row r="36" spans="1:16" x14ac:dyDescent="0.25">
      <c r="C36" s="35">
        <f>SUM(C3:C35)</f>
        <v>321</v>
      </c>
      <c r="D36" s="36">
        <f>SUM(D3:D35)</f>
        <v>134</v>
      </c>
    </row>
    <row r="37" spans="1:16" x14ac:dyDescent="0.25">
      <c r="C37" s="37"/>
      <c r="D37" s="38">
        <f>D36/C36</f>
        <v>0.4174454828660436</v>
      </c>
    </row>
  </sheetData>
  <sheetProtection algorithmName="SHA-512" hashValue="74XJpF2Sxxl8h21T4tFBU/AmddCPUW3fQ+NgFlQk1ob/frxvwlBEDhnk+pygSnU5zFDcr+dcFCeep9P7j9J8hQ==" saltValue="KTt8cRTq02z4W659NqpbYQ==" spinCount="100000" sheet="1" objects="1" scenarios="1" autoFilter="0"/>
  <mergeCells count="2">
    <mergeCell ref="A1:A2"/>
    <mergeCell ref="A8:A35"/>
  </mergeCells>
  <conditionalFormatting sqref="C3:D3">
    <cfRule type="dataBar" priority="6">
      <dataBar>
        <cfvo type="min"/>
        <cfvo type="max"/>
        <color rgb="FF008AEF"/>
      </dataBar>
      <extLst>
        <ext xmlns:x14="http://schemas.microsoft.com/office/spreadsheetml/2009/9/main" uri="{B025F937-C7B1-47D3-B67F-A62EFF666E3E}">
          <x14:id>{D9ABCD12-73B9-46AF-993A-950389D8C2A2}</x14:id>
        </ext>
      </extLst>
    </cfRule>
  </conditionalFormatting>
  <conditionalFormatting sqref="C4:D4">
    <cfRule type="dataBar" priority="8">
      <dataBar>
        <cfvo type="min"/>
        <cfvo type="max"/>
        <color rgb="FF008AEF"/>
      </dataBar>
      <extLst>
        <ext xmlns:x14="http://schemas.microsoft.com/office/spreadsheetml/2009/9/main" uri="{B025F937-C7B1-47D3-B67F-A62EFF666E3E}">
          <x14:id>{E0016A9F-CE66-4AE3-9CD5-070269A0BB52}</x14:id>
        </ext>
      </extLst>
    </cfRule>
  </conditionalFormatting>
  <conditionalFormatting sqref="C5:D5">
    <cfRule type="dataBar" priority="9">
      <dataBar>
        <cfvo type="min"/>
        <cfvo type="max"/>
        <color rgb="FF008AEF"/>
      </dataBar>
      <extLst>
        <ext xmlns:x14="http://schemas.microsoft.com/office/spreadsheetml/2009/9/main" uri="{B025F937-C7B1-47D3-B67F-A62EFF666E3E}">
          <x14:id>{B9A6D3A1-36D5-4157-944D-06E1D45A7429}</x14:id>
        </ext>
      </extLst>
    </cfRule>
  </conditionalFormatting>
  <conditionalFormatting sqref="C6:D6">
    <cfRule type="dataBar" priority="10">
      <dataBar>
        <cfvo type="min"/>
        <cfvo type="max"/>
        <color rgb="FF008AEF"/>
      </dataBar>
      <extLst>
        <ext xmlns:x14="http://schemas.microsoft.com/office/spreadsheetml/2009/9/main" uri="{B025F937-C7B1-47D3-B67F-A62EFF666E3E}">
          <x14:id>{5A15018F-1AE3-44DD-AAEC-F39D736E59CC}</x14:id>
        </ext>
      </extLst>
    </cfRule>
  </conditionalFormatting>
  <conditionalFormatting sqref="C7:D7">
    <cfRule type="dataBar" priority="11">
      <dataBar>
        <cfvo type="min"/>
        <cfvo type="max"/>
        <color rgb="FF008AEF"/>
      </dataBar>
      <extLst>
        <ext xmlns:x14="http://schemas.microsoft.com/office/spreadsheetml/2009/9/main" uri="{B025F937-C7B1-47D3-B67F-A62EFF666E3E}">
          <x14:id>{A2C8127F-E39B-4DD9-A24F-B63292C6E816}</x14:id>
        </ext>
      </extLst>
    </cfRule>
  </conditionalFormatting>
  <conditionalFormatting sqref="C8:D8">
    <cfRule type="dataBar" priority="13">
      <dataBar>
        <cfvo type="min"/>
        <cfvo type="max"/>
        <color rgb="FF008AEF"/>
      </dataBar>
      <extLst>
        <ext xmlns:x14="http://schemas.microsoft.com/office/spreadsheetml/2009/9/main" uri="{B025F937-C7B1-47D3-B67F-A62EFF666E3E}">
          <x14:id>{BF5C76B9-1819-4D2D-AA08-33A45D5B5F10}</x14:id>
        </ext>
      </extLst>
    </cfRule>
  </conditionalFormatting>
  <conditionalFormatting sqref="C9:D9">
    <cfRule type="dataBar" priority="40">
      <dataBar>
        <cfvo type="min"/>
        <cfvo type="max"/>
        <color rgb="FF008AEF"/>
      </dataBar>
      <extLst>
        <ext xmlns:x14="http://schemas.microsoft.com/office/spreadsheetml/2009/9/main" uri="{B025F937-C7B1-47D3-B67F-A62EFF666E3E}">
          <x14:id>{1BE7154B-28F9-464C-A843-6A2E9530C934}</x14:id>
        </ext>
      </extLst>
    </cfRule>
  </conditionalFormatting>
  <conditionalFormatting sqref="C10:D10">
    <cfRule type="dataBar" priority="39">
      <dataBar>
        <cfvo type="min"/>
        <cfvo type="max"/>
        <color rgb="FF008AEF"/>
      </dataBar>
      <extLst>
        <ext xmlns:x14="http://schemas.microsoft.com/office/spreadsheetml/2009/9/main" uri="{B025F937-C7B1-47D3-B67F-A62EFF666E3E}">
          <x14:id>{09681F30-E762-42DA-92AA-96D2B74517DB}</x14:id>
        </ext>
      </extLst>
    </cfRule>
  </conditionalFormatting>
  <conditionalFormatting sqref="C11:D11">
    <cfRule type="dataBar" priority="38">
      <dataBar>
        <cfvo type="min"/>
        <cfvo type="max"/>
        <color rgb="FF008AEF"/>
      </dataBar>
      <extLst>
        <ext xmlns:x14="http://schemas.microsoft.com/office/spreadsheetml/2009/9/main" uri="{B025F937-C7B1-47D3-B67F-A62EFF666E3E}">
          <x14:id>{91EED20D-D936-409B-9A4B-366E4E8CC60B}</x14:id>
        </ext>
      </extLst>
    </cfRule>
  </conditionalFormatting>
  <conditionalFormatting sqref="C12:D12">
    <cfRule type="dataBar" priority="37">
      <dataBar>
        <cfvo type="min"/>
        <cfvo type="max"/>
        <color rgb="FF008AEF"/>
      </dataBar>
      <extLst>
        <ext xmlns:x14="http://schemas.microsoft.com/office/spreadsheetml/2009/9/main" uri="{B025F937-C7B1-47D3-B67F-A62EFF666E3E}">
          <x14:id>{28759D2B-2B56-4A39-8077-F8ED22100F60}</x14:id>
        </ext>
      </extLst>
    </cfRule>
  </conditionalFormatting>
  <conditionalFormatting sqref="C13:D13">
    <cfRule type="dataBar" priority="36">
      <dataBar>
        <cfvo type="min"/>
        <cfvo type="max"/>
        <color rgb="FF008AEF"/>
      </dataBar>
      <extLst>
        <ext xmlns:x14="http://schemas.microsoft.com/office/spreadsheetml/2009/9/main" uri="{B025F937-C7B1-47D3-B67F-A62EFF666E3E}">
          <x14:id>{19316306-38B0-437E-AD7B-791578987A92}</x14:id>
        </ext>
      </extLst>
    </cfRule>
  </conditionalFormatting>
  <conditionalFormatting sqref="C14:D14">
    <cfRule type="dataBar" priority="35">
      <dataBar>
        <cfvo type="min"/>
        <cfvo type="max"/>
        <color rgb="FF008AEF"/>
      </dataBar>
      <extLst>
        <ext xmlns:x14="http://schemas.microsoft.com/office/spreadsheetml/2009/9/main" uri="{B025F937-C7B1-47D3-B67F-A62EFF666E3E}">
          <x14:id>{80F694CF-E7D6-42EA-B669-6A21A4A9E7A6}</x14:id>
        </ext>
      </extLst>
    </cfRule>
  </conditionalFormatting>
  <conditionalFormatting sqref="C15:D15">
    <cfRule type="dataBar" priority="34">
      <dataBar>
        <cfvo type="min"/>
        <cfvo type="max"/>
        <color rgb="FF008AEF"/>
      </dataBar>
      <extLst>
        <ext xmlns:x14="http://schemas.microsoft.com/office/spreadsheetml/2009/9/main" uri="{B025F937-C7B1-47D3-B67F-A62EFF666E3E}">
          <x14:id>{410FC353-F6FE-4B2A-970E-1323110A3517}</x14:id>
        </ext>
      </extLst>
    </cfRule>
  </conditionalFormatting>
  <conditionalFormatting sqref="C16:D16">
    <cfRule type="dataBar" priority="33">
      <dataBar>
        <cfvo type="min"/>
        <cfvo type="max"/>
        <color rgb="FF008AEF"/>
      </dataBar>
      <extLst>
        <ext xmlns:x14="http://schemas.microsoft.com/office/spreadsheetml/2009/9/main" uri="{B025F937-C7B1-47D3-B67F-A62EFF666E3E}">
          <x14:id>{52F8162C-7FC8-4105-8E17-35D7A27AAACB}</x14:id>
        </ext>
      </extLst>
    </cfRule>
  </conditionalFormatting>
  <conditionalFormatting sqref="C17:D17">
    <cfRule type="dataBar" priority="32">
      <dataBar>
        <cfvo type="min"/>
        <cfvo type="max"/>
        <color rgb="FF008AEF"/>
      </dataBar>
      <extLst>
        <ext xmlns:x14="http://schemas.microsoft.com/office/spreadsheetml/2009/9/main" uri="{B025F937-C7B1-47D3-B67F-A62EFF666E3E}">
          <x14:id>{97FEAB74-8222-4A6B-B739-832C6028EED0}</x14:id>
        </ext>
      </extLst>
    </cfRule>
  </conditionalFormatting>
  <conditionalFormatting sqref="C18:D18">
    <cfRule type="dataBar" priority="31">
      <dataBar>
        <cfvo type="min"/>
        <cfvo type="max"/>
        <color rgb="FF008AEF"/>
      </dataBar>
      <extLst>
        <ext xmlns:x14="http://schemas.microsoft.com/office/spreadsheetml/2009/9/main" uri="{B025F937-C7B1-47D3-B67F-A62EFF666E3E}">
          <x14:id>{6E901007-D5A5-41EF-B14F-329A7EAF2BA8}</x14:id>
        </ext>
      </extLst>
    </cfRule>
  </conditionalFormatting>
  <conditionalFormatting sqref="C19:D19">
    <cfRule type="dataBar" priority="30">
      <dataBar>
        <cfvo type="min"/>
        <cfvo type="max"/>
        <color rgb="FF008AEF"/>
      </dataBar>
      <extLst>
        <ext xmlns:x14="http://schemas.microsoft.com/office/spreadsheetml/2009/9/main" uri="{B025F937-C7B1-47D3-B67F-A62EFF666E3E}">
          <x14:id>{0F10233A-CE2E-407A-B7D0-CCBEB749DD3B}</x14:id>
        </ext>
      </extLst>
    </cfRule>
  </conditionalFormatting>
  <conditionalFormatting sqref="C20:D20">
    <cfRule type="dataBar" priority="29">
      <dataBar>
        <cfvo type="min"/>
        <cfvo type="max"/>
        <color rgb="FF008AEF"/>
      </dataBar>
      <extLst>
        <ext xmlns:x14="http://schemas.microsoft.com/office/spreadsheetml/2009/9/main" uri="{B025F937-C7B1-47D3-B67F-A62EFF666E3E}">
          <x14:id>{EEA0AB88-695A-47EB-B909-CBFDACB952A7}</x14:id>
        </ext>
      </extLst>
    </cfRule>
  </conditionalFormatting>
  <conditionalFormatting sqref="C21:D21">
    <cfRule type="dataBar" priority="28">
      <dataBar>
        <cfvo type="min"/>
        <cfvo type="max"/>
        <color rgb="FF008AEF"/>
      </dataBar>
      <extLst>
        <ext xmlns:x14="http://schemas.microsoft.com/office/spreadsheetml/2009/9/main" uri="{B025F937-C7B1-47D3-B67F-A62EFF666E3E}">
          <x14:id>{392EB379-1D5A-4918-997C-F73DDCDDC83E}</x14:id>
        </ext>
      </extLst>
    </cfRule>
  </conditionalFormatting>
  <conditionalFormatting sqref="C22:D22">
    <cfRule type="dataBar" priority="27">
      <dataBar>
        <cfvo type="min"/>
        <cfvo type="max"/>
        <color rgb="FF008AEF"/>
      </dataBar>
      <extLst>
        <ext xmlns:x14="http://schemas.microsoft.com/office/spreadsheetml/2009/9/main" uri="{B025F937-C7B1-47D3-B67F-A62EFF666E3E}">
          <x14:id>{DA1A4D14-0D2A-438B-BAA7-5F0E1106844D}</x14:id>
        </ext>
      </extLst>
    </cfRule>
  </conditionalFormatting>
  <conditionalFormatting sqref="C23:D23">
    <cfRule type="dataBar" priority="26">
      <dataBar>
        <cfvo type="min"/>
        <cfvo type="max"/>
        <color rgb="FF008AEF"/>
      </dataBar>
      <extLst>
        <ext xmlns:x14="http://schemas.microsoft.com/office/spreadsheetml/2009/9/main" uri="{B025F937-C7B1-47D3-B67F-A62EFF666E3E}">
          <x14:id>{8C1E4526-EB07-4068-9FAD-5EFDA0B70E71}</x14:id>
        </ext>
      </extLst>
    </cfRule>
  </conditionalFormatting>
  <conditionalFormatting sqref="C24:D24">
    <cfRule type="dataBar" priority="25">
      <dataBar>
        <cfvo type="min"/>
        <cfvo type="max"/>
        <color rgb="FF008AEF"/>
      </dataBar>
      <extLst>
        <ext xmlns:x14="http://schemas.microsoft.com/office/spreadsheetml/2009/9/main" uri="{B025F937-C7B1-47D3-B67F-A62EFF666E3E}">
          <x14:id>{6F4962DD-3298-4B02-B2BE-675833CC6ED8}</x14:id>
        </ext>
      </extLst>
    </cfRule>
  </conditionalFormatting>
  <conditionalFormatting sqref="C25:D25">
    <cfRule type="dataBar" priority="24">
      <dataBar>
        <cfvo type="min"/>
        <cfvo type="max"/>
        <color rgb="FF008AEF"/>
      </dataBar>
      <extLst>
        <ext xmlns:x14="http://schemas.microsoft.com/office/spreadsheetml/2009/9/main" uri="{B025F937-C7B1-47D3-B67F-A62EFF666E3E}">
          <x14:id>{98C00292-B842-406E-9CEB-B84EDDFEEA75}</x14:id>
        </ext>
      </extLst>
    </cfRule>
  </conditionalFormatting>
  <conditionalFormatting sqref="C26:D26">
    <cfRule type="dataBar" priority="23">
      <dataBar>
        <cfvo type="min"/>
        <cfvo type="max"/>
        <color rgb="FF008AEF"/>
      </dataBar>
      <extLst>
        <ext xmlns:x14="http://schemas.microsoft.com/office/spreadsheetml/2009/9/main" uri="{B025F937-C7B1-47D3-B67F-A62EFF666E3E}">
          <x14:id>{EEA38E60-E528-4BAC-BEED-D4388D31D216}</x14:id>
        </ext>
      </extLst>
    </cfRule>
  </conditionalFormatting>
  <conditionalFormatting sqref="C27:D27">
    <cfRule type="dataBar" priority="22">
      <dataBar>
        <cfvo type="min"/>
        <cfvo type="max"/>
        <color rgb="FF008AEF"/>
      </dataBar>
      <extLst>
        <ext xmlns:x14="http://schemas.microsoft.com/office/spreadsheetml/2009/9/main" uri="{B025F937-C7B1-47D3-B67F-A62EFF666E3E}">
          <x14:id>{A05EB245-FAE8-4805-8286-69B3733972CD}</x14:id>
        </ext>
      </extLst>
    </cfRule>
  </conditionalFormatting>
  <conditionalFormatting sqref="C28:D28">
    <cfRule type="dataBar" priority="21">
      <dataBar>
        <cfvo type="min"/>
        <cfvo type="max"/>
        <color rgb="FF008AEF"/>
      </dataBar>
      <extLst>
        <ext xmlns:x14="http://schemas.microsoft.com/office/spreadsheetml/2009/9/main" uri="{B025F937-C7B1-47D3-B67F-A62EFF666E3E}">
          <x14:id>{C12EED5A-0FAC-4C0B-9999-91797A5BA9CD}</x14:id>
        </ext>
      </extLst>
    </cfRule>
  </conditionalFormatting>
  <conditionalFormatting sqref="C29:D29">
    <cfRule type="dataBar" priority="20">
      <dataBar>
        <cfvo type="min"/>
        <cfvo type="max"/>
        <color rgb="FF008AEF"/>
      </dataBar>
      <extLst>
        <ext xmlns:x14="http://schemas.microsoft.com/office/spreadsheetml/2009/9/main" uri="{B025F937-C7B1-47D3-B67F-A62EFF666E3E}">
          <x14:id>{AAC09164-DB22-49A1-8B40-598B4984795B}</x14:id>
        </ext>
      </extLst>
    </cfRule>
  </conditionalFormatting>
  <conditionalFormatting sqref="C30:D30">
    <cfRule type="dataBar" priority="19">
      <dataBar>
        <cfvo type="min"/>
        <cfvo type="max"/>
        <color rgb="FF008AEF"/>
      </dataBar>
      <extLst>
        <ext xmlns:x14="http://schemas.microsoft.com/office/spreadsheetml/2009/9/main" uri="{B025F937-C7B1-47D3-B67F-A62EFF666E3E}">
          <x14:id>{875FAAE1-400D-4B9D-BAC0-8D76A9611246}</x14:id>
        </ext>
      </extLst>
    </cfRule>
  </conditionalFormatting>
  <conditionalFormatting sqref="C31:D31">
    <cfRule type="dataBar" priority="18">
      <dataBar>
        <cfvo type="min"/>
        <cfvo type="max"/>
        <color rgb="FF008AEF"/>
      </dataBar>
      <extLst>
        <ext xmlns:x14="http://schemas.microsoft.com/office/spreadsheetml/2009/9/main" uri="{B025F937-C7B1-47D3-B67F-A62EFF666E3E}">
          <x14:id>{FF70F3D9-598B-4D5D-9302-2B00838EB47E}</x14:id>
        </ext>
      </extLst>
    </cfRule>
  </conditionalFormatting>
  <conditionalFormatting sqref="C32:D32">
    <cfRule type="dataBar" priority="17">
      <dataBar>
        <cfvo type="min"/>
        <cfvo type="max"/>
        <color rgb="FF008AEF"/>
      </dataBar>
      <extLst>
        <ext xmlns:x14="http://schemas.microsoft.com/office/spreadsheetml/2009/9/main" uri="{B025F937-C7B1-47D3-B67F-A62EFF666E3E}">
          <x14:id>{24B90956-311C-4230-BC94-65AE365E6327}</x14:id>
        </ext>
      </extLst>
    </cfRule>
  </conditionalFormatting>
  <conditionalFormatting sqref="C33:D33">
    <cfRule type="dataBar" priority="16">
      <dataBar>
        <cfvo type="min"/>
        <cfvo type="max"/>
        <color rgb="FF008AEF"/>
      </dataBar>
      <extLst>
        <ext xmlns:x14="http://schemas.microsoft.com/office/spreadsheetml/2009/9/main" uri="{B025F937-C7B1-47D3-B67F-A62EFF666E3E}">
          <x14:id>{EA0D7AA8-CF02-4678-B62F-EC1C6ECFFB75}</x14:id>
        </ext>
      </extLst>
    </cfRule>
  </conditionalFormatting>
  <conditionalFormatting sqref="C34:D34">
    <cfRule type="dataBar" priority="15">
      <dataBar>
        <cfvo type="min"/>
        <cfvo type="max"/>
        <color rgb="FF008AEF"/>
      </dataBar>
      <extLst>
        <ext xmlns:x14="http://schemas.microsoft.com/office/spreadsheetml/2009/9/main" uri="{B025F937-C7B1-47D3-B67F-A62EFF666E3E}">
          <x14:id>{E576DAD0-16B0-42F3-ACD1-185EC39A815A}</x14:id>
        </ext>
      </extLst>
    </cfRule>
  </conditionalFormatting>
  <conditionalFormatting sqref="C35:D35">
    <cfRule type="dataBar" priority="14">
      <dataBar>
        <cfvo type="min"/>
        <cfvo type="max"/>
        <color rgb="FF008AEF"/>
      </dataBar>
      <extLst>
        <ext xmlns:x14="http://schemas.microsoft.com/office/spreadsheetml/2009/9/main" uri="{B025F937-C7B1-47D3-B67F-A62EFF666E3E}">
          <x14:id>{F0A9A2B1-5F37-446B-B98D-EEFCD6AD4695}</x14:id>
        </ext>
      </extLst>
    </cfRule>
  </conditionalFormatting>
  <conditionalFormatting sqref="D3:D7">
    <cfRule type="dataBar" priority="55">
      <dataBar>
        <cfvo type="min"/>
        <cfvo type="max"/>
        <color rgb="FF008AEF"/>
      </dataBar>
      <extLst>
        <ext xmlns:x14="http://schemas.microsoft.com/office/spreadsheetml/2009/9/main" uri="{B025F937-C7B1-47D3-B67F-A62EFF666E3E}">
          <x14:id>{AC7140A9-D281-42B9-8A97-152D70AC5395}</x14:id>
        </ext>
      </extLst>
    </cfRule>
  </conditionalFormatting>
  <conditionalFormatting sqref="G8:O31">
    <cfRule type="cellIs" dxfId="3" priority="12" operator="greaterThan">
      <formula>0</formula>
    </cfRule>
  </conditionalFormatting>
  <conditionalFormatting sqref="G3:P7 E3:F31 E32:O35">
    <cfRule type="cellIs" dxfId="2" priority="3"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D9ABCD12-73B9-46AF-993A-950389D8C2A2}">
            <x14:dataBar minLength="0" maxLength="100" gradient="0">
              <x14:cfvo type="autoMin"/>
              <x14:cfvo type="autoMax"/>
              <x14:negativeFillColor rgb="FFFF0000"/>
              <x14:axisColor rgb="FF000000"/>
            </x14:dataBar>
          </x14:cfRule>
          <xm:sqref>C3:D3</xm:sqref>
        </x14:conditionalFormatting>
        <x14:conditionalFormatting xmlns:xm="http://schemas.microsoft.com/office/excel/2006/main">
          <x14:cfRule type="dataBar" id="{E0016A9F-CE66-4AE3-9CD5-070269A0BB52}">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B9A6D3A1-36D5-4157-944D-06E1D45A7429}">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5A15018F-1AE3-44DD-AAEC-F39D736E59CC}">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A2C8127F-E39B-4DD9-A24F-B63292C6E816}">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BF5C76B9-1819-4D2D-AA08-33A45D5B5F10}">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1BE7154B-28F9-464C-A843-6A2E9530C934}">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09681F30-E762-42DA-92AA-96D2B74517DB}">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91EED20D-D936-409B-9A4B-366E4E8CC60B}">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28759D2B-2B56-4A39-8077-F8ED22100F60}">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19316306-38B0-437E-AD7B-791578987A92}">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80F694CF-E7D6-42EA-B669-6A21A4A9E7A6}">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410FC353-F6FE-4B2A-970E-1323110A3517}">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52F8162C-7FC8-4105-8E17-35D7A27AAACB}">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97FEAB74-8222-4A6B-B739-832C6028EED0}">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6E901007-D5A5-41EF-B14F-329A7EAF2BA8}">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0F10233A-CE2E-407A-B7D0-CCBEB749DD3B}">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EEA0AB88-695A-47EB-B909-CBFDACB952A7}">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392EB379-1D5A-4918-997C-F73DDCDDC83E}">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DA1A4D14-0D2A-438B-BAA7-5F0E1106844D}">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8C1E4526-EB07-4068-9FAD-5EFDA0B70E71}">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6F4962DD-3298-4B02-B2BE-675833CC6ED8}">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98C00292-B842-406E-9CEB-B84EDDFEEA75}">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EEA38E60-E528-4BAC-BEED-D4388D31D216}">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A05EB245-FAE8-4805-8286-69B3733972CD}">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C12EED5A-0FAC-4C0B-9999-91797A5BA9CD}">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AAC09164-DB22-49A1-8B40-598B4984795B}">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875FAAE1-400D-4B9D-BAC0-8D76A9611246}">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FF70F3D9-598B-4D5D-9302-2B00838EB47E}">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24B90956-311C-4230-BC94-65AE365E6327}">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EA0D7AA8-CF02-4678-B62F-EC1C6ECFFB75}">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E576DAD0-16B0-42F3-ACD1-185EC39A815A}">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F0A9A2B1-5F37-446B-B98D-EEFCD6AD4695}">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AC7140A9-D281-42B9-8A97-152D70AC5395}">
            <x14:dataBar minLength="0" maxLength="100" gradient="0">
              <x14:cfvo type="autoMin"/>
              <x14:cfvo type="autoMax"/>
              <x14:negativeFillColor rgb="FFFF0000"/>
              <x14:axisColor rgb="FF000000"/>
            </x14:dataBar>
          </x14:cfRule>
          <xm:sqref>D3:D7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E6"/>
  <sheetViews>
    <sheetView tabSelected="1" workbookViewId="0">
      <selection activeCell="F25" sqref="F25"/>
    </sheetView>
  </sheetViews>
  <sheetFormatPr baseColWidth="10" defaultRowHeight="15" x14ac:dyDescent="0.25"/>
  <cols>
    <col min="1" max="1" width="11.28515625" customWidth="1"/>
    <col min="2" max="2" width="24" customWidth="1"/>
    <col min="3" max="3" width="11.85546875" bestFit="1" customWidth="1"/>
  </cols>
  <sheetData>
    <row r="1" spans="1:5" x14ac:dyDescent="0.25">
      <c r="A1" s="47" t="s">
        <v>35</v>
      </c>
      <c r="B1" s="47"/>
      <c r="C1" s="13" t="s">
        <v>2</v>
      </c>
      <c r="D1" s="13" t="s">
        <v>44</v>
      </c>
      <c r="E1" s="13" t="s">
        <v>75</v>
      </c>
    </row>
    <row r="2" spans="1:5" x14ac:dyDescent="0.25">
      <c r="A2" s="11" t="s">
        <v>40</v>
      </c>
      <c r="B2" s="39" t="s">
        <v>36</v>
      </c>
      <c r="C2" s="15">
        <f>'D88 Limón'!C37</f>
        <v>471</v>
      </c>
      <c r="D2" s="15">
        <f>'D88 Limón'!D37</f>
        <v>200</v>
      </c>
      <c r="E2" s="41">
        <f>D2/C2</f>
        <v>0.42462845010615713</v>
      </c>
    </row>
    <row r="3" spans="1:5" x14ac:dyDescent="0.25">
      <c r="A3" s="11" t="s">
        <v>41</v>
      </c>
      <c r="B3" s="39" t="s">
        <v>37</v>
      </c>
      <c r="C3" s="14">
        <f>'D90 Siquirres'!C37</f>
        <v>376</v>
      </c>
      <c r="D3" s="14">
        <f>'D90 Siquirres'!D37</f>
        <v>139</v>
      </c>
      <c r="E3" s="41">
        <f t="shared" ref="E3:E4" si="0">D3/C3</f>
        <v>0.36968085106382981</v>
      </c>
    </row>
    <row r="4" spans="1:5" x14ac:dyDescent="0.25">
      <c r="A4" s="11" t="s">
        <v>42</v>
      </c>
      <c r="B4" s="39" t="s">
        <v>38</v>
      </c>
      <c r="C4" s="15">
        <f>'D91 Talamanca'!C40</f>
        <v>383</v>
      </c>
      <c r="D4" s="15">
        <f>'D91 Talamanca'!D40</f>
        <v>139</v>
      </c>
      <c r="E4" s="41">
        <f t="shared" si="0"/>
        <v>0.36292428198433418</v>
      </c>
    </row>
    <row r="5" spans="1:5" x14ac:dyDescent="0.25">
      <c r="A5" s="11" t="s">
        <v>43</v>
      </c>
      <c r="B5" s="39" t="s">
        <v>39</v>
      </c>
      <c r="C5" s="15">
        <f>'D92 Matina'!C36</f>
        <v>321</v>
      </c>
      <c r="D5" s="15">
        <f>'D92 Matina'!D36</f>
        <v>134</v>
      </c>
      <c r="E5" s="41">
        <f>D5/C5</f>
        <v>0.4174454828660436</v>
      </c>
    </row>
    <row r="6" spans="1:5" x14ac:dyDescent="0.25">
      <c r="B6" s="12" t="s">
        <v>45</v>
      </c>
      <c r="C6" s="40">
        <f>SUM(C2:C5)</f>
        <v>1551</v>
      </c>
      <c r="D6" s="40">
        <f>SUM(D2:D5)</f>
        <v>612</v>
      </c>
      <c r="E6" s="41">
        <f>D6/C6</f>
        <v>0.39458413926499031</v>
      </c>
    </row>
  </sheetData>
  <sheetProtection autoFilter="0"/>
  <mergeCells count="1">
    <mergeCell ref="A1:B1"/>
  </mergeCells>
  <conditionalFormatting sqref="C2:D2">
    <cfRule type="dataBar" priority="13">
      <dataBar>
        <cfvo type="min"/>
        <cfvo type="max"/>
        <color rgb="FF008AEF"/>
      </dataBar>
      <extLst>
        <ext xmlns:x14="http://schemas.microsoft.com/office/spreadsheetml/2009/9/main" uri="{B025F937-C7B1-47D3-B67F-A62EFF666E3E}">
          <x14:id>{FCB0231C-6163-4AD2-AEFD-5C9C3ED2609B}</x14:id>
        </ext>
      </extLst>
    </cfRule>
  </conditionalFormatting>
  <conditionalFormatting sqref="C3:D3">
    <cfRule type="dataBar" priority="12">
      <dataBar>
        <cfvo type="min"/>
        <cfvo type="max"/>
        <color rgb="FF008AEF"/>
      </dataBar>
      <extLst>
        <ext xmlns:x14="http://schemas.microsoft.com/office/spreadsheetml/2009/9/main" uri="{B025F937-C7B1-47D3-B67F-A62EFF666E3E}">
          <x14:id>{42710C91-A543-44A4-8BCC-65CB2D099CB2}</x14:id>
        </ext>
      </extLst>
    </cfRule>
  </conditionalFormatting>
  <conditionalFormatting sqref="C4:D4">
    <cfRule type="dataBar" priority="11">
      <dataBar>
        <cfvo type="min"/>
        <cfvo type="max"/>
        <color rgb="FF008AEF"/>
      </dataBar>
      <extLst>
        <ext xmlns:x14="http://schemas.microsoft.com/office/spreadsheetml/2009/9/main" uri="{B025F937-C7B1-47D3-B67F-A62EFF666E3E}">
          <x14:id>{F3717E68-4767-4413-BAB1-27B1E910AD47}</x14:id>
        </ext>
      </extLst>
    </cfRule>
  </conditionalFormatting>
  <conditionalFormatting sqref="C5:D5">
    <cfRule type="dataBar" priority="10">
      <dataBar>
        <cfvo type="min"/>
        <cfvo type="max"/>
        <color rgb="FF008AEF"/>
      </dataBar>
      <extLst>
        <ext xmlns:x14="http://schemas.microsoft.com/office/spreadsheetml/2009/9/main" uri="{B025F937-C7B1-47D3-B67F-A62EFF666E3E}">
          <x14:id>{225C7800-D949-4876-A3B9-AE04FBFCE711}</x14:id>
        </ext>
      </extLst>
    </cfRule>
  </conditionalFormatting>
  <conditionalFormatting sqref="E2:E6">
    <cfRule type="cellIs" dxfId="1" priority="1" operator="greaterThan">
      <formula>0.2499</formula>
    </cfRule>
    <cfRule type="cellIs" dxfId="0" priority="2" operator="lessThan">
      <formula>0.24999999</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FCB0231C-6163-4AD2-AEFD-5C9C3ED2609B}">
            <x14:dataBar minLength="0" maxLength="100" gradient="0">
              <x14:cfvo type="autoMin"/>
              <x14:cfvo type="autoMax"/>
              <x14:negativeFillColor rgb="FFFF0000"/>
              <x14:axisColor rgb="FF000000"/>
            </x14:dataBar>
          </x14:cfRule>
          <xm:sqref>C2:D2</xm:sqref>
        </x14:conditionalFormatting>
        <x14:conditionalFormatting xmlns:xm="http://schemas.microsoft.com/office/excel/2006/main">
          <x14:cfRule type="dataBar" id="{42710C91-A543-44A4-8BCC-65CB2D099CB2}">
            <x14:dataBar minLength="0" maxLength="100" gradient="0">
              <x14:cfvo type="autoMin"/>
              <x14:cfvo type="autoMax"/>
              <x14:negativeFillColor rgb="FFFF0000"/>
              <x14:axisColor rgb="FF000000"/>
            </x14:dataBar>
          </x14:cfRule>
          <xm:sqref>C3:D3</xm:sqref>
        </x14:conditionalFormatting>
        <x14:conditionalFormatting xmlns:xm="http://schemas.microsoft.com/office/excel/2006/main">
          <x14:cfRule type="dataBar" id="{F3717E68-4767-4413-BAB1-27B1E910AD47}">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225C7800-D949-4876-A3B9-AE04FBFCE711}">
            <x14:dataBar minLength="0" maxLength="100" gradient="0">
              <x14:cfvo type="autoMin"/>
              <x14:cfvo type="autoMax"/>
              <x14:negativeFillColor rgb="FFFF0000"/>
              <x14:axisColor rgb="FF000000"/>
            </x14:dataBar>
          </x14:cfRule>
          <xm:sqref>C5:D5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D88 Limón</vt:lpstr>
      <vt:lpstr>D90 Siquirres</vt:lpstr>
      <vt:lpstr>D91 Talamanca</vt:lpstr>
      <vt:lpstr>D92 Matina</vt:lpstr>
      <vt:lpstr>Total Región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Alb Cartin</dc:creator>
  <cp:lastModifiedBy>Manuel Alberto Cartin Sequeira</cp:lastModifiedBy>
  <dcterms:created xsi:type="dcterms:W3CDTF">2025-07-06T18:59:18Z</dcterms:created>
  <dcterms:modified xsi:type="dcterms:W3CDTF">2026-06-20T01:16:58Z</dcterms:modified>
</cp:coreProperties>
</file>