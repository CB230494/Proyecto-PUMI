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C:\Users\108720436\Desktop\CONTEO NACIONAL PAO 2026\AVANCE IER SEMESTRE JUNIO\"/>
    </mc:Choice>
  </mc:AlternateContent>
  <xr:revisionPtr revIDLastSave="0" documentId="8_{CF48B34A-6205-4086-98DC-131D31E6F330}" xr6:coauthVersionLast="47" xr6:coauthVersionMax="47" xr10:uidLastSave="{00000000-0000-0000-0000-000000000000}"/>
  <bookViews>
    <workbookView xWindow="-120" yWindow="-120" windowWidth="29040" windowHeight="15720" activeTab="11" xr2:uid="{00000000-000D-0000-FFFF-FFFF00000000}"/>
  </bookViews>
  <sheets>
    <sheet name="D60 Liberia" sheetId="1" r:id="rId1"/>
    <sheet name="D61 Nicoya" sheetId="2" r:id="rId2"/>
    <sheet name="D62 Santa Cruz" sheetId="3" r:id="rId3"/>
    <sheet name="D63 Bagaces" sheetId="4" r:id="rId4"/>
    <sheet name="D64 Carrillo" sheetId="5" r:id="rId5"/>
    <sheet name="D65 Cañas" sheetId="6" r:id="rId6"/>
    <sheet name="D66 Abangares" sheetId="7" r:id="rId7"/>
    <sheet name="D67 Tilarán" sheetId="8" r:id="rId8"/>
    <sheet name="D68 Nandayure" sheetId="9" r:id="rId9"/>
    <sheet name="D69 Hojancha" sheetId="10" r:id="rId10"/>
    <sheet name="D70 La Cruz" sheetId="11" r:id="rId11"/>
    <sheet name="Total Región" sheetId="12"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ABANG" localSheetId="1">[1]DAT2!#REF!</definedName>
    <definedName name="ABANG" localSheetId="2">[2]DAT2!#REF!</definedName>
    <definedName name="ABANG" localSheetId="3">[3]DAT2!#REF!</definedName>
    <definedName name="ABANG" localSheetId="4">[4]DAT2!#REF!</definedName>
    <definedName name="ABANG" localSheetId="5">[5]DAT2!#REF!</definedName>
    <definedName name="ABANG" localSheetId="6">[6]DAT2!#REF!</definedName>
    <definedName name="ABANG" localSheetId="7">[7]DAT2!#REF!</definedName>
    <definedName name="ABANG" localSheetId="8">[8]DAT2!#REF!</definedName>
    <definedName name="ABANG" localSheetId="9">[9]DAT2!#REF!</definedName>
    <definedName name="ABANG" localSheetId="10">[10]DAT2!#REF!</definedName>
    <definedName name="ABANG" localSheetId="11">[11]DAT2!#REF!</definedName>
    <definedName name="ABANG">[12]DAT2!#REF!</definedName>
    <definedName name="ACOS" localSheetId="1">[1]DAT2!#REF!</definedName>
    <definedName name="ACOS" localSheetId="2">[2]DAT2!#REF!</definedName>
    <definedName name="ACOS" localSheetId="3">[3]DAT2!#REF!</definedName>
    <definedName name="ACOS" localSheetId="4">[4]DAT2!#REF!</definedName>
    <definedName name="ACOS" localSheetId="5">[5]DAT2!#REF!</definedName>
    <definedName name="ACOS" localSheetId="6">[6]DAT2!#REF!</definedName>
    <definedName name="ACOS" localSheetId="7">[7]DAT2!#REF!</definedName>
    <definedName name="ACOS" localSheetId="8">[8]DAT2!#REF!</definedName>
    <definedName name="ACOS" localSheetId="9">[9]DAT2!#REF!</definedName>
    <definedName name="ACOS" localSheetId="10">[10]DAT2!#REF!</definedName>
    <definedName name="ACOS" localSheetId="11">[11]DAT2!#REF!</definedName>
    <definedName name="ACOS">[12]DAT2!#REF!</definedName>
    <definedName name="ALAJU" localSheetId="1">[1]DAT2!#REF!</definedName>
    <definedName name="ALAJU" localSheetId="2">[2]DAT2!#REF!</definedName>
    <definedName name="ALAJU" localSheetId="3">[3]DAT2!#REF!</definedName>
    <definedName name="ALAJU" localSheetId="4">[4]DAT2!#REF!</definedName>
    <definedName name="ALAJU" localSheetId="5">[5]DAT2!#REF!</definedName>
    <definedName name="ALAJU" localSheetId="6">[6]DAT2!#REF!</definedName>
    <definedName name="ALAJU" localSheetId="7">[7]DAT2!#REF!</definedName>
    <definedName name="ALAJU" localSheetId="8">[8]DAT2!#REF!</definedName>
    <definedName name="ALAJU" localSheetId="9">[9]DAT2!#REF!</definedName>
    <definedName name="ALAJU" localSheetId="10">[10]DAT2!#REF!</definedName>
    <definedName name="ALAJU" localSheetId="11">[11]DAT2!#REF!</definedName>
    <definedName name="ALAJU">[12]DAT2!#REF!</definedName>
    <definedName name="ALAJUE" localSheetId="1">[1]DAT2!#REF!</definedName>
    <definedName name="ALAJUE" localSheetId="2">[2]DAT2!#REF!</definedName>
    <definedName name="ALAJUE" localSheetId="3">[3]DAT2!#REF!</definedName>
    <definedName name="ALAJUE" localSheetId="4">[4]DAT2!#REF!</definedName>
    <definedName name="ALAJUE" localSheetId="5">[5]DAT2!#REF!</definedName>
    <definedName name="ALAJUE" localSheetId="6">[6]DAT2!#REF!</definedName>
    <definedName name="ALAJUE" localSheetId="7">[7]DAT2!#REF!</definedName>
    <definedName name="ALAJUE" localSheetId="8">[8]DAT2!#REF!</definedName>
    <definedName name="ALAJUE" localSheetId="9">[9]DAT2!#REF!</definedName>
    <definedName name="ALAJUE" localSheetId="10">[10]DAT2!#REF!</definedName>
    <definedName name="ALAJUE" localSheetId="11">[11]DAT2!#REF!</definedName>
    <definedName name="ALAJUE">[12]DAT2!#REF!</definedName>
    <definedName name="ALVA" localSheetId="1">[1]DAT2!#REF!</definedName>
    <definedName name="ALVA" localSheetId="2">[2]DAT2!#REF!</definedName>
    <definedName name="ALVA" localSheetId="3">[3]DAT2!#REF!</definedName>
    <definedName name="ALVA" localSheetId="4">[4]DAT2!#REF!</definedName>
    <definedName name="ALVA" localSheetId="5">[5]DAT2!#REF!</definedName>
    <definedName name="ALVA" localSheetId="6">[6]DAT2!#REF!</definedName>
    <definedName name="ALVA" localSheetId="7">[7]DAT2!#REF!</definedName>
    <definedName name="ALVA" localSheetId="8">[8]DAT2!#REF!</definedName>
    <definedName name="ALVA" localSheetId="9">[9]DAT2!#REF!</definedName>
    <definedName name="ALVA" localSheetId="10">[10]DAT2!#REF!</definedName>
    <definedName name="ALVA" localSheetId="11">[11]DAT2!#REF!</definedName>
    <definedName name="ALVA">[12]DAT2!#REF!</definedName>
    <definedName name="ASERR" localSheetId="1">[1]DAT2!#REF!</definedName>
    <definedName name="ASERR" localSheetId="2">[2]DAT2!#REF!</definedName>
    <definedName name="ASERR" localSheetId="3">[3]DAT2!#REF!</definedName>
    <definedName name="ASERR" localSheetId="4">[4]DAT2!#REF!</definedName>
    <definedName name="ASERR" localSheetId="5">[5]DAT2!#REF!</definedName>
    <definedName name="ASERR" localSheetId="6">[6]DAT2!#REF!</definedName>
    <definedName name="ASERR" localSheetId="7">[7]DAT2!#REF!</definedName>
    <definedName name="ASERR" localSheetId="8">[8]DAT2!#REF!</definedName>
    <definedName name="ASERR" localSheetId="9">[9]DAT2!#REF!</definedName>
    <definedName name="ASERR" localSheetId="10">[10]DAT2!#REF!</definedName>
    <definedName name="ASERR" localSheetId="11">[11]DAT2!#REF!</definedName>
    <definedName name="ASERR">[12]DAT2!#REF!</definedName>
    <definedName name="ATE" localSheetId="1">[1]DAT2!#REF!</definedName>
    <definedName name="ATE" localSheetId="2">[2]DAT2!#REF!</definedName>
    <definedName name="ATE" localSheetId="3">[3]DAT2!#REF!</definedName>
    <definedName name="ATE" localSheetId="4">[4]DAT2!#REF!</definedName>
    <definedName name="ATE" localSheetId="5">[5]DAT2!#REF!</definedName>
    <definedName name="ATE" localSheetId="6">[6]DAT2!#REF!</definedName>
    <definedName name="ATE" localSheetId="7">[7]DAT2!#REF!</definedName>
    <definedName name="ATE" localSheetId="8">[8]DAT2!#REF!</definedName>
    <definedName name="ATE" localSheetId="9">[9]DAT2!#REF!</definedName>
    <definedName name="ATE" localSheetId="10">[10]DAT2!#REF!</definedName>
    <definedName name="ATE" localSheetId="11">[11]DAT2!#REF!</definedName>
    <definedName name="ATE">[12]DAT2!#REF!</definedName>
    <definedName name="BAGAC" localSheetId="1">[1]DAT2!#REF!</definedName>
    <definedName name="BAGAC" localSheetId="2">[2]DAT2!#REF!</definedName>
    <definedName name="BAGAC" localSheetId="3">[3]DAT2!#REF!</definedName>
    <definedName name="BAGAC" localSheetId="4">[4]DAT2!#REF!</definedName>
    <definedName name="BAGAC" localSheetId="5">[5]DAT2!#REF!</definedName>
    <definedName name="BAGAC" localSheetId="6">[6]DAT2!#REF!</definedName>
    <definedName name="BAGAC" localSheetId="7">[7]DAT2!#REF!</definedName>
    <definedName name="BAGAC" localSheetId="8">[8]DAT2!#REF!</definedName>
    <definedName name="BAGAC" localSheetId="9">[9]DAT2!#REF!</definedName>
    <definedName name="BAGAC" localSheetId="10">[10]DAT2!#REF!</definedName>
    <definedName name="BAGAC" localSheetId="11">[11]DAT2!#REF!</definedName>
    <definedName name="BAGAC">[12]DAT2!#REF!</definedName>
    <definedName name="BARV" localSheetId="1">[1]DAT2!#REF!</definedName>
    <definedName name="BARV" localSheetId="2">[2]DAT2!#REF!</definedName>
    <definedName name="BARV" localSheetId="3">[3]DAT2!#REF!</definedName>
    <definedName name="BARV" localSheetId="4">[4]DAT2!#REF!</definedName>
    <definedName name="BARV" localSheetId="5">[5]DAT2!#REF!</definedName>
    <definedName name="BARV" localSheetId="6">[6]DAT2!#REF!</definedName>
    <definedName name="BARV" localSheetId="7">[7]DAT2!#REF!</definedName>
    <definedName name="BARV" localSheetId="8">[8]DAT2!#REF!</definedName>
    <definedName name="BARV" localSheetId="9">[9]DAT2!#REF!</definedName>
    <definedName name="BARV" localSheetId="10">[10]DAT2!#REF!</definedName>
    <definedName name="BARV" localSheetId="11">[11]DAT2!#REF!</definedName>
    <definedName name="BARV">[12]DAT2!#REF!</definedName>
    <definedName name="BEL" localSheetId="1">[1]DAT2!#REF!</definedName>
    <definedName name="BEL" localSheetId="2">[2]DAT2!#REF!</definedName>
    <definedName name="BEL" localSheetId="3">[3]DAT2!#REF!</definedName>
    <definedName name="BEL" localSheetId="4">[4]DAT2!#REF!</definedName>
    <definedName name="BEL" localSheetId="5">[5]DAT2!#REF!</definedName>
    <definedName name="BEL" localSheetId="6">[6]DAT2!#REF!</definedName>
    <definedName name="BEL" localSheetId="7">[7]DAT2!#REF!</definedName>
    <definedName name="BEL" localSheetId="8">[8]DAT2!#REF!</definedName>
    <definedName name="BEL" localSheetId="9">[9]DAT2!#REF!</definedName>
    <definedName name="BEL" localSheetId="10">[10]DAT2!#REF!</definedName>
    <definedName name="BEL" localSheetId="11">[11]DAT2!#REF!</definedName>
    <definedName name="BEL">[12]DAT2!#REF!</definedName>
    <definedName name="BUEN" localSheetId="1">[1]DAT2!#REF!</definedName>
    <definedName name="BUEN" localSheetId="2">[2]DAT2!#REF!</definedName>
    <definedName name="BUEN" localSheetId="3">[3]DAT2!#REF!</definedName>
    <definedName name="BUEN" localSheetId="4">[4]DAT2!#REF!</definedName>
    <definedName name="BUEN" localSheetId="5">[5]DAT2!#REF!</definedName>
    <definedName name="BUEN" localSheetId="6">[6]DAT2!#REF!</definedName>
    <definedName name="BUEN" localSheetId="7">[7]DAT2!#REF!</definedName>
    <definedName name="BUEN" localSheetId="8">[8]DAT2!#REF!</definedName>
    <definedName name="BUEN" localSheetId="9">[9]DAT2!#REF!</definedName>
    <definedName name="BUEN" localSheetId="10">[10]DAT2!#REF!</definedName>
    <definedName name="BUEN" localSheetId="11">[11]DAT2!#REF!</definedName>
    <definedName name="BUEN">[12]DAT2!#REF!</definedName>
    <definedName name="CANTÓNN">[12]!Tabla103[#All]</definedName>
    <definedName name="CAÑ" localSheetId="1">[1]DAT2!#REF!</definedName>
    <definedName name="CAÑ" localSheetId="2">[2]DAT2!#REF!</definedName>
    <definedName name="CAÑ" localSheetId="3">[3]DAT2!#REF!</definedName>
    <definedName name="CAÑ" localSheetId="4">[4]DAT2!#REF!</definedName>
    <definedName name="CAÑ" localSheetId="5">[5]DAT2!#REF!</definedName>
    <definedName name="CAÑ" localSheetId="6">[6]DAT2!#REF!</definedName>
    <definedName name="CAÑ" localSheetId="7">[7]DAT2!#REF!</definedName>
    <definedName name="CAÑ" localSheetId="8">[8]DAT2!#REF!</definedName>
    <definedName name="CAÑ" localSheetId="9">[9]DAT2!#REF!</definedName>
    <definedName name="CAÑ" localSheetId="10">[10]DAT2!#REF!</definedName>
    <definedName name="CAÑ" localSheetId="11">[11]DAT2!#REF!</definedName>
    <definedName name="CAÑ">[12]DAT2!#REF!</definedName>
    <definedName name="CARR" localSheetId="1">[1]DAT2!#REF!</definedName>
    <definedName name="CARR" localSheetId="2">[2]DAT2!#REF!</definedName>
    <definedName name="CARR" localSheetId="3">[3]DAT2!#REF!</definedName>
    <definedName name="CARR" localSheetId="4">[4]DAT2!#REF!</definedName>
    <definedName name="CARR" localSheetId="5">[5]DAT2!#REF!</definedName>
    <definedName name="CARR" localSheetId="6">[6]DAT2!#REF!</definedName>
    <definedName name="CARR" localSheetId="7">[7]DAT2!#REF!</definedName>
    <definedName name="CARR" localSheetId="8">[8]DAT2!#REF!</definedName>
    <definedName name="CARR" localSheetId="9">[9]DAT2!#REF!</definedName>
    <definedName name="CARR" localSheetId="10">[10]DAT2!#REF!</definedName>
    <definedName name="CARR" localSheetId="11">[11]DAT2!#REF!</definedName>
    <definedName name="CARR">[12]DAT2!#REF!</definedName>
    <definedName name="CARTAG" localSheetId="1">[1]DAT2!#REF!</definedName>
    <definedName name="CARTAG" localSheetId="2">[2]DAT2!#REF!</definedName>
    <definedName name="CARTAG" localSheetId="3">[3]DAT2!#REF!</definedName>
    <definedName name="CARTAG" localSheetId="4">[4]DAT2!#REF!</definedName>
    <definedName name="CARTAG" localSheetId="5">[5]DAT2!#REF!</definedName>
    <definedName name="CARTAG" localSheetId="6">[6]DAT2!#REF!</definedName>
    <definedName name="CARTAG" localSheetId="7">[7]DAT2!#REF!</definedName>
    <definedName name="CARTAG" localSheetId="8">[8]DAT2!#REF!</definedName>
    <definedName name="CARTAG" localSheetId="9">[9]DAT2!#REF!</definedName>
    <definedName name="CARTAG" localSheetId="10">[10]DAT2!#REF!</definedName>
    <definedName name="CARTAG" localSheetId="11">[11]DAT2!#REF!</definedName>
    <definedName name="CARTAG">[12]DAT2!#REF!</definedName>
    <definedName name="CORR" localSheetId="1">[1]DAT2!#REF!</definedName>
    <definedName name="CORR" localSheetId="2">[2]DAT2!#REF!</definedName>
    <definedName name="CORR" localSheetId="3">[3]DAT2!#REF!</definedName>
    <definedName name="CORR" localSheetId="4">[4]DAT2!#REF!</definedName>
    <definedName name="CORR" localSheetId="5">[5]DAT2!#REF!</definedName>
    <definedName name="CORR" localSheetId="6">[6]DAT2!#REF!</definedName>
    <definedName name="CORR" localSheetId="7">[7]DAT2!#REF!</definedName>
    <definedName name="CORR" localSheetId="8">[8]DAT2!#REF!</definedName>
    <definedName name="CORR" localSheetId="9">[9]DAT2!#REF!</definedName>
    <definedName name="CORR" localSheetId="10">[10]DAT2!#REF!</definedName>
    <definedName name="CORR" localSheetId="11">[11]DAT2!#REF!</definedName>
    <definedName name="CORR">[12]DAT2!#REF!</definedName>
    <definedName name="COTB" localSheetId="1">[1]DAT2!#REF!</definedName>
    <definedName name="COTB" localSheetId="2">[2]DAT2!#REF!</definedName>
    <definedName name="COTB" localSheetId="3">[3]DAT2!#REF!</definedName>
    <definedName name="COTB" localSheetId="4">[4]DAT2!#REF!</definedName>
    <definedName name="COTB" localSheetId="5">[5]DAT2!#REF!</definedName>
    <definedName name="COTB" localSheetId="6">[6]DAT2!#REF!</definedName>
    <definedName name="COTB" localSheetId="7">[7]DAT2!#REF!</definedName>
    <definedName name="COTB" localSheetId="8">[8]DAT2!#REF!</definedName>
    <definedName name="COTB" localSheetId="9">[9]DAT2!#REF!</definedName>
    <definedName name="COTB" localSheetId="10">[10]DAT2!#REF!</definedName>
    <definedName name="COTB" localSheetId="11">[11]DAT2!#REF!</definedName>
    <definedName name="COTB">[12]DAT2!#REF!</definedName>
    <definedName name="CURRI" localSheetId="1">[1]DAT2!#REF!</definedName>
    <definedName name="CURRI" localSheetId="2">[2]DAT2!#REF!</definedName>
    <definedName name="CURRI" localSheetId="3">[3]DAT2!#REF!</definedName>
    <definedName name="CURRI" localSheetId="4">[4]DAT2!#REF!</definedName>
    <definedName name="CURRI" localSheetId="5">[5]DAT2!#REF!</definedName>
    <definedName name="CURRI" localSheetId="6">[6]DAT2!#REF!</definedName>
    <definedName name="CURRI" localSheetId="7">[7]DAT2!#REF!</definedName>
    <definedName name="CURRI" localSheetId="8">[8]DAT2!#REF!</definedName>
    <definedName name="CURRI" localSheetId="9">[9]DAT2!#REF!</definedName>
    <definedName name="CURRI" localSheetId="10">[10]DAT2!#REF!</definedName>
    <definedName name="CURRI" localSheetId="11">[11]DAT2!#REF!</definedName>
    <definedName name="CURRI">[12]DAT2!#REF!</definedName>
    <definedName name="DESAMP" localSheetId="1">[1]DAT2!#REF!</definedName>
    <definedName name="DESAMP" localSheetId="2">[2]DAT2!#REF!</definedName>
    <definedName name="DESAMP" localSheetId="3">[3]DAT2!#REF!</definedName>
    <definedName name="DESAMP" localSheetId="4">[4]DAT2!#REF!</definedName>
    <definedName name="DESAMP" localSheetId="5">[5]DAT2!#REF!</definedName>
    <definedName name="DESAMP" localSheetId="6">[6]DAT2!#REF!</definedName>
    <definedName name="DESAMP" localSheetId="7">[7]DAT2!#REF!</definedName>
    <definedName name="DESAMP" localSheetId="8">[8]DAT2!#REF!</definedName>
    <definedName name="DESAMP" localSheetId="9">[9]DAT2!#REF!</definedName>
    <definedName name="DESAMP" localSheetId="10">[10]DAT2!#REF!</definedName>
    <definedName name="DESAMP" localSheetId="11">[11]DAT2!#REF!</definedName>
    <definedName name="DESAMP">[12]DAT2!#REF!</definedName>
    <definedName name="DISTRI" localSheetId="1">#REF!</definedName>
    <definedName name="DISTRI" localSheetId="2">#REF!</definedName>
    <definedName name="DISTRI" localSheetId="3">#REF!</definedName>
    <definedName name="DISTRI" localSheetId="4">#REF!</definedName>
    <definedName name="DISTRI" localSheetId="5">#REF!</definedName>
    <definedName name="DISTRI" localSheetId="6">#REF!</definedName>
    <definedName name="DISTRI" localSheetId="7">#REF!</definedName>
    <definedName name="DISTRI" localSheetId="8">#REF!</definedName>
    <definedName name="DISTRI" localSheetId="9">#REF!</definedName>
    <definedName name="DISTRI" localSheetId="10">#REF!</definedName>
    <definedName name="DISTRI" localSheetId="11">#REF!</definedName>
    <definedName name="DISTRI">#REF!</definedName>
    <definedName name="DOTA" localSheetId="1">[1]DAT2!#REF!</definedName>
    <definedName name="DOTA" localSheetId="2">[2]DAT2!#REF!</definedName>
    <definedName name="DOTA" localSheetId="3">[3]DAT2!#REF!</definedName>
    <definedName name="DOTA" localSheetId="4">[4]DAT2!#REF!</definedName>
    <definedName name="DOTA" localSheetId="5">[5]DAT2!#REF!</definedName>
    <definedName name="DOTA" localSheetId="6">[6]DAT2!#REF!</definedName>
    <definedName name="DOTA" localSheetId="7">[7]DAT2!#REF!</definedName>
    <definedName name="DOTA" localSheetId="8">[8]DAT2!#REF!</definedName>
    <definedName name="DOTA" localSheetId="9">[9]DAT2!#REF!</definedName>
    <definedName name="DOTA" localSheetId="10">[10]DAT2!#REF!</definedName>
    <definedName name="DOTA" localSheetId="11">[11]DAT2!#REF!</definedName>
    <definedName name="DOTA">[12]DAT2!#REF!</definedName>
    <definedName name="ELGUA" localSheetId="1">[1]DAT2!#REF!</definedName>
    <definedName name="ELGUA" localSheetId="2">[2]DAT2!#REF!</definedName>
    <definedName name="ELGUA" localSheetId="3">[3]DAT2!#REF!</definedName>
    <definedName name="ELGUA" localSheetId="4">[4]DAT2!#REF!</definedName>
    <definedName name="ELGUA" localSheetId="5">[5]DAT2!#REF!</definedName>
    <definedName name="ELGUA" localSheetId="6">[6]DAT2!#REF!</definedName>
    <definedName name="ELGUA" localSheetId="7">[7]DAT2!#REF!</definedName>
    <definedName name="ELGUA" localSheetId="8">[8]DAT2!#REF!</definedName>
    <definedName name="ELGUA" localSheetId="9">[9]DAT2!#REF!</definedName>
    <definedName name="ELGUA" localSheetId="10">[10]DAT2!#REF!</definedName>
    <definedName name="ELGUA" localSheetId="11">[11]DAT2!#REF!</definedName>
    <definedName name="ELGUA">[12]DAT2!#REF!</definedName>
    <definedName name="ESCAZ" localSheetId="1">[1]DAT2!#REF!</definedName>
    <definedName name="ESCAZ" localSheetId="2">[2]DAT2!#REF!</definedName>
    <definedName name="ESCAZ" localSheetId="3">[3]DAT2!#REF!</definedName>
    <definedName name="ESCAZ" localSheetId="4">[4]DAT2!#REF!</definedName>
    <definedName name="ESCAZ" localSheetId="5">[5]DAT2!#REF!</definedName>
    <definedName name="ESCAZ" localSheetId="6">[6]DAT2!#REF!</definedName>
    <definedName name="ESCAZ" localSheetId="7">[7]DAT2!#REF!</definedName>
    <definedName name="ESCAZ" localSheetId="8">[8]DAT2!#REF!</definedName>
    <definedName name="ESCAZ" localSheetId="9">[9]DAT2!#REF!</definedName>
    <definedName name="ESCAZ" localSheetId="10">[10]DAT2!#REF!</definedName>
    <definedName name="ESCAZ" localSheetId="11">[11]DAT2!#REF!</definedName>
    <definedName name="ESCAZ">[12]DAT2!#REF!</definedName>
    <definedName name="ESPA" localSheetId="1">[1]DAT2!#REF!</definedName>
    <definedName name="ESPA" localSheetId="2">[2]DAT2!#REF!</definedName>
    <definedName name="ESPA" localSheetId="3">[3]DAT2!#REF!</definedName>
    <definedName name="ESPA" localSheetId="4">[4]DAT2!#REF!</definedName>
    <definedName name="ESPA" localSheetId="5">[5]DAT2!#REF!</definedName>
    <definedName name="ESPA" localSheetId="6">[6]DAT2!#REF!</definedName>
    <definedName name="ESPA" localSheetId="7">[7]DAT2!#REF!</definedName>
    <definedName name="ESPA" localSheetId="8">[8]DAT2!#REF!</definedName>
    <definedName name="ESPA" localSheetId="9">[9]DAT2!#REF!</definedName>
    <definedName name="ESPA" localSheetId="10">[10]DAT2!#REF!</definedName>
    <definedName name="ESPA" localSheetId="11">[11]DAT2!#REF!</definedName>
    <definedName name="ESPA">[12]DAT2!#REF!</definedName>
    <definedName name="FLOR" localSheetId="1">[1]DAT2!#REF!</definedName>
    <definedName name="FLOR" localSheetId="2">[2]DAT2!#REF!</definedName>
    <definedName name="FLOR" localSheetId="3">[3]DAT2!#REF!</definedName>
    <definedName name="FLOR" localSheetId="4">[4]DAT2!#REF!</definedName>
    <definedName name="FLOR" localSheetId="5">[5]DAT2!#REF!</definedName>
    <definedName name="FLOR" localSheetId="6">[6]DAT2!#REF!</definedName>
    <definedName name="FLOR" localSheetId="7">[7]DAT2!#REF!</definedName>
    <definedName name="FLOR" localSheetId="8">[8]DAT2!#REF!</definedName>
    <definedName name="FLOR" localSheetId="9">[9]DAT2!#REF!</definedName>
    <definedName name="FLOR" localSheetId="10">[10]DAT2!#REF!</definedName>
    <definedName name="FLOR" localSheetId="11">[11]DAT2!#REF!</definedName>
    <definedName name="FLOR">[12]DAT2!#REF!</definedName>
    <definedName name="GARAB" localSheetId="1">[1]DAT2!#REF!</definedName>
    <definedName name="GARAB" localSheetId="2">[2]DAT2!#REF!</definedName>
    <definedName name="GARAB" localSheetId="3">[3]DAT2!#REF!</definedName>
    <definedName name="GARAB" localSheetId="4">[4]DAT2!#REF!</definedName>
    <definedName name="GARAB" localSheetId="5">[5]DAT2!#REF!</definedName>
    <definedName name="GARAB" localSheetId="6">[6]DAT2!#REF!</definedName>
    <definedName name="GARAB" localSheetId="7">[7]DAT2!#REF!</definedName>
    <definedName name="GARAB" localSheetId="8">[8]DAT2!#REF!</definedName>
    <definedName name="GARAB" localSheetId="9">[9]DAT2!#REF!</definedName>
    <definedName name="GARAB" localSheetId="10">[10]DAT2!#REF!</definedName>
    <definedName name="GARAB" localSheetId="11">[11]DAT2!#REF!</definedName>
    <definedName name="GARAB">[12]DAT2!#REF!</definedName>
    <definedName name="GOIC" localSheetId="1">[1]DAT2!#REF!</definedName>
    <definedName name="GOIC" localSheetId="2">[2]DAT2!#REF!</definedName>
    <definedName name="GOIC" localSheetId="3">[3]DAT2!#REF!</definedName>
    <definedName name="GOIC" localSheetId="4">[4]DAT2!#REF!</definedName>
    <definedName name="GOIC" localSheetId="5">[5]DAT2!#REF!</definedName>
    <definedName name="GOIC" localSheetId="6">[6]DAT2!#REF!</definedName>
    <definedName name="GOIC" localSheetId="7">[7]DAT2!#REF!</definedName>
    <definedName name="GOIC" localSheetId="8">[8]DAT2!#REF!</definedName>
    <definedName name="GOIC" localSheetId="9">[9]DAT2!#REF!</definedName>
    <definedName name="GOIC" localSheetId="10">[10]DAT2!#REF!</definedName>
    <definedName name="GOIC" localSheetId="11">[11]DAT2!#REF!</definedName>
    <definedName name="GOIC">[12]DAT2!#REF!</definedName>
    <definedName name="GOLF" localSheetId="1">[1]DAT2!#REF!</definedName>
    <definedName name="GOLF" localSheetId="2">[2]DAT2!#REF!</definedName>
    <definedName name="GOLF" localSheetId="3">[3]DAT2!#REF!</definedName>
    <definedName name="GOLF" localSheetId="4">[4]DAT2!#REF!</definedName>
    <definedName name="GOLF" localSheetId="5">[5]DAT2!#REF!</definedName>
    <definedName name="GOLF" localSheetId="6">[6]DAT2!#REF!</definedName>
    <definedName name="GOLF" localSheetId="7">[7]DAT2!#REF!</definedName>
    <definedName name="GOLF" localSheetId="8">[8]DAT2!#REF!</definedName>
    <definedName name="GOLF" localSheetId="9">[9]DAT2!#REF!</definedName>
    <definedName name="GOLF" localSheetId="10">[10]DAT2!#REF!</definedName>
    <definedName name="GOLF" localSheetId="11">[11]DAT2!#REF!</definedName>
    <definedName name="GOLF">[12]DAT2!#REF!</definedName>
    <definedName name="GREC" localSheetId="1">[1]DAT2!#REF!</definedName>
    <definedName name="GREC" localSheetId="2">[2]DAT2!#REF!</definedName>
    <definedName name="GREC" localSheetId="3">[3]DAT2!#REF!</definedName>
    <definedName name="GREC" localSheetId="4">[4]DAT2!#REF!</definedName>
    <definedName name="GREC" localSheetId="5">[5]DAT2!#REF!</definedName>
    <definedName name="GREC" localSheetId="6">[6]DAT2!#REF!</definedName>
    <definedName name="GREC" localSheetId="7">[7]DAT2!#REF!</definedName>
    <definedName name="GREC" localSheetId="8">[8]DAT2!#REF!</definedName>
    <definedName name="GREC" localSheetId="9">[9]DAT2!#REF!</definedName>
    <definedName name="GREC" localSheetId="10">[10]DAT2!#REF!</definedName>
    <definedName name="GREC" localSheetId="11">[11]DAT2!#REF!</definedName>
    <definedName name="GREC">[12]DAT2!#REF!</definedName>
    <definedName name="GUAC" localSheetId="1">[1]DAT2!#REF!</definedName>
    <definedName name="GUAC" localSheetId="2">[2]DAT2!#REF!</definedName>
    <definedName name="GUAC" localSheetId="3">[3]DAT2!#REF!</definedName>
    <definedName name="GUAC" localSheetId="4">[4]DAT2!#REF!</definedName>
    <definedName name="GUAC" localSheetId="5">[5]DAT2!#REF!</definedName>
    <definedName name="GUAC" localSheetId="6">[6]DAT2!#REF!</definedName>
    <definedName name="GUAC" localSheetId="7">[7]DAT2!#REF!</definedName>
    <definedName name="GUAC" localSheetId="8">[8]DAT2!#REF!</definedName>
    <definedName name="GUAC" localSheetId="9">[9]DAT2!#REF!</definedName>
    <definedName name="GUAC" localSheetId="10">[10]DAT2!#REF!</definedName>
    <definedName name="GUAC" localSheetId="11">[11]DAT2!#REF!</definedName>
    <definedName name="GUAC">[12]DAT2!#REF!</definedName>
    <definedName name="GUATU" localSheetId="1">[1]DAT2!#REF!</definedName>
    <definedName name="GUATU" localSheetId="2">[2]DAT2!#REF!</definedName>
    <definedName name="GUATU" localSheetId="3">[3]DAT2!#REF!</definedName>
    <definedName name="GUATU" localSheetId="4">[4]DAT2!#REF!</definedName>
    <definedName name="GUATU" localSheetId="5">[5]DAT2!#REF!</definedName>
    <definedName name="GUATU" localSheetId="6">[6]DAT2!#REF!</definedName>
    <definedName name="GUATU" localSheetId="7">[7]DAT2!#REF!</definedName>
    <definedName name="GUATU" localSheetId="8">[8]DAT2!#REF!</definedName>
    <definedName name="GUATU" localSheetId="9">[9]DAT2!#REF!</definedName>
    <definedName name="GUATU" localSheetId="10">[10]DAT2!#REF!</definedName>
    <definedName name="GUATU" localSheetId="11">[11]DAT2!#REF!</definedName>
    <definedName name="GUATU">[12]DAT2!#REF!</definedName>
    <definedName name="HERED" localSheetId="1">[1]DAT2!#REF!</definedName>
    <definedName name="HERED" localSheetId="2">[2]DAT2!#REF!</definedName>
    <definedName name="HERED" localSheetId="3">[3]DAT2!#REF!</definedName>
    <definedName name="HERED" localSheetId="4">[4]DAT2!#REF!</definedName>
    <definedName name="HERED" localSheetId="5">[5]DAT2!#REF!</definedName>
    <definedName name="HERED" localSheetId="6">[6]DAT2!#REF!</definedName>
    <definedName name="HERED" localSheetId="7">[7]DAT2!#REF!</definedName>
    <definedName name="HERED" localSheetId="8">[8]DAT2!#REF!</definedName>
    <definedName name="HERED" localSheetId="9">[9]DAT2!#REF!</definedName>
    <definedName name="HERED" localSheetId="10">[10]DAT2!#REF!</definedName>
    <definedName name="HERED" localSheetId="11">[11]DAT2!#REF!</definedName>
    <definedName name="HERED">[12]DAT2!#REF!</definedName>
    <definedName name="HOJA" localSheetId="1">[1]DAT2!#REF!</definedName>
    <definedName name="HOJA" localSheetId="2">[2]DAT2!#REF!</definedName>
    <definedName name="HOJA" localSheetId="3">[3]DAT2!#REF!</definedName>
    <definedName name="HOJA" localSheetId="4">[4]DAT2!#REF!</definedName>
    <definedName name="HOJA" localSheetId="5">[5]DAT2!#REF!</definedName>
    <definedName name="HOJA" localSheetId="6">[6]DAT2!#REF!</definedName>
    <definedName name="HOJA" localSheetId="7">[7]DAT2!#REF!</definedName>
    <definedName name="HOJA" localSheetId="8">[8]DAT2!#REF!</definedName>
    <definedName name="HOJA" localSheetId="9">[9]DAT2!#REF!</definedName>
    <definedName name="HOJA" localSheetId="10">[10]DAT2!#REF!</definedName>
    <definedName name="HOJA" localSheetId="11">[11]DAT2!#REF!</definedName>
    <definedName name="HOJA">[12]DAT2!#REF!</definedName>
    <definedName name="JE">[12]!Tabla103[#All]</definedName>
    <definedName name="jes">[12]!Tabla103[#All]</definedName>
    <definedName name="JIME" localSheetId="1">[1]DAT2!#REF!</definedName>
    <definedName name="JIME" localSheetId="2">[2]DAT2!#REF!</definedName>
    <definedName name="JIME" localSheetId="3">[3]DAT2!#REF!</definedName>
    <definedName name="JIME" localSheetId="4">[4]DAT2!#REF!</definedName>
    <definedName name="JIME" localSheetId="5">[5]DAT2!#REF!</definedName>
    <definedName name="JIME" localSheetId="6">[6]DAT2!#REF!</definedName>
    <definedName name="JIME" localSheetId="7">[7]DAT2!#REF!</definedName>
    <definedName name="JIME" localSheetId="8">[8]DAT2!#REF!</definedName>
    <definedName name="JIME" localSheetId="9">[9]DAT2!#REF!</definedName>
    <definedName name="JIME" localSheetId="10">[10]DAT2!#REF!</definedName>
    <definedName name="JIME" localSheetId="11">[11]DAT2!#REF!</definedName>
    <definedName name="JIME">[12]DAT2!#REF!</definedName>
    <definedName name="LACRU" localSheetId="1">[1]DAT2!#REF!</definedName>
    <definedName name="LACRU" localSheetId="2">[2]DAT2!#REF!</definedName>
    <definedName name="LACRU" localSheetId="3">[3]DAT2!#REF!</definedName>
    <definedName name="LACRU" localSheetId="4">[4]DAT2!#REF!</definedName>
    <definedName name="LACRU" localSheetId="5">[5]DAT2!#REF!</definedName>
    <definedName name="LACRU" localSheetId="6">[6]DAT2!#REF!</definedName>
    <definedName name="LACRU" localSheetId="7">[7]DAT2!#REF!</definedName>
    <definedName name="LACRU" localSheetId="8">[8]DAT2!#REF!</definedName>
    <definedName name="LACRU" localSheetId="9">[9]DAT2!#REF!</definedName>
    <definedName name="LACRU" localSheetId="10">[10]DAT2!#REF!</definedName>
    <definedName name="LACRU" localSheetId="11">[11]DAT2!#REF!</definedName>
    <definedName name="LACRU">[12]DAT2!#REF!</definedName>
    <definedName name="LAUN" localSheetId="1">[1]DAT2!#REF!</definedName>
    <definedName name="LAUN" localSheetId="2">[2]DAT2!#REF!</definedName>
    <definedName name="LAUN" localSheetId="3">[3]DAT2!#REF!</definedName>
    <definedName name="LAUN" localSheetId="4">[4]DAT2!#REF!</definedName>
    <definedName name="LAUN" localSheetId="5">[5]DAT2!#REF!</definedName>
    <definedName name="LAUN" localSheetId="6">[6]DAT2!#REF!</definedName>
    <definedName name="LAUN" localSheetId="7">[7]DAT2!#REF!</definedName>
    <definedName name="LAUN" localSheetId="8">[8]DAT2!#REF!</definedName>
    <definedName name="LAUN" localSheetId="9">[9]DAT2!#REF!</definedName>
    <definedName name="LAUN" localSheetId="10">[10]DAT2!#REF!</definedName>
    <definedName name="LAUN" localSheetId="11">[11]DAT2!#REF!</definedName>
    <definedName name="LAUN">[12]DAT2!#REF!</definedName>
    <definedName name="LEO" localSheetId="1">[1]DAT1!#REF!</definedName>
    <definedName name="LEO" localSheetId="2">[2]DAT1!#REF!</definedName>
    <definedName name="LEO" localSheetId="3">[3]DAT1!#REF!</definedName>
    <definedName name="LEO" localSheetId="4">[4]DAT1!#REF!</definedName>
    <definedName name="LEO" localSheetId="5">[5]DAT1!#REF!</definedName>
    <definedName name="LEO" localSheetId="6">[6]DAT1!#REF!</definedName>
    <definedName name="LEO" localSheetId="7">[7]DAT1!#REF!</definedName>
    <definedName name="LEO" localSheetId="8">[8]DAT1!#REF!</definedName>
    <definedName name="LEO" localSheetId="9">[9]DAT1!#REF!</definedName>
    <definedName name="LEO" localSheetId="10">[10]DAT1!#REF!</definedName>
    <definedName name="LEO" localSheetId="11">[11]DAT1!#REF!</definedName>
    <definedName name="LEO">[12]DAT1!#REF!</definedName>
    <definedName name="LIB" localSheetId="1">[1]DAT2!#REF!</definedName>
    <definedName name="LIB" localSheetId="2">[2]DAT2!#REF!</definedName>
    <definedName name="LIB" localSheetId="3">[3]DAT2!#REF!</definedName>
    <definedName name="LIB" localSheetId="4">[4]DAT2!#REF!</definedName>
    <definedName name="LIB" localSheetId="5">[5]DAT2!#REF!</definedName>
    <definedName name="LIB" localSheetId="6">[6]DAT2!#REF!</definedName>
    <definedName name="LIB" localSheetId="7">[7]DAT2!#REF!</definedName>
    <definedName name="LIB" localSheetId="8">[8]DAT2!#REF!</definedName>
    <definedName name="LIB" localSheetId="9">[9]DAT2!#REF!</definedName>
    <definedName name="LIB" localSheetId="10">[10]DAT2!#REF!</definedName>
    <definedName name="LIB" localSheetId="11">[11]DAT2!#REF!</definedName>
    <definedName name="LIB">[12]DAT2!#REF!</definedName>
    <definedName name="LIM" localSheetId="1">[1]DAT2!#REF!</definedName>
    <definedName name="LIM" localSheetId="2">[2]DAT2!#REF!</definedName>
    <definedName name="LIM" localSheetId="3">[3]DAT2!#REF!</definedName>
    <definedName name="LIM" localSheetId="4">[4]DAT2!#REF!</definedName>
    <definedName name="LIM" localSheetId="5">[5]DAT2!#REF!</definedName>
    <definedName name="LIM" localSheetId="6">[6]DAT2!#REF!</definedName>
    <definedName name="LIM" localSheetId="7">[7]DAT2!#REF!</definedName>
    <definedName name="LIM" localSheetId="8">[8]DAT2!#REF!</definedName>
    <definedName name="LIM" localSheetId="9">[9]DAT2!#REF!</definedName>
    <definedName name="LIM" localSheetId="10">[10]DAT2!#REF!</definedName>
    <definedName name="LIM" localSheetId="11">[11]DAT2!#REF!</definedName>
    <definedName name="LIM">[12]DAT2!#REF!</definedName>
    <definedName name="LOSCHI" localSheetId="1">[1]DAT2!#REF!</definedName>
    <definedName name="LOSCHI" localSheetId="2">[2]DAT2!#REF!</definedName>
    <definedName name="LOSCHI" localSheetId="3">[3]DAT2!#REF!</definedName>
    <definedName name="LOSCHI" localSheetId="4">[4]DAT2!#REF!</definedName>
    <definedName name="LOSCHI" localSheetId="5">[5]DAT2!#REF!</definedName>
    <definedName name="LOSCHI" localSheetId="6">[6]DAT2!#REF!</definedName>
    <definedName name="LOSCHI" localSheetId="7">[7]DAT2!#REF!</definedName>
    <definedName name="LOSCHI" localSheetId="8">[8]DAT2!#REF!</definedName>
    <definedName name="LOSCHI" localSheetId="9">[9]DAT2!#REF!</definedName>
    <definedName name="LOSCHI" localSheetId="10">[10]DAT2!#REF!</definedName>
    <definedName name="LOSCHI" localSheetId="11">[11]DAT2!#REF!</definedName>
    <definedName name="LOSCHI">[12]DAT2!#REF!</definedName>
    <definedName name="MAT" localSheetId="1">[1]DAT2!#REF!</definedName>
    <definedName name="MAT" localSheetId="2">[2]DAT2!#REF!</definedName>
    <definedName name="MAT" localSheetId="3">[3]DAT2!#REF!</definedName>
    <definedName name="MAT" localSheetId="4">[4]DAT2!#REF!</definedName>
    <definedName name="MAT" localSheetId="5">[5]DAT2!#REF!</definedName>
    <definedName name="MAT" localSheetId="6">[6]DAT2!#REF!</definedName>
    <definedName name="MAT" localSheetId="7">[7]DAT2!#REF!</definedName>
    <definedName name="MAT" localSheetId="8">[8]DAT2!#REF!</definedName>
    <definedName name="MAT" localSheetId="9">[9]DAT2!#REF!</definedName>
    <definedName name="MAT" localSheetId="10">[10]DAT2!#REF!</definedName>
    <definedName name="MAT" localSheetId="11">[11]DAT2!#REF!</definedName>
    <definedName name="MAT">[12]DAT2!#REF!</definedName>
    <definedName name="MONTEV" localSheetId="1">[1]DAT2!#REF!</definedName>
    <definedName name="MONTEV" localSheetId="2">[2]DAT2!#REF!</definedName>
    <definedName name="MONTEV" localSheetId="3">[3]DAT2!#REF!</definedName>
    <definedName name="MONTEV" localSheetId="4">[4]DAT2!#REF!</definedName>
    <definedName name="MONTEV" localSheetId="5">[5]DAT2!#REF!</definedName>
    <definedName name="MONTEV" localSheetId="6">[6]DAT2!#REF!</definedName>
    <definedName name="MONTEV" localSheetId="7">[7]DAT2!#REF!</definedName>
    <definedName name="MONTEV" localSheetId="8">[8]DAT2!#REF!</definedName>
    <definedName name="MONTEV" localSheetId="9">[9]DAT2!#REF!</definedName>
    <definedName name="MONTEV" localSheetId="10">[10]DAT2!#REF!</definedName>
    <definedName name="MONTEV" localSheetId="11">[11]DAT2!#REF!</definedName>
    <definedName name="MONTEV">[12]DAT2!#REF!</definedName>
    <definedName name="MONTOC" localSheetId="1">[1]DAT2!#REF!</definedName>
    <definedName name="MONTOC" localSheetId="2">[2]DAT2!#REF!</definedName>
    <definedName name="MONTOC" localSheetId="3">[3]DAT2!#REF!</definedName>
    <definedName name="MONTOC" localSheetId="4">[4]DAT2!#REF!</definedName>
    <definedName name="MONTOC" localSheetId="5">[5]DAT2!#REF!</definedName>
    <definedName name="MONTOC" localSheetId="6">[6]DAT2!#REF!</definedName>
    <definedName name="MONTOC" localSheetId="7">[7]DAT2!#REF!</definedName>
    <definedName name="MONTOC" localSheetId="8">[8]DAT2!#REF!</definedName>
    <definedName name="MONTOC" localSheetId="9">[9]DAT2!#REF!</definedName>
    <definedName name="MONTOC" localSheetId="10">[10]DAT2!#REF!</definedName>
    <definedName name="MONTOC" localSheetId="11">[11]DAT2!#REF!</definedName>
    <definedName name="MONTOC">[12]DAT2!#REF!</definedName>
    <definedName name="MONTOR" localSheetId="1">[1]DAT2!#REF!</definedName>
    <definedName name="MONTOR" localSheetId="2">[2]DAT2!#REF!</definedName>
    <definedName name="MONTOR" localSheetId="3">[3]DAT2!#REF!</definedName>
    <definedName name="MONTOR" localSheetId="4">[4]DAT2!#REF!</definedName>
    <definedName name="MONTOR" localSheetId="5">[5]DAT2!#REF!</definedName>
    <definedName name="MONTOR" localSheetId="6">[6]DAT2!#REF!</definedName>
    <definedName name="MONTOR" localSheetId="7">[7]DAT2!#REF!</definedName>
    <definedName name="MONTOR" localSheetId="8">[8]DAT2!#REF!</definedName>
    <definedName name="MONTOR" localSheetId="9">[9]DAT2!#REF!</definedName>
    <definedName name="MONTOR" localSheetId="10">[10]DAT2!#REF!</definedName>
    <definedName name="MONTOR" localSheetId="11">[11]DAT2!#REF!</definedName>
    <definedName name="MONTOR">[12]DAT2!#REF!</definedName>
    <definedName name="MOR" localSheetId="1">[1]DAT2!#REF!</definedName>
    <definedName name="MOR" localSheetId="2">[2]DAT2!#REF!</definedName>
    <definedName name="MOR" localSheetId="3">[3]DAT2!#REF!</definedName>
    <definedName name="MOR" localSheetId="4">[4]DAT2!#REF!</definedName>
    <definedName name="MOR" localSheetId="5">[5]DAT2!#REF!</definedName>
    <definedName name="MOR" localSheetId="6">[6]DAT2!#REF!</definedName>
    <definedName name="MOR" localSheetId="7">[7]DAT2!#REF!</definedName>
    <definedName name="MOR" localSheetId="8">[8]DAT2!#REF!</definedName>
    <definedName name="MOR" localSheetId="9">[9]DAT2!#REF!</definedName>
    <definedName name="MOR" localSheetId="10">[10]DAT2!#REF!</definedName>
    <definedName name="MOR" localSheetId="11">[11]DAT2!#REF!</definedName>
    <definedName name="MOR">[12]DAT2!#REF!</definedName>
    <definedName name="MORAV" localSheetId="1">[1]DAT2!#REF!</definedName>
    <definedName name="MORAV" localSheetId="2">[2]DAT2!#REF!</definedName>
    <definedName name="MORAV" localSheetId="3">[3]DAT2!#REF!</definedName>
    <definedName name="MORAV" localSheetId="4">[4]DAT2!#REF!</definedName>
    <definedName name="MORAV" localSheetId="5">[5]DAT2!#REF!</definedName>
    <definedName name="MORAV" localSheetId="6">[6]DAT2!#REF!</definedName>
    <definedName name="MORAV" localSheetId="7">[7]DAT2!#REF!</definedName>
    <definedName name="MORAV" localSheetId="8">[8]DAT2!#REF!</definedName>
    <definedName name="MORAV" localSheetId="9">[9]DAT2!#REF!</definedName>
    <definedName name="MORAV" localSheetId="10">[10]DAT2!#REF!</definedName>
    <definedName name="MORAV" localSheetId="11">[11]DAT2!#REF!</definedName>
    <definedName name="MORAV">[12]DAT2!#REF!</definedName>
    <definedName name="NAND" localSheetId="1">[1]DAT2!#REF!</definedName>
    <definedName name="NAND" localSheetId="2">[2]DAT2!#REF!</definedName>
    <definedName name="NAND" localSheetId="3">[3]DAT2!#REF!</definedName>
    <definedName name="NAND" localSheetId="4">[4]DAT2!#REF!</definedName>
    <definedName name="NAND" localSheetId="5">[5]DAT2!#REF!</definedName>
    <definedName name="NAND" localSheetId="6">[6]DAT2!#REF!</definedName>
    <definedName name="NAND" localSheetId="7">[7]DAT2!#REF!</definedName>
    <definedName name="NAND" localSheetId="8">[8]DAT2!#REF!</definedName>
    <definedName name="NAND" localSheetId="9">[9]DAT2!#REF!</definedName>
    <definedName name="NAND" localSheetId="10">[10]DAT2!#REF!</definedName>
    <definedName name="NAND" localSheetId="11">[11]DAT2!#REF!</definedName>
    <definedName name="NAND">[12]DAT2!#REF!</definedName>
    <definedName name="NARA" localSheetId="1">[1]DAT2!#REF!</definedName>
    <definedName name="NARA" localSheetId="2">[2]DAT2!#REF!</definedName>
    <definedName name="NARA" localSheetId="3">[3]DAT2!#REF!</definedName>
    <definedName name="NARA" localSheetId="4">[4]DAT2!#REF!</definedName>
    <definedName name="NARA" localSheetId="5">[5]DAT2!#REF!</definedName>
    <definedName name="NARA" localSheetId="6">[6]DAT2!#REF!</definedName>
    <definedName name="NARA" localSheetId="7">[7]DAT2!#REF!</definedName>
    <definedName name="NARA" localSheetId="8">[8]DAT2!#REF!</definedName>
    <definedName name="NARA" localSheetId="9">[9]DAT2!#REF!</definedName>
    <definedName name="NARA" localSheetId="10">[10]DAT2!#REF!</definedName>
    <definedName name="NARA" localSheetId="11">[11]DAT2!#REF!</definedName>
    <definedName name="NARA">[12]DAT2!#REF!</definedName>
    <definedName name="NICO" localSheetId="1">[1]DAT2!#REF!</definedName>
    <definedName name="NICO" localSheetId="2">[2]DAT2!#REF!</definedName>
    <definedName name="NICO" localSheetId="3">[3]DAT2!#REF!</definedName>
    <definedName name="NICO" localSheetId="4">[4]DAT2!#REF!</definedName>
    <definedName name="NICO" localSheetId="5">[5]DAT2!#REF!</definedName>
    <definedName name="NICO" localSheetId="6">[6]DAT2!#REF!</definedName>
    <definedName name="NICO" localSheetId="7">[7]DAT2!#REF!</definedName>
    <definedName name="NICO" localSheetId="8">[8]DAT2!#REF!</definedName>
    <definedName name="NICO" localSheetId="9">[9]DAT2!#REF!</definedName>
    <definedName name="NICO" localSheetId="10">[10]DAT2!#REF!</definedName>
    <definedName name="NICO" localSheetId="11">[11]DAT2!#REF!</definedName>
    <definedName name="NICO">[12]DAT2!#REF!</definedName>
    <definedName name="OREAMU" localSheetId="1">[1]DAT2!#REF!</definedName>
    <definedName name="OREAMU" localSheetId="2">[2]DAT2!#REF!</definedName>
    <definedName name="OREAMU" localSheetId="3">[3]DAT2!#REF!</definedName>
    <definedName name="OREAMU" localSheetId="4">[4]DAT2!#REF!</definedName>
    <definedName name="OREAMU" localSheetId="5">[5]DAT2!#REF!</definedName>
    <definedName name="OREAMU" localSheetId="6">[6]DAT2!#REF!</definedName>
    <definedName name="OREAMU" localSheetId="7">[7]DAT2!#REF!</definedName>
    <definedName name="OREAMU" localSheetId="8">[8]DAT2!#REF!</definedName>
    <definedName name="OREAMU" localSheetId="9">[9]DAT2!#REF!</definedName>
    <definedName name="OREAMU" localSheetId="10">[10]DAT2!#REF!</definedName>
    <definedName name="OREAMU" localSheetId="11">[11]DAT2!#REF!</definedName>
    <definedName name="OREAMU">[12]DAT2!#REF!</definedName>
    <definedName name="OROT" localSheetId="1">[1]DAT2!#REF!</definedName>
    <definedName name="OROT" localSheetId="2">[2]DAT2!#REF!</definedName>
    <definedName name="OROT" localSheetId="3">[3]DAT2!#REF!</definedName>
    <definedName name="OROT" localSheetId="4">[4]DAT2!#REF!</definedName>
    <definedName name="OROT" localSheetId="5">[5]DAT2!#REF!</definedName>
    <definedName name="OROT" localSheetId="6">[6]DAT2!#REF!</definedName>
    <definedName name="OROT" localSheetId="7">[7]DAT2!#REF!</definedName>
    <definedName name="OROT" localSheetId="8">[8]DAT2!#REF!</definedName>
    <definedName name="OROT" localSheetId="9">[9]DAT2!#REF!</definedName>
    <definedName name="OROT" localSheetId="10">[10]DAT2!#REF!</definedName>
    <definedName name="OROT" localSheetId="11">[11]DAT2!#REF!</definedName>
    <definedName name="OROT">[12]DAT2!#REF!</definedName>
    <definedName name="OSA" localSheetId="1">[1]DAT2!#REF!</definedName>
    <definedName name="OSA" localSheetId="2">[2]DAT2!#REF!</definedName>
    <definedName name="OSA" localSheetId="3">[3]DAT2!#REF!</definedName>
    <definedName name="OSA" localSheetId="4">[4]DAT2!#REF!</definedName>
    <definedName name="OSA" localSheetId="5">[5]DAT2!#REF!</definedName>
    <definedName name="OSA" localSheetId="6">[6]DAT2!#REF!</definedName>
    <definedName name="OSA" localSheetId="7">[7]DAT2!#REF!</definedName>
    <definedName name="OSA" localSheetId="8">[8]DAT2!#REF!</definedName>
    <definedName name="OSA" localSheetId="9">[9]DAT2!#REF!</definedName>
    <definedName name="OSA" localSheetId="10">[10]DAT2!#REF!</definedName>
    <definedName name="OSA" localSheetId="11">[11]DAT2!#REF!</definedName>
    <definedName name="OSA">[12]DAT2!#REF!</definedName>
    <definedName name="PALMA" localSheetId="1">[1]DAT2!#REF!</definedName>
    <definedName name="PALMA" localSheetId="2">[2]DAT2!#REF!</definedName>
    <definedName name="PALMA" localSheetId="3">[3]DAT2!#REF!</definedName>
    <definedName name="PALMA" localSheetId="4">[4]DAT2!#REF!</definedName>
    <definedName name="PALMA" localSheetId="5">[5]DAT2!#REF!</definedName>
    <definedName name="PALMA" localSheetId="6">[6]DAT2!#REF!</definedName>
    <definedName name="PALMA" localSheetId="7">[7]DAT2!#REF!</definedName>
    <definedName name="PALMA" localSheetId="8">[8]DAT2!#REF!</definedName>
    <definedName name="PALMA" localSheetId="9">[9]DAT2!#REF!</definedName>
    <definedName name="PALMA" localSheetId="10">[10]DAT2!#REF!</definedName>
    <definedName name="PALMA" localSheetId="11">[11]DAT2!#REF!</definedName>
    <definedName name="PALMA">[12]DAT2!#REF!</definedName>
    <definedName name="PARA" localSheetId="1">[1]DAT2!#REF!</definedName>
    <definedName name="PARA" localSheetId="2">[2]DAT2!#REF!</definedName>
    <definedName name="PARA" localSheetId="3">[3]DAT2!#REF!</definedName>
    <definedName name="PARA" localSheetId="4">[4]DAT2!#REF!</definedName>
    <definedName name="PARA" localSheetId="5">[5]DAT2!#REF!</definedName>
    <definedName name="PARA" localSheetId="6">[6]DAT2!#REF!</definedName>
    <definedName name="PARA" localSheetId="7">[7]DAT2!#REF!</definedName>
    <definedName name="PARA" localSheetId="8">[8]DAT2!#REF!</definedName>
    <definedName name="PARA" localSheetId="9">[9]DAT2!#REF!</definedName>
    <definedName name="PARA" localSheetId="10">[10]DAT2!#REF!</definedName>
    <definedName name="PARA" localSheetId="11">[11]DAT2!#REF!</definedName>
    <definedName name="PARA">[12]DAT2!#REF!</definedName>
    <definedName name="PARR" localSheetId="1">[1]DAT2!#REF!</definedName>
    <definedName name="PARR" localSheetId="2">[2]DAT2!#REF!</definedName>
    <definedName name="PARR" localSheetId="3">[3]DAT2!#REF!</definedName>
    <definedName name="PARR" localSheetId="4">[4]DAT2!#REF!</definedName>
    <definedName name="PARR" localSheetId="5">[5]DAT2!#REF!</definedName>
    <definedName name="PARR" localSheetId="6">[6]DAT2!#REF!</definedName>
    <definedName name="PARR" localSheetId="7">[7]DAT2!#REF!</definedName>
    <definedName name="PARR" localSheetId="8">[8]DAT2!#REF!</definedName>
    <definedName name="PARR" localSheetId="9">[9]DAT2!#REF!</definedName>
    <definedName name="PARR" localSheetId="10">[10]DAT2!#REF!</definedName>
    <definedName name="PARR" localSheetId="11">[11]DAT2!#REF!</definedName>
    <definedName name="PARR">[12]DAT2!#REF!</definedName>
    <definedName name="POA" localSheetId="1">[1]DAT2!#REF!</definedName>
    <definedName name="POA" localSheetId="2">[2]DAT2!#REF!</definedName>
    <definedName name="POA" localSheetId="3">[3]DAT2!#REF!</definedName>
    <definedName name="POA" localSheetId="4">[4]DAT2!#REF!</definedName>
    <definedName name="POA" localSheetId="5">[5]DAT2!#REF!</definedName>
    <definedName name="POA" localSheetId="6">[6]DAT2!#REF!</definedName>
    <definedName name="POA" localSheetId="7">[7]DAT2!#REF!</definedName>
    <definedName name="POA" localSheetId="8">[8]DAT2!#REF!</definedName>
    <definedName name="POA" localSheetId="9">[9]DAT2!#REF!</definedName>
    <definedName name="POA" localSheetId="10">[10]DAT2!#REF!</definedName>
    <definedName name="POA" localSheetId="11">[11]DAT2!#REF!</definedName>
    <definedName name="POA">[12]DAT2!#REF!</definedName>
    <definedName name="POCOC" localSheetId="1">[1]DAT2!#REF!</definedName>
    <definedName name="POCOC" localSheetId="2">[2]DAT2!#REF!</definedName>
    <definedName name="POCOC" localSheetId="3">[3]DAT2!#REF!</definedName>
    <definedName name="POCOC" localSheetId="4">[4]DAT2!#REF!</definedName>
    <definedName name="POCOC" localSheetId="5">[5]DAT2!#REF!</definedName>
    <definedName name="POCOC" localSheetId="6">[6]DAT2!#REF!</definedName>
    <definedName name="POCOC" localSheetId="7">[7]DAT2!#REF!</definedName>
    <definedName name="POCOC" localSheetId="8">[8]DAT2!#REF!</definedName>
    <definedName name="POCOC" localSheetId="9">[9]DAT2!#REF!</definedName>
    <definedName name="POCOC" localSheetId="10">[10]DAT2!#REF!</definedName>
    <definedName name="POCOC" localSheetId="11">[11]DAT2!#REF!</definedName>
    <definedName name="POCOC">[12]DAT2!#REF!</definedName>
    <definedName name="PUERTOJ" localSheetId="1">[1]DAT2!#REF!</definedName>
    <definedName name="PUERTOJ" localSheetId="2">[2]DAT2!#REF!</definedName>
    <definedName name="PUERTOJ" localSheetId="3">[3]DAT2!#REF!</definedName>
    <definedName name="PUERTOJ" localSheetId="4">[4]DAT2!#REF!</definedName>
    <definedName name="PUERTOJ" localSheetId="5">[5]DAT2!#REF!</definedName>
    <definedName name="PUERTOJ" localSheetId="6">[6]DAT2!#REF!</definedName>
    <definedName name="PUERTOJ" localSheetId="7">[7]DAT2!#REF!</definedName>
    <definedName name="PUERTOJ" localSheetId="8">[8]DAT2!#REF!</definedName>
    <definedName name="PUERTOJ" localSheetId="9">[9]DAT2!#REF!</definedName>
    <definedName name="PUERTOJ" localSheetId="10">[10]DAT2!#REF!</definedName>
    <definedName name="PUERTOJ" localSheetId="11">[11]DAT2!#REF!</definedName>
    <definedName name="PUERTOJ">[12]DAT2!#REF!</definedName>
    <definedName name="PUNTAR" localSheetId="1">[1]DAT2!#REF!</definedName>
    <definedName name="PUNTAR" localSheetId="2">[2]DAT2!#REF!</definedName>
    <definedName name="PUNTAR" localSheetId="3">[3]DAT2!#REF!</definedName>
    <definedName name="PUNTAR" localSheetId="4">[4]DAT2!#REF!</definedName>
    <definedName name="PUNTAR" localSheetId="5">[5]DAT2!#REF!</definedName>
    <definedName name="PUNTAR" localSheetId="6">[6]DAT2!#REF!</definedName>
    <definedName name="PUNTAR" localSheetId="7">[7]DAT2!#REF!</definedName>
    <definedName name="PUNTAR" localSheetId="8">[8]DAT2!#REF!</definedName>
    <definedName name="PUNTAR" localSheetId="9">[9]DAT2!#REF!</definedName>
    <definedName name="PUNTAR" localSheetId="10">[10]DAT2!#REF!</definedName>
    <definedName name="PUNTAR" localSheetId="11">[11]DAT2!#REF!</definedName>
    <definedName name="PUNTAR">[12]DAT2!#REF!</definedName>
    <definedName name="PURIS" localSheetId="1">[1]DAT2!#REF!</definedName>
    <definedName name="PURIS" localSheetId="2">[2]DAT2!#REF!</definedName>
    <definedName name="PURIS" localSheetId="3">[3]DAT2!#REF!</definedName>
    <definedName name="PURIS" localSheetId="4">[4]DAT2!#REF!</definedName>
    <definedName name="PURIS" localSheetId="5">[5]DAT2!#REF!</definedName>
    <definedName name="PURIS" localSheetId="6">[6]DAT2!#REF!</definedName>
    <definedName name="PURIS" localSheetId="7">[7]DAT2!#REF!</definedName>
    <definedName name="PURIS" localSheetId="8">[8]DAT2!#REF!</definedName>
    <definedName name="PURIS" localSheetId="9">[9]DAT2!#REF!</definedName>
    <definedName name="PURIS" localSheetId="10">[10]DAT2!#REF!</definedName>
    <definedName name="PURIS" localSheetId="11">[11]DAT2!#REF!</definedName>
    <definedName name="PURIS">[12]DAT2!#REF!</definedName>
    <definedName name="PZ" localSheetId="1">[1]DAT2!#REF!</definedName>
    <definedName name="PZ" localSheetId="2">[2]DAT2!#REF!</definedName>
    <definedName name="PZ" localSheetId="3">[3]DAT2!#REF!</definedName>
    <definedName name="PZ" localSheetId="4">[4]DAT2!#REF!</definedName>
    <definedName name="PZ" localSheetId="5">[5]DAT2!#REF!</definedName>
    <definedName name="PZ" localSheetId="6">[6]DAT2!#REF!</definedName>
    <definedName name="PZ" localSheetId="7">[7]DAT2!#REF!</definedName>
    <definedName name="PZ" localSheetId="8">[8]DAT2!#REF!</definedName>
    <definedName name="PZ" localSheetId="9">[9]DAT2!#REF!</definedName>
    <definedName name="PZ" localSheetId="10">[10]DAT2!#REF!</definedName>
    <definedName name="PZ" localSheetId="11">[11]DAT2!#REF!</definedName>
    <definedName name="PZ">[12]DAT2!#REF!</definedName>
    <definedName name="QUEP" localSheetId="1">[1]DAT2!#REF!</definedName>
    <definedName name="QUEP" localSheetId="2">[2]DAT2!#REF!</definedName>
    <definedName name="QUEP" localSheetId="3">[3]DAT2!#REF!</definedName>
    <definedName name="QUEP" localSheetId="4">[4]DAT2!#REF!</definedName>
    <definedName name="QUEP" localSheetId="5">[5]DAT2!#REF!</definedName>
    <definedName name="QUEP" localSheetId="6">[6]DAT2!#REF!</definedName>
    <definedName name="QUEP" localSheetId="7">[7]DAT2!#REF!</definedName>
    <definedName name="QUEP" localSheetId="8">[8]DAT2!#REF!</definedName>
    <definedName name="QUEP" localSheetId="9">[9]DAT2!#REF!</definedName>
    <definedName name="QUEP" localSheetId="10">[10]DAT2!#REF!</definedName>
    <definedName name="QUEP" localSheetId="11">[11]DAT2!#REF!</definedName>
    <definedName name="QUEP">[12]DAT2!#REF!</definedName>
    <definedName name="RIOCU" localSheetId="1">[1]DAT2!#REF!</definedName>
    <definedName name="RIOCU" localSheetId="2">[2]DAT2!#REF!</definedName>
    <definedName name="RIOCU" localSheetId="3">[3]DAT2!#REF!</definedName>
    <definedName name="RIOCU" localSheetId="4">[4]DAT2!#REF!</definedName>
    <definedName name="RIOCU" localSheetId="5">[5]DAT2!#REF!</definedName>
    <definedName name="RIOCU" localSheetId="6">[6]DAT2!#REF!</definedName>
    <definedName name="RIOCU" localSheetId="7">[7]DAT2!#REF!</definedName>
    <definedName name="RIOCU" localSheetId="8">[8]DAT2!#REF!</definedName>
    <definedName name="RIOCU" localSheetId="9">[9]DAT2!#REF!</definedName>
    <definedName name="RIOCU" localSheetId="10">[10]DAT2!#REF!</definedName>
    <definedName name="RIOCU" localSheetId="11">[11]DAT2!#REF!</definedName>
    <definedName name="RIOCU">[12]DAT2!#REF!</definedName>
    <definedName name="SANCAR" localSheetId="1">[1]DAT2!#REF!</definedName>
    <definedName name="SANCAR" localSheetId="2">[2]DAT2!#REF!</definedName>
    <definedName name="SANCAR" localSheetId="3">[3]DAT2!#REF!</definedName>
    <definedName name="SANCAR" localSheetId="4">[4]DAT2!#REF!</definedName>
    <definedName name="SANCAR" localSheetId="5">[5]DAT2!#REF!</definedName>
    <definedName name="SANCAR" localSheetId="6">[6]DAT2!#REF!</definedName>
    <definedName name="SANCAR" localSheetId="7">[7]DAT2!#REF!</definedName>
    <definedName name="SANCAR" localSheetId="8">[8]DAT2!#REF!</definedName>
    <definedName name="SANCAR" localSheetId="9">[9]DAT2!#REF!</definedName>
    <definedName name="SANCAR" localSheetId="10">[10]DAT2!#REF!</definedName>
    <definedName name="SANCAR" localSheetId="11">[11]DAT2!#REF!</definedName>
    <definedName name="SANCAR">[12]DAT2!#REF!</definedName>
    <definedName name="SANISI" localSheetId="1">[1]DAT2!#REF!</definedName>
    <definedName name="SANISI" localSheetId="2">[2]DAT2!#REF!</definedName>
    <definedName name="SANISI" localSheetId="3">[3]DAT2!#REF!</definedName>
    <definedName name="SANISI" localSheetId="4">[4]DAT2!#REF!</definedName>
    <definedName name="SANISI" localSheetId="5">[5]DAT2!#REF!</definedName>
    <definedName name="SANISI" localSheetId="6">[6]DAT2!#REF!</definedName>
    <definedName name="SANISI" localSheetId="7">[7]DAT2!#REF!</definedName>
    <definedName name="SANISI" localSheetId="8">[8]DAT2!#REF!</definedName>
    <definedName name="SANISI" localSheetId="9">[9]DAT2!#REF!</definedName>
    <definedName name="SANISI" localSheetId="10">[10]DAT2!#REF!</definedName>
    <definedName name="SANISI" localSheetId="11">[11]DAT2!#REF!</definedName>
    <definedName name="SANISI">[12]DAT2!#REF!</definedName>
    <definedName name="SANMAT" localSheetId="1">[1]DAT2!#REF!</definedName>
    <definedName name="SANMAT" localSheetId="2">[2]DAT2!#REF!</definedName>
    <definedName name="SANMAT" localSheetId="3">[3]DAT2!#REF!</definedName>
    <definedName name="SANMAT" localSheetId="4">[4]DAT2!#REF!</definedName>
    <definedName name="SANMAT" localSheetId="5">[5]DAT2!#REF!</definedName>
    <definedName name="SANMAT" localSheetId="6">[6]DAT2!#REF!</definedName>
    <definedName name="SANMAT" localSheetId="7">[7]DAT2!#REF!</definedName>
    <definedName name="SANMAT" localSheetId="8">[8]DAT2!#REF!</definedName>
    <definedName name="SANMAT" localSheetId="9">[9]DAT2!#REF!</definedName>
    <definedName name="SANMAT" localSheetId="10">[10]DAT2!#REF!</definedName>
    <definedName name="SANMAT" localSheetId="11">[11]DAT2!#REF!</definedName>
    <definedName name="SANMAT">[12]DAT2!#REF!</definedName>
    <definedName name="SANPA" localSheetId="1">[1]DAT2!#REF!</definedName>
    <definedName name="SANPA" localSheetId="2">[2]DAT2!#REF!</definedName>
    <definedName name="SANPA" localSheetId="3">[3]DAT2!#REF!</definedName>
    <definedName name="SANPA" localSheetId="4">[4]DAT2!#REF!</definedName>
    <definedName name="SANPA" localSheetId="5">[5]DAT2!#REF!</definedName>
    <definedName name="SANPA" localSheetId="6">[6]DAT2!#REF!</definedName>
    <definedName name="SANPA" localSheetId="7">[7]DAT2!#REF!</definedName>
    <definedName name="SANPA" localSheetId="8">[8]DAT2!#REF!</definedName>
    <definedName name="SANPA" localSheetId="9">[9]DAT2!#REF!</definedName>
    <definedName name="SANPA" localSheetId="10">[10]DAT2!#REF!</definedName>
    <definedName name="SANPA" localSheetId="11">[11]DAT2!#REF!</definedName>
    <definedName name="SANPA">[12]DAT2!#REF!</definedName>
    <definedName name="SANRA" localSheetId="1">[1]DAT2!#REF!</definedName>
    <definedName name="SANRA" localSheetId="2">[2]DAT2!#REF!</definedName>
    <definedName name="SANRA" localSheetId="3">[3]DAT2!#REF!</definedName>
    <definedName name="SANRA" localSheetId="4">[4]DAT2!#REF!</definedName>
    <definedName name="SANRA" localSheetId="5">[5]DAT2!#REF!</definedName>
    <definedName name="SANRA" localSheetId="6">[6]DAT2!#REF!</definedName>
    <definedName name="SANRA" localSheetId="7">[7]DAT2!#REF!</definedName>
    <definedName name="SANRA" localSheetId="8">[8]DAT2!#REF!</definedName>
    <definedName name="SANRA" localSheetId="9">[9]DAT2!#REF!</definedName>
    <definedName name="SANRA" localSheetId="10">[10]DAT2!#REF!</definedName>
    <definedName name="SANRA" localSheetId="11">[11]DAT2!#REF!</definedName>
    <definedName name="SANRA">[12]DAT2!#REF!</definedName>
    <definedName name="SANRAF" localSheetId="1">[1]DAT2!#REF!</definedName>
    <definedName name="SANRAF" localSheetId="2">[2]DAT2!#REF!</definedName>
    <definedName name="SANRAF" localSheetId="3">[3]DAT2!#REF!</definedName>
    <definedName name="SANRAF" localSheetId="4">[4]DAT2!#REF!</definedName>
    <definedName name="SANRAF" localSheetId="5">[5]DAT2!#REF!</definedName>
    <definedName name="SANRAF" localSheetId="6">[6]DAT2!#REF!</definedName>
    <definedName name="SANRAF" localSheetId="7">[7]DAT2!#REF!</definedName>
    <definedName name="SANRAF" localSheetId="8">[8]DAT2!#REF!</definedName>
    <definedName name="SANRAF" localSheetId="9">[9]DAT2!#REF!</definedName>
    <definedName name="SANRAF" localSheetId="10">[10]DAT2!#REF!</definedName>
    <definedName name="SANRAF" localSheetId="11">[11]DAT2!#REF!</definedName>
    <definedName name="SANRAF">[12]DAT2!#REF!</definedName>
    <definedName name="SANTA" localSheetId="1">[1]DAT2!#REF!</definedName>
    <definedName name="SANTA" localSheetId="2">[2]DAT2!#REF!</definedName>
    <definedName name="SANTA" localSheetId="3">[3]DAT2!#REF!</definedName>
    <definedName name="SANTA" localSheetId="4">[4]DAT2!#REF!</definedName>
    <definedName name="SANTA" localSheetId="5">[5]DAT2!#REF!</definedName>
    <definedName name="SANTA" localSheetId="6">[6]DAT2!#REF!</definedName>
    <definedName name="SANTA" localSheetId="7">[7]DAT2!#REF!</definedName>
    <definedName name="SANTA" localSheetId="8">[8]DAT2!#REF!</definedName>
    <definedName name="SANTA" localSheetId="9">[9]DAT2!#REF!</definedName>
    <definedName name="SANTA" localSheetId="10">[10]DAT2!#REF!</definedName>
    <definedName name="SANTA" localSheetId="11">[11]DAT2!#REF!</definedName>
    <definedName name="SANTA">[12]DAT2!#REF!</definedName>
    <definedName name="SANTABA" localSheetId="1">[1]DAT2!#REF!</definedName>
    <definedName name="SANTABA" localSheetId="2">[2]DAT2!#REF!</definedName>
    <definedName name="SANTABA" localSheetId="3">[3]DAT2!#REF!</definedName>
    <definedName name="SANTABA" localSheetId="4">[4]DAT2!#REF!</definedName>
    <definedName name="SANTABA" localSheetId="5">[5]DAT2!#REF!</definedName>
    <definedName name="SANTABA" localSheetId="6">[6]DAT2!#REF!</definedName>
    <definedName name="SANTABA" localSheetId="7">[7]DAT2!#REF!</definedName>
    <definedName name="SANTABA" localSheetId="8">[8]DAT2!#REF!</definedName>
    <definedName name="SANTABA" localSheetId="9">[9]DAT2!#REF!</definedName>
    <definedName name="SANTABA" localSheetId="10">[10]DAT2!#REF!</definedName>
    <definedName name="SANTABA" localSheetId="11">[11]DAT2!#REF!</definedName>
    <definedName name="SANTABA">[12]DAT2!#REF!</definedName>
    <definedName name="SANTACRU" localSheetId="1">[1]DAT2!#REF!</definedName>
    <definedName name="SANTACRU" localSheetId="2">[2]DAT2!#REF!</definedName>
    <definedName name="SANTACRU" localSheetId="3">[3]DAT2!#REF!</definedName>
    <definedName name="SANTACRU" localSheetId="4">[4]DAT2!#REF!</definedName>
    <definedName name="SANTACRU" localSheetId="5">[5]DAT2!#REF!</definedName>
    <definedName name="SANTACRU" localSheetId="6">[6]DAT2!#REF!</definedName>
    <definedName name="SANTACRU" localSheetId="7">[7]DAT2!#REF!</definedName>
    <definedName name="SANTACRU" localSheetId="8">[8]DAT2!#REF!</definedName>
    <definedName name="SANTACRU" localSheetId="9">[9]DAT2!#REF!</definedName>
    <definedName name="SANTACRU" localSheetId="10">[10]DAT2!#REF!</definedName>
    <definedName name="SANTACRU" localSheetId="11">[11]DAT2!#REF!</definedName>
    <definedName name="SANTACRU">[12]DAT2!#REF!</definedName>
    <definedName name="SANTODO" localSheetId="1">[1]DAT2!#REF!</definedName>
    <definedName name="SANTODO" localSheetId="2">[2]DAT2!#REF!</definedName>
    <definedName name="SANTODO" localSheetId="3">[3]DAT2!#REF!</definedName>
    <definedName name="SANTODO" localSheetId="4">[4]DAT2!#REF!</definedName>
    <definedName name="SANTODO" localSheetId="5">[5]DAT2!#REF!</definedName>
    <definedName name="SANTODO" localSheetId="6">[6]DAT2!#REF!</definedName>
    <definedName name="SANTODO" localSheetId="7">[7]DAT2!#REF!</definedName>
    <definedName name="SANTODO" localSheetId="8">[8]DAT2!#REF!</definedName>
    <definedName name="SANTODO" localSheetId="9">[9]DAT2!#REF!</definedName>
    <definedName name="SANTODO" localSheetId="10">[10]DAT2!#REF!</definedName>
    <definedName name="SANTODO" localSheetId="11">[11]DAT2!#REF!</definedName>
    <definedName name="SANTODO">[12]DAT2!#REF!</definedName>
    <definedName name="SAR" localSheetId="1">[1]DAT2!#REF!</definedName>
    <definedName name="SAR" localSheetId="2">[2]DAT2!#REF!</definedName>
    <definedName name="SAR" localSheetId="3">[3]DAT2!#REF!</definedName>
    <definedName name="SAR" localSheetId="4">[4]DAT2!#REF!</definedName>
    <definedName name="SAR" localSheetId="5">[5]DAT2!#REF!</definedName>
    <definedName name="SAR" localSheetId="6">[6]DAT2!#REF!</definedName>
    <definedName name="SAR" localSheetId="7">[7]DAT2!#REF!</definedName>
    <definedName name="SAR" localSheetId="8">[8]DAT2!#REF!</definedName>
    <definedName name="SAR" localSheetId="9">[9]DAT2!#REF!</definedName>
    <definedName name="SAR" localSheetId="10">[10]DAT2!#REF!</definedName>
    <definedName name="SAR" localSheetId="11">[11]DAT2!#REF!</definedName>
    <definedName name="SAR">[12]DAT2!#REF!</definedName>
    <definedName name="SARAP" localSheetId="1">[1]DAT2!#REF!</definedName>
    <definedName name="SARAP" localSheetId="2">[2]DAT2!#REF!</definedName>
    <definedName name="SARAP" localSheetId="3">[3]DAT2!#REF!</definedName>
    <definedName name="SARAP" localSheetId="4">[4]DAT2!#REF!</definedName>
    <definedName name="SARAP" localSheetId="5">[5]DAT2!#REF!</definedName>
    <definedName name="SARAP" localSheetId="6">[6]DAT2!#REF!</definedName>
    <definedName name="SARAP" localSheetId="7">[7]DAT2!#REF!</definedName>
    <definedName name="SARAP" localSheetId="8">[8]DAT2!#REF!</definedName>
    <definedName name="SARAP" localSheetId="9">[9]DAT2!#REF!</definedName>
    <definedName name="SARAP" localSheetId="10">[10]DAT2!#REF!</definedName>
    <definedName name="SARAP" localSheetId="11">[11]DAT2!#REF!</definedName>
    <definedName name="SARAP">[12]DAT2!#REF!</definedName>
    <definedName name="SIQUIRR" localSheetId="1">[1]DAT2!#REF!</definedName>
    <definedName name="SIQUIRR" localSheetId="2">[2]DAT2!#REF!</definedName>
    <definedName name="SIQUIRR" localSheetId="3">[3]DAT2!#REF!</definedName>
    <definedName name="SIQUIRR" localSheetId="4">[4]DAT2!#REF!</definedName>
    <definedName name="SIQUIRR" localSheetId="5">[5]DAT2!#REF!</definedName>
    <definedName name="SIQUIRR" localSheetId="6">[6]DAT2!#REF!</definedName>
    <definedName name="SIQUIRR" localSheetId="7">[7]DAT2!#REF!</definedName>
    <definedName name="SIQUIRR" localSheetId="8">[8]DAT2!#REF!</definedName>
    <definedName name="SIQUIRR" localSheetId="9">[9]DAT2!#REF!</definedName>
    <definedName name="SIQUIRR" localSheetId="10">[10]DAT2!#REF!</definedName>
    <definedName name="SIQUIRR" localSheetId="11">[11]DAT2!#REF!</definedName>
    <definedName name="SIQUIRR">[12]DAT2!#REF!</definedName>
    <definedName name="TALAMA" localSheetId="1">[1]DAT2!#REF!</definedName>
    <definedName name="TALAMA" localSheetId="2">[2]DAT2!#REF!</definedName>
    <definedName name="TALAMA" localSheetId="3">[3]DAT2!#REF!</definedName>
    <definedName name="TALAMA" localSheetId="4">[4]DAT2!#REF!</definedName>
    <definedName name="TALAMA" localSheetId="5">[5]DAT2!#REF!</definedName>
    <definedName name="TALAMA" localSheetId="6">[6]DAT2!#REF!</definedName>
    <definedName name="TALAMA" localSheetId="7">[7]DAT2!#REF!</definedName>
    <definedName name="TALAMA" localSheetId="8">[8]DAT2!#REF!</definedName>
    <definedName name="TALAMA" localSheetId="9">[9]DAT2!#REF!</definedName>
    <definedName name="TALAMA" localSheetId="10">[10]DAT2!#REF!</definedName>
    <definedName name="TALAMA" localSheetId="11">[11]DAT2!#REF!</definedName>
    <definedName name="TALAMA">[12]DAT2!#REF!</definedName>
    <definedName name="TARRAZ" localSheetId="1">[1]DAT2!#REF!</definedName>
    <definedName name="TARRAZ" localSheetId="2">[2]DAT2!#REF!</definedName>
    <definedName name="TARRAZ" localSheetId="3">[3]DAT2!#REF!</definedName>
    <definedName name="TARRAZ" localSheetId="4">[4]DAT2!#REF!</definedName>
    <definedName name="TARRAZ" localSheetId="5">[5]DAT2!#REF!</definedName>
    <definedName name="TARRAZ" localSheetId="6">[6]DAT2!#REF!</definedName>
    <definedName name="TARRAZ" localSheetId="7">[7]DAT2!#REF!</definedName>
    <definedName name="TARRAZ" localSheetId="8">[8]DAT2!#REF!</definedName>
    <definedName name="TARRAZ" localSheetId="9">[9]DAT2!#REF!</definedName>
    <definedName name="TARRAZ" localSheetId="10">[10]DAT2!#REF!</definedName>
    <definedName name="TARRAZ" localSheetId="11">[11]DAT2!#REF!</definedName>
    <definedName name="TARRAZ">[12]DAT2!#REF!</definedName>
    <definedName name="TIB" localSheetId="1">[1]DAT2!#REF!</definedName>
    <definedName name="TIB" localSheetId="2">[2]DAT2!#REF!</definedName>
    <definedName name="TIB" localSheetId="3">[3]DAT2!#REF!</definedName>
    <definedName name="TIB" localSheetId="4">[4]DAT2!#REF!</definedName>
    <definedName name="TIB" localSheetId="5">[5]DAT2!#REF!</definedName>
    <definedName name="TIB" localSheetId="6">[6]DAT2!#REF!</definedName>
    <definedName name="TIB" localSheetId="7">[7]DAT2!#REF!</definedName>
    <definedName name="TIB" localSheetId="8">[8]DAT2!#REF!</definedName>
    <definedName name="TIB" localSheetId="9">[9]DAT2!#REF!</definedName>
    <definedName name="TIB" localSheetId="10">[10]DAT2!#REF!</definedName>
    <definedName name="TIB" localSheetId="11">[11]DAT2!#REF!</definedName>
    <definedName name="TIB">[12]DAT2!#REF!</definedName>
    <definedName name="TILAR" localSheetId="1">[1]DAT2!#REF!</definedName>
    <definedName name="TILAR" localSheetId="2">[2]DAT2!#REF!</definedName>
    <definedName name="TILAR" localSheetId="3">[3]DAT2!#REF!</definedName>
    <definedName name="TILAR" localSheetId="4">[4]DAT2!#REF!</definedName>
    <definedName name="TILAR" localSheetId="5">[5]DAT2!#REF!</definedName>
    <definedName name="TILAR" localSheetId="6">[6]DAT2!#REF!</definedName>
    <definedName name="TILAR" localSheetId="7">[7]DAT2!#REF!</definedName>
    <definedName name="TILAR" localSheetId="8">[8]DAT2!#REF!</definedName>
    <definedName name="TILAR" localSheetId="9">[9]DAT2!#REF!</definedName>
    <definedName name="TILAR" localSheetId="10">[10]DAT2!#REF!</definedName>
    <definedName name="TILAR" localSheetId="11">[11]DAT2!#REF!</definedName>
    <definedName name="TILAR">[12]DAT2!#REF!</definedName>
    <definedName name="TURR" localSheetId="1">[1]DAT2!#REF!</definedName>
    <definedName name="TURR" localSheetId="2">[2]DAT2!#REF!</definedName>
    <definedName name="TURR" localSheetId="3">[3]DAT2!#REF!</definedName>
    <definedName name="TURR" localSheetId="4">[4]DAT2!#REF!</definedName>
    <definedName name="TURR" localSheetId="5">[5]DAT2!#REF!</definedName>
    <definedName name="TURR" localSheetId="6">[6]DAT2!#REF!</definedName>
    <definedName name="TURR" localSheetId="7">[7]DAT2!#REF!</definedName>
    <definedName name="TURR" localSheetId="8">[8]DAT2!#REF!</definedName>
    <definedName name="TURR" localSheetId="9">[9]DAT2!#REF!</definedName>
    <definedName name="TURR" localSheetId="10">[10]DAT2!#REF!</definedName>
    <definedName name="TURR" localSheetId="11">[11]DAT2!#REF!</definedName>
    <definedName name="TURR">[12]DAT2!#REF!</definedName>
    <definedName name="TURRI" localSheetId="1">[1]DAT2!#REF!</definedName>
    <definedName name="TURRI" localSheetId="2">[2]DAT2!#REF!</definedName>
    <definedName name="TURRI" localSheetId="3">[3]DAT2!#REF!</definedName>
    <definedName name="TURRI" localSheetId="4">[4]DAT2!#REF!</definedName>
    <definedName name="TURRI" localSheetId="5">[5]DAT2!#REF!</definedName>
    <definedName name="TURRI" localSheetId="6">[6]DAT2!#REF!</definedName>
    <definedName name="TURRI" localSheetId="7">[7]DAT2!#REF!</definedName>
    <definedName name="TURRI" localSheetId="8">[8]DAT2!#REF!</definedName>
    <definedName name="TURRI" localSheetId="9">[9]DAT2!#REF!</definedName>
    <definedName name="TURRI" localSheetId="10">[10]DAT2!#REF!</definedName>
    <definedName name="TURRI" localSheetId="11">[11]DAT2!#REF!</definedName>
    <definedName name="TURRI">[12]DAT2!#REF!</definedName>
    <definedName name="U">[12]!Tabla103[#All]</definedName>
    <definedName name="UPA" localSheetId="1">[1]DAT2!#REF!</definedName>
    <definedName name="UPA" localSheetId="2">[2]DAT2!#REF!</definedName>
    <definedName name="UPA" localSheetId="3">[3]DAT2!#REF!</definedName>
    <definedName name="UPA" localSheetId="4">[4]DAT2!#REF!</definedName>
    <definedName name="UPA" localSheetId="5">[5]DAT2!#REF!</definedName>
    <definedName name="UPA" localSheetId="6">[6]DAT2!#REF!</definedName>
    <definedName name="UPA" localSheetId="7">[7]DAT2!#REF!</definedName>
    <definedName name="UPA" localSheetId="8">[8]DAT2!#REF!</definedName>
    <definedName name="UPA" localSheetId="9">[9]DAT2!#REF!</definedName>
    <definedName name="UPA" localSheetId="10">[10]DAT2!#REF!</definedName>
    <definedName name="UPA" localSheetId="11">[11]DAT2!#REF!</definedName>
    <definedName name="UPA">[12]DAT2!#REF!</definedName>
    <definedName name="uu">[12]!Tabla103[#All]</definedName>
    <definedName name="uum">[12]!Tabla103[#All]</definedName>
    <definedName name="uuu">[12]!Tabla103[#All]</definedName>
    <definedName name="VASQUE" localSheetId="1">[1]DAT2!#REF!</definedName>
    <definedName name="VASQUE" localSheetId="2">[2]DAT2!#REF!</definedName>
    <definedName name="VASQUE" localSheetId="3">[3]DAT2!#REF!</definedName>
    <definedName name="VASQUE" localSheetId="4">[4]DAT2!#REF!</definedName>
    <definedName name="VASQUE" localSheetId="5">[5]DAT2!#REF!</definedName>
    <definedName name="VASQUE" localSheetId="6">[6]DAT2!#REF!</definedName>
    <definedName name="VASQUE" localSheetId="7">[7]DAT2!#REF!</definedName>
    <definedName name="VASQUE" localSheetId="8">[8]DAT2!#REF!</definedName>
    <definedName name="VASQUE" localSheetId="9">[9]DAT2!#REF!</definedName>
    <definedName name="VASQUE" localSheetId="10">[10]DAT2!#REF!</definedName>
    <definedName name="VASQUE" localSheetId="11">[11]DAT2!#REF!</definedName>
    <definedName name="VASQUE">[12]DAT2!#REF!</definedName>
    <definedName name="ZAR" localSheetId="1">[1]DAT2!#REF!</definedName>
    <definedName name="ZAR" localSheetId="2">[2]DAT2!#REF!</definedName>
    <definedName name="ZAR" localSheetId="3">[3]DAT2!#REF!</definedName>
    <definedName name="ZAR" localSheetId="4">[4]DAT2!#REF!</definedName>
    <definedName name="ZAR" localSheetId="5">[5]DAT2!#REF!</definedName>
    <definedName name="ZAR" localSheetId="6">[6]DAT2!#REF!</definedName>
    <definedName name="ZAR" localSheetId="7">[7]DAT2!#REF!</definedName>
    <definedName name="ZAR" localSheetId="8">[8]DAT2!#REF!</definedName>
    <definedName name="ZAR" localSheetId="9">[9]DAT2!#REF!</definedName>
    <definedName name="ZAR" localSheetId="10">[10]DAT2!#REF!</definedName>
    <definedName name="ZAR" localSheetId="11">[11]DAT2!#REF!</definedName>
    <definedName name="ZAR">[12]DAT2!#REF!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4" i="11" l="1"/>
  <c r="C12" i="12" s="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4" i="11"/>
  <c r="D3" i="11"/>
  <c r="C36" i="10"/>
  <c r="C11" i="12" s="1"/>
  <c r="D35" i="10"/>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D5" i="10"/>
  <c r="D4" i="10"/>
  <c r="D3" i="10"/>
  <c r="C34" i="9"/>
  <c r="C10" i="12" s="1"/>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3" i="9"/>
  <c r="C32" i="8"/>
  <c r="C9" i="12" s="1"/>
  <c r="D31" i="8"/>
  <c r="D30" i="8"/>
  <c r="D29" i="8"/>
  <c r="D28" i="8"/>
  <c r="D27" i="8"/>
  <c r="D26" i="8"/>
  <c r="D25" i="8"/>
  <c r="D24" i="8"/>
  <c r="D23" i="8"/>
  <c r="D22" i="8"/>
  <c r="D21" i="8"/>
  <c r="D20" i="8"/>
  <c r="D19" i="8"/>
  <c r="D18" i="8"/>
  <c r="D17" i="8"/>
  <c r="D16" i="8"/>
  <c r="D15" i="8"/>
  <c r="D14" i="8"/>
  <c r="D13" i="8"/>
  <c r="D12" i="8"/>
  <c r="D11" i="8"/>
  <c r="D10" i="8"/>
  <c r="D9" i="8"/>
  <c r="D8" i="8"/>
  <c r="D7" i="8"/>
  <c r="D6" i="8"/>
  <c r="D5" i="8"/>
  <c r="D4" i="8"/>
  <c r="D3" i="8"/>
  <c r="D11" i="7"/>
  <c r="C40" i="7"/>
  <c r="C8" i="12" s="1"/>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0" i="7"/>
  <c r="D9" i="7"/>
  <c r="D8" i="7"/>
  <c r="D7" i="7"/>
  <c r="D6" i="7"/>
  <c r="D5" i="7"/>
  <c r="D4" i="7"/>
  <c r="D3" i="7"/>
  <c r="C34" i="6"/>
  <c r="C7" i="12" s="1"/>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C36" i="5"/>
  <c r="C6" i="12" s="1"/>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C34" i="4"/>
  <c r="C5" i="12" s="1"/>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C37" i="3"/>
  <c r="C4" i="12" s="1"/>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C36" i="2"/>
  <c r="C3" i="12" s="1"/>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C37" i="1"/>
  <c r="C2" i="12" s="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34" i="11" l="1"/>
  <c r="D12" i="12" s="1"/>
  <c r="E12" i="12" s="1"/>
  <c r="D36" i="10"/>
  <c r="D34" i="9"/>
  <c r="D32" i="8"/>
  <c r="D34" i="6"/>
  <c r="D7" i="12" s="1"/>
  <c r="E7" i="12" s="1"/>
  <c r="D36" i="5"/>
  <c r="D34" i="4"/>
  <c r="D37" i="3"/>
  <c r="D36" i="2"/>
  <c r="D37" i="1"/>
  <c r="D2" i="12" s="1"/>
  <c r="E2" i="12" s="1"/>
  <c r="D40" i="7"/>
  <c r="D35" i="11" l="1"/>
  <c r="D37" i="10"/>
  <c r="D11" i="12"/>
  <c r="E11" i="12" s="1"/>
  <c r="D35" i="9"/>
  <c r="D10" i="12"/>
  <c r="E10" i="12" s="1"/>
  <c r="D41" i="7"/>
  <c r="D8" i="12"/>
  <c r="E8" i="12" s="1"/>
  <c r="D35" i="6"/>
  <c r="D37" i="5"/>
  <c r="D6" i="12"/>
  <c r="E6" i="12" s="1"/>
  <c r="D35" i="4"/>
  <c r="D5" i="12"/>
  <c r="E5" i="12" s="1"/>
  <c r="D38" i="3"/>
  <c r="D4" i="12"/>
  <c r="E4" i="12" s="1"/>
  <c r="D37" i="2"/>
  <c r="D3" i="12"/>
  <c r="E3" i="12" s="1"/>
  <c r="D38" i="1"/>
  <c r="D33" i="8"/>
  <c r="D9" i="12"/>
  <c r="E9" i="12" s="1"/>
  <c r="C13" i="12"/>
  <c r="D13" i="12" l="1"/>
  <c r="E13" i="12" s="1"/>
</calcChain>
</file>

<file path=xl/sharedStrings.xml><?xml version="1.0" encoding="utf-8"?>
<sst xmlns="http://schemas.openxmlformats.org/spreadsheetml/2006/main" count="631" uniqueCount="100">
  <si>
    <t>D60 LIBERIA</t>
  </si>
  <si>
    <t>PROGRAMA</t>
  </si>
  <si>
    <t>META</t>
  </si>
  <si>
    <t xml:space="preserve">AVANCE </t>
  </si>
  <si>
    <t>ENERO</t>
  </si>
  <si>
    <t>FEBRERO</t>
  </si>
  <si>
    <t>MARZO</t>
  </si>
  <si>
    <t>ABRIL</t>
  </si>
  <si>
    <t>MAYO</t>
  </si>
  <si>
    <t>JUNIO</t>
  </si>
  <si>
    <t>JULIO</t>
  </si>
  <si>
    <t>AGOSTO</t>
  </si>
  <si>
    <t>SEPTIEMBRE</t>
  </si>
  <si>
    <t>OCTUBRE</t>
  </si>
  <si>
    <t>NOVIEMBRE</t>
  </si>
  <si>
    <t>DICIEMBRE</t>
  </si>
  <si>
    <t>Porcentual</t>
  </si>
  <si>
    <t>Cuatro actividades de recuperación de espacios públicos, con las comunidades integradas al Programa de Seguridad Comunitaria, que se localicen, en los distritos que contemplan las área georreferenciadas del informe territorial de la Estrategia Sembremos Seguridad 2024, dos por año, una por semestre.</t>
  </si>
  <si>
    <t>PSCC</t>
  </si>
  <si>
    <t>Realizar 4 procesos formativos (Cursos de la oferta de los programas DARE - GREAT - MPAS) en Centros Educativos, 2 por año, dentro de los distritos que contemplan las áreas georreferenciadas del informe territorial de la Estrategia Sembremos Seguridad 2024. Un curso diferente por semestre, un nivel completo. En caso de no contar con instructor acreditado DARE, se puede cumplir la meta con las charlas de Habilidades para la vida DARE, con el aval del Coordinador Nacional.</t>
  </si>
  <si>
    <t>GREAT/MPAS/DARE</t>
  </si>
  <si>
    <t>Cubrir 4 procesos formativos en Centros Educativos (dos por año) ubicados dentro de los distritos que contemplan las áreas georreferenciadas del informe territorial de la Estrategia Sembremos Seguridad 2024, con los cursos del Programa DARE: , Curso primaria. Curso Secundaria; un nivel completo por centro educativo, por semestre. En caso de no contar con instructor acreditado, se puede cumplir la meta con las charlas de Habilidades para la vida DARE, con el aval del Coordinador Nacional.</t>
  </si>
  <si>
    <t>DARE</t>
  </si>
  <si>
    <t>Cuatro capacitaciones, en el tema de "Denuncia a búnkers", dirigidas a las comunidades integradas al Programa de Seguridad Comunitaria que se localicen, en los distritos que contemplan las área georreferenciadas del informe territorial de la Estrategia Sembremos Seguridad 2024, dos por año, una por semestre.</t>
  </si>
  <si>
    <t>Dos estrategias de divulgación (Por medio de brochures, post o imágenes en redes sociales) en el tema del procedimiento para realizar una "Denuncia de búnkers"  dirigidas a las comunidades integradas al Programa de Seguridad Comunitaria que se localicen, en los distritos que contemplan las área georreferenciadas del informe territorial de la Estrategia Sembremos Seguridad 2024, una por año.</t>
  </si>
  <si>
    <t>Dos estrategias de divulgación (Por medio de brochures, post o imágenes en redes sociales) en el tema del procedimiento para realizar una "Denuncia de ventas de drogas"  dirigidas a las comunidades integradas al Programa de Seguridad Comunitaria que se localicen, en los distritos que contemplan las área georreferenciadas del informe territorial de la Estrategia Sembremos Seguridad 2024, una por año.</t>
  </si>
  <si>
    <t>D61 NICOYA</t>
  </si>
  <si>
    <t>D62 SANTA CRUZ</t>
  </si>
  <si>
    <t>Dos estrategias de divulgación (Por medio de brochures, post o imágenes en redes sociales) en el tema del procedimiento para realizar una "Denuncia en caso de Receptación"  dirigidas a las comunidades integradas al Programa de Seguridad Comunitaria que se localicen, en los distritos que contemplan las área georreferenciadas del informe territorial de la Estrategia Sembremos Seguridad 2024, una por año.</t>
  </si>
  <si>
    <t>D63 BAGACES</t>
  </si>
  <si>
    <t>D64 CARRILLO</t>
  </si>
  <si>
    <t>D65 CAÑAS</t>
  </si>
  <si>
    <t>Cubrir 2 procesos formativos en Centros Educativos (dos por año) ubicados dentro de los distritos que contemplan las áreas georreferenciadas del informe territorial de la Estrategia Sembremos Seguridad 2024, con los cursos del Programa DARE: , Curso primaria. Curso Secundaria; un nivel completo por centro educativo, por semestre. En caso de no contar con instructor acreditado, se puede cumplir la meta con las charlas de Habilidades para la vida DARE, con el aval del Coordinador Nacional.</t>
  </si>
  <si>
    <t>D66 ABANGARES</t>
  </si>
  <si>
    <t>Dos actividades de recuperación de espacios públicos, con las comunidades integradas al Programa de Seguridad Comunitaria, que se localicen, en los distritos que contemplan las área georreferenciadas del informe territorial de la Estrategia Sembremos Seguridad 2024, una por año.</t>
  </si>
  <si>
    <t>Cubrir 2 procesos formativos en Centros Educativos (uno por año) ubicados dentro de los distritos que contemplan las áreas georreferenciadas del informe territorial de la Estrategia Sembremos Seguridad 2024, con los cursos del Programa DARE: Curso primaria. Curso Secundaria; un nivel completo por centro educativo, por semestre. En caso de no contar con instructor acreditado, se puede cumplir la meta con las charlas de Habilidades para la vida DARE, con el aval del Coordinador Nacional.</t>
  </si>
  <si>
    <t>Cuatro capacitaciones, en el tema de Cultura Preventiva, dirigidas a las comunidades integradas al Programa de Seguridad Comunitaria que se localicen, en los distritos que contemplan las área georreferenciadas del informe territorial de la Estrategia Sembremos Seguridad 2024, una por año.</t>
  </si>
  <si>
    <t>Cuatro estrategias de divulgación (Por medio de brochures, post o imágenes en redes sociales) en el tema del procedimiento para realizar una "Denuncia en caso de Robo de Vehículos"  dirigidas a las comunidades integradas al Programa de Seguridad Comunitaria que se localicen, en los distritos que contemplan las área georreferenciadas del informe territorial de la Estrategia Sembremos Seguridad 2024, una por año.</t>
  </si>
  <si>
    <t>Dos estrategias de divulgación (Por medio de brochures, post o imágenes en redes sociales) en el tema del procedimiento para realizar una "Denuncia de ventas de drogas"  diseñadas por la Estrategia de divulgación de la Dirección de Programas Policiales Preventivos dirigidas a las comunidades integradas al Programa de Seguridad Comunitaria que se localicen, en los distritos que contemplan las área georreferenciadas del informe territorial de la Estrategia Sembremos Seguridad 2024, una por año.</t>
  </si>
  <si>
    <t>Dos estrategias de divulgación (Por medio de brochures, post o imágenes en redes sociales) diseñadas por la Estrategia de divulgación de la Dirección de Programas Policiales Preventivos, en el tema del procedimiento para realizar una "Denuncia de búnkers"  dirigidas a las comunidades integradas al Programa de Seguridad Comunitaria que se localicen, en los distritos que contemplan las área georreferenciadas del informe territorial de la Estrategia Sembremos Seguridad 2024, una por año.</t>
  </si>
  <si>
    <t xml:space="preserve">Dos estrategias de divulgación (Por medio de brochures, post o imágenes en redes sociales) diseñadas por la Estrategia de divulgación de la Dirección de Programas Policiales Preventivos, en el tema del procedimiento para realizar una "Denuncia de receptación" dirigidas a las comunidades integradas al Programa de Seguridad Comunitaria que se localicen, en los distritos que contemplan las áreas georreferenciadas del informe territorial de la Estrategia Sembremos Seguridad 2024, una por año. </t>
  </si>
  <si>
    <t>D67 TILARÁN</t>
  </si>
  <si>
    <t>D68 NANDAYURE</t>
  </si>
  <si>
    <t>D69 HOJANCHA</t>
  </si>
  <si>
    <t>D70 LA CRUZ</t>
  </si>
  <si>
    <t>Delegación</t>
  </si>
  <si>
    <t>D60</t>
  </si>
  <si>
    <t>D61</t>
  </si>
  <si>
    <t>D62</t>
  </si>
  <si>
    <t>D63</t>
  </si>
  <si>
    <t>D64</t>
  </si>
  <si>
    <t>D65</t>
  </si>
  <si>
    <t>D66</t>
  </si>
  <si>
    <t>D67</t>
  </si>
  <si>
    <t>D68</t>
  </si>
  <si>
    <t>D69</t>
  </si>
  <si>
    <t>D70</t>
  </si>
  <si>
    <t>LIBERIA</t>
  </si>
  <si>
    <t>NICOYA</t>
  </si>
  <si>
    <t>SANTA CRUZ</t>
  </si>
  <si>
    <t>BAGACES</t>
  </si>
  <si>
    <t>CARRILLO</t>
  </si>
  <si>
    <t>CAÑAS</t>
  </si>
  <si>
    <t>ABANGARES</t>
  </si>
  <si>
    <t>TILARÁN</t>
  </si>
  <si>
    <t>NANDAYURE</t>
  </si>
  <si>
    <t>HOJANCHA</t>
  </si>
  <si>
    <t>LA CRUZ</t>
  </si>
  <si>
    <t>AVANCE</t>
  </si>
  <si>
    <t>TOTALES</t>
  </si>
  <si>
    <t>PLAN DE POLITICA LOCAL E IMPLEMENTACIÓN DE LA POLITICA LOCAL DE SEGURIDAD</t>
  </si>
  <si>
    <t>Conformación Comité</t>
  </si>
  <si>
    <t>Conformación de Comercio</t>
  </si>
  <si>
    <t>Reuniones-Jefaturas</t>
  </si>
  <si>
    <t>Campañas de divulgación</t>
  </si>
  <si>
    <t>Capacitaciones</t>
  </si>
  <si>
    <t>Charlas</t>
  </si>
  <si>
    <t>Talleres</t>
  </si>
  <si>
    <t>Sensibilización</t>
  </si>
  <si>
    <t>Actividades deportivas</t>
  </si>
  <si>
    <t>Cine en mi Barrio</t>
  </si>
  <si>
    <t>Cívico-policial</t>
  </si>
  <si>
    <t>Actividades culturales</t>
  </si>
  <si>
    <t>Ferias</t>
  </si>
  <si>
    <t>Stand informativo</t>
  </si>
  <si>
    <t>Visitas</t>
  </si>
  <si>
    <t>Recuperación del espacio público</t>
  </si>
  <si>
    <t>Convocatoria de Mesas Locales</t>
  </si>
  <si>
    <t>Exposición Informe Territorial ESS</t>
  </si>
  <si>
    <t>Primera Sesión de Trabajo</t>
  </si>
  <si>
    <t>Segunda Sesión - Conformación Secretaria Técnica</t>
  </si>
  <si>
    <t>Tercera Sesión</t>
  </si>
  <si>
    <t>Elaboracióin del Texto de la Política Local</t>
  </si>
  <si>
    <t>Revisión Técnica DPPP</t>
  </si>
  <si>
    <t>Revisión Area Legal Gobierno Local</t>
  </si>
  <si>
    <t>Incorporación de Observaciones</t>
  </si>
  <si>
    <t>Aval del Director Regional</t>
  </si>
  <si>
    <t>Presentación al Consejo Municipal</t>
  </si>
  <si>
    <t>Presentación ante la Comunidad por parte del Director Regional y Alcalde</t>
  </si>
  <si>
    <t>% AVANCE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</si>
</sst>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9"/>
      <color rgb="FF000000"/>
      <name val="Calibri"/>
      <family val="2"/>
    </font>
    <font>
      <b/>
      <sz val="9"/>
      <name val="Aptos Narrow"/>
      <family val="2"/>
      <scheme val="minor"/>
    </font>
    <font>
      <b/>
      <sz val="9"/>
      <color theme="1"/>
      <name val="Calibri"/>
      <family val="2"/>
    </font>
    <font>
      <sz val="11"/>
      <color rgb="FFFFC000"/>
      <name val="Aptos Narrow"/>
      <family val="2"/>
      <scheme val="minor"/>
    </font>
    <font>
      <sz val="11"/>
      <name val="Aptos Narrow"/>
      <family val="2"/>
      <scheme val="minor"/>
    </font>
    <font>
      <b/>
      <sz val="11"/>
      <color rgb="FFFFC000"/>
      <name val="Aptos Narrow"/>
      <family val="2"/>
      <scheme val="minor"/>
    </font>
    <font>
      <sz val="8"/>
      <name val="Aptos Narrow"/>
      <family val="2"/>
      <scheme val="minor"/>
    </font>
    <font>
      <sz val="10"/>
      <color rgb="FF000000"/>
      <name val="Times New Roman"/>
      <family val="1"/>
    </font>
    <font>
      <b/>
      <sz val="9"/>
      <name val="Arial"/>
      <family val="2"/>
    </font>
  </fonts>
  <fills count="24">
    <fill>
      <patternFill patternType="none"/>
    </fill>
    <fill>
      <patternFill patternType="gray125"/>
    </fill>
    <fill>
      <patternFill patternType="solid">
        <fgColor theme="3"/>
        <bgColor indexed="64"/>
      </patternFill>
    </fill>
    <fill>
      <patternFill patternType="solid">
        <fgColor rgb="FFDDEBF7"/>
        <bgColor indexed="64"/>
      </patternFill>
    </fill>
    <fill>
      <patternFill patternType="solid">
        <fgColor theme="4" tint="0.79989013336588644"/>
        <bgColor indexed="64"/>
      </patternFill>
    </fill>
    <fill>
      <patternFill patternType="solid">
        <fgColor rgb="FFE2EFDA"/>
        <bgColor indexed="64"/>
      </patternFill>
    </fill>
    <fill>
      <patternFill patternType="solid">
        <fgColor theme="9" tint="0.79989013336588644"/>
        <bgColor indexed="64"/>
      </patternFill>
    </fill>
    <fill>
      <patternFill patternType="solid">
        <fgColor rgb="FFFBE4D5"/>
        <bgColor indexed="64"/>
      </patternFill>
    </fill>
    <fill>
      <patternFill patternType="solid">
        <fgColor theme="5" tint="0.79989013336588644"/>
        <bgColor indexed="64"/>
      </patternFill>
    </fill>
    <fill>
      <patternFill patternType="solid">
        <fgColor theme="4" tint="0.79995117038483843"/>
        <bgColor indexed="64"/>
      </patternFill>
    </fill>
    <fill>
      <patternFill patternType="solid">
        <fgColor theme="9" tint="0.79995117038483843"/>
        <bgColor indexed="64"/>
      </patternFill>
    </fill>
    <fill>
      <patternFill patternType="solid">
        <fgColor theme="5" tint="0.79995117038483843"/>
        <bgColor indexed="64"/>
      </patternFill>
    </fill>
    <fill>
      <patternFill patternType="solid">
        <fgColor rgb="FFDEEAF6"/>
        <bgColor indexed="64"/>
      </patternFill>
    </fill>
    <fill>
      <patternFill patternType="solid">
        <fgColor rgb="FFE2EFD9"/>
        <bgColor indexed="64"/>
      </patternFill>
    </fill>
    <fill>
      <patternFill patternType="solid">
        <fgColor theme="1"/>
        <bgColor indexed="64"/>
      </patternFill>
    </fill>
    <fill>
      <patternFill patternType="solid">
        <fgColor theme="0" tint="-0.34998626667073579"/>
        <bgColor indexed="64"/>
      </patternFill>
    </fill>
    <fill>
      <patternFill patternType="solid">
        <fgColor theme="0"/>
        <bgColor indexed="64"/>
      </patternFill>
    </fill>
    <fill>
      <patternFill patternType="solid">
        <fgColor rgb="FFFFC000"/>
        <bgColor indexed="64"/>
      </patternFill>
    </fill>
    <fill>
      <patternFill patternType="solid">
        <fgColor theme="3" tint="-0.249977111117893"/>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theme="0" tint="-0.14999847407452621"/>
        <bgColor indexed="64"/>
      </patternFill>
    </fill>
  </fills>
  <borders count="16">
    <border>
      <left/>
      <right/>
      <top/>
      <bottom/>
      <diagonal/>
    </border>
    <border>
      <left style="medium">
        <color theme="0"/>
      </left>
      <right/>
      <top style="medium">
        <color theme="0"/>
      </top>
      <bottom/>
      <diagonal/>
    </border>
    <border>
      <left style="medium">
        <color theme="0"/>
      </left>
      <right style="medium">
        <color theme="0"/>
      </right>
      <top style="medium">
        <color theme="0"/>
      </top>
      <bottom style="thin">
        <color theme="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indexed="64"/>
      </left>
      <right style="thin">
        <color indexed="64"/>
      </right>
      <top/>
      <bottom/>
      <diagonal/>
    </border>
    <border>
      <left style="medium">
        <color theme="0"/>
      </left>
      <right/>
      <top/>
      <bottom style="medium">
        <color indexed="64"/>
      </bottom>
      <diagonal/>
    </border>
    <border>
      <left style="medium">
        <color theme="0"/>
      </left>
      <right style="medium">
        <color theme="0"/>
      </right>
      <top style="thin">
        <color theme="0"/>
      </top>
      <bottom style="medium">
        <color theme="0"/>
      </bottom>
      <diagonal/>
    </border>
    <border>
      <left/>
      <right style="thin">
        <color indexed="64"/>
      </right>
      <top/>
      <bottom style="thin">
        <color indexed="64"/>
      </bottom>
      <diagonal/>
    </border>
    <border>
      <left style="medium">
        <color indexed="64"/>
      </left>
      <right/>
      <top style="thin">
        <color indexed="64"/>
      </top>
      <bottom/>
      <diagonal/>
    </border>
    <border>
      <left style="thin">
        <color theme="0"/>
      </left>
      <right style="medium">
        <color indexed="64"/>
      </right>
      <top style="thin">
        <color theme="0"/>
      </top>
      <bottom/>
      <diagonal/>
    </border>
    <border>
      <left style="medium">
        <color indexed="64"/>
      </left>
      <right/>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1" fillId="0" borderId="0"/>
  </cellStyleXfs>
  <cellXfs count="57">
    <xf numFmtId="0" fontId="0" fillId="0" borderId="0" xfId="0"/>
    <xf numFmtId="0" fontId="1" fillId="2" borderId="2" xfId="0" applyFont="1" applyFill="1" applyBorder="1" applyAlignment="1">
      <alignment horizontal="center"/>
    </xf>
    <xf numFmtId="0" fontId="0" fillId="0" borderId="0" xfId="0" applyProtection="1">
      <protection locked="0"/>
    </xf>
    <xf numFmtId="0" fontId="3" fillId="0" borderId="0" xfId="0" applyFont="1" applyProtection="1">
      <protection locked="0"/>
    </xf>
    <xf numFmtId="0" fontId="4" fillId="3" borderId="3" xfId="0" applyFont="1" applyFill="1" applyBorder="1" applyAlignment="1">
      <alignment horizontal="left" vertical="center" wrapText="1"/>
    </xf>
    <xf numFmtId="0" fontId="4" fillId="5" borderId="3" xfId="0" applyFont="1" applyFill="1" applyBorder="1" applyAlignment="1">
      <alignment horizontal="left" vertical="center" wrapText="1"/>
    </xf>
    <xf numFmtId="0" fontId="4" fillId="7" borderId="3" xfId="0" applyFont="1" applyFill="1" applyBorder="1" applyAlignment="1">
      <alignment horizontal="left" vertical="center" wrapText="1"/>
    </xf>
    <xf numFmtId="0" fontId="4" fillId="3" borderId="3" xfId="0" applyFont="1" applyFill="1" applyBorder="1" applyAlignment="1" applyProtection="1">
      <alignment horizontal="left" vertical="center" wrapText="1"/>
      <protection locked="0"/>
    </xf>
    <xf numFmtId="0" fontId="2" fillId="0" borderId="0" xfId="0" applyFont="1" applyProtection="1">
      <protection locked="0"/>
    </xf>
    <xf numFmtId="0" fontId="5" fillId="9" borderId="3" xfId="0" applyFont="1" applyFill="1" applyBorder="1" applyAlignment="1">
      <alignment horizontal="center" vertical="center" wrapText="1"/>
    </xf>
    <xf numFmtId="0" fontId="5" fillId="10" borderId="3" xfId="0" applyFont="1" applyFill="1" applyBorder="1" applyAlignment="1">
      <alignment horizontal="center" vertical="center" wrapText="1"/>
    </xf>
    <xf numFmtId="0" fontId="5" fillId="11" borderId="3" xfId="0" applyFont="1" applyFill="1" applyBorder="1" applyAlignment="1">
      <alignment horizontal="center" vertical="center" wrapText="1"/>
    </xf>
    <xf numFmtId="0" fontId="4" fillId="12" borderId="3" xfId="0" applyFont="1" applyFill="1" applyBorder="1" applyAlignment="1">
      <alignment horizontal="left" vertical="center" wrapText="1"/>
    </xf>
    <xf numFmtId="0" fontId="4" fillId="13" borderId="3" xfId="0" applyFont="1" applyFill="1" applyBorder="1" applyAlignment="1">
      <alignment horizontal="left" vertical="center" wrapText="1"/>
    </xf>
    <xf numFmtId="0" fontId="6" fillId="12" borderId="3" xfId="0" applyFont="1" applyFill="1" applyBorder="1" applyAlignment="1">
      <alignment horizontal="left" vertical="center" wrapText="1"/>
    </xf>
    <xf numFmtId="0" fontId="4" fillId="12" borderId="5" xfId="0" applyFont="1" applyFill="1" applyBorder="1" applyAlignment="1">
      <alignment horizontal="left" vertical="center" wrapText="1"/>
    </xf>
    <xf numFmtId="0" fontId="2" fillId="15" borderId="3" xfId="0" applyFont="1" applyFill="1" applyBorder="1" applyAlignment="1">
      <alignment horizontal="center"/>
    </xf>
    <xf numFmtId="0" fontId="8" fillId="16" borderId="3" xfId="0" applyFont="1" applyFill="1" applyBorder="1"/>
    <xf numFmtId="0" fontId="9" fillId="2" borderId="6" xfId="0" applyFont="1" applyFill="1" applyBorder="1"/>
    <xf numFmtId="0" fontId="7" fillId="14" borderId="0" xfId="0" applyFont="1" applyFill="1" applyAlignment="1">
      <alignment horizontal="center"/>
    </xf>
    <xf numFmtId="0" fontId="0" fillId="0" borderId="3" xfId="0" applyBorder="1" applyAlignment="1">
      <alignment horizontal="center"/>
    </xf>
    <xf numFmtId="1" fontId="0" fillId="0" borderId="3" xfId="0" applyNumberFormat="1" applyBorder="1" applyAlignment="1">
      <alignment horizontal="center"/>
    </xf>
    <xf numFmtId="0" fontId="2" fillId="17" borderId="0" xfId="0" applyFont="1" applyFill="1" applyAlignment="1">
      <alignment horizontal="center"/>
    </xf>
    <xf numFmtId="0" fontId="1" fillId="2" borderId="0" xfId="0" applyFont="1" applyFill="1" applyAlignment="1">
      <alignment horizontal="center"/>
    </xf>
    <xf numFmtId="0" fontId="0" fillId="0" borderId="3" xfId="0" applyBorder="1" applyAlignment="1">
      <alignment horizontal="center"/>
    </xf>
    <xf numFmtId="0" fontId="1" fillId="2" borderId="8" xfId="0" applyFont="1" applyFill="1" applyBorder="1" applyAlignment="1">
      <alignment horizontal="center" vertical="center"/>
    </xf>
    <xf numFmtId="0" fontId="3" fillId="18" borderId="0" xfId="0" applyFont="1" applyFill="1" applyProtection="1">
      <protection locked="0"/>
    </xf>
    <xf numFmtId="0" fontId="5" fillId="19" borderId="3" xfId="0" applyFont="1" applyFill="1" applyBorder="1" applyAlignment="1">
      <alignment horizontal="center" vertical="center" textRotation="90" wrapText="1"/>
    </xf>
    <xf numFmtId="0" fontId="5" fillId="19" borderId="9" xfId="0" applyFont="1" applyFill="1" applyBorder="1" applyAlignment="1">
      <alignment horizontal="center" vertical="center" wrapText="1"/>
    </xf>
    <xf numFmtId="1" fontId="5" fillId="0" borderId="9" xfId="0" applyNumberFormat="1" applyFont="1" applyBorder="1" applyAlignment="1">
      <alignment horizontal="center" vertical="center" wrapText="1"/>
    </xf>
    <xf numFmtId="0" fontId="2" fillId="0" borderId="3" xfId="0" applyFont="1" applyBorder="1" applyAlignment="1" applyProtection="1">
      <alignment horizontal="center" vertical="center"/>
      <protection locked="0"/>
    </xf>
    <xf numFmtId="0" fontId="5" fillId="20" borderId="3" xfId="0" applyFont="1" applyFill="1" applyBorder="1" applyAlignment="1">
      <alignment horizontal="center" vertical="center" textRotation="90" wrapText="1"/>
    </xf>
    <xf numFmtId="0" fontId="5" fillId="20" borderId="4" xfId="0" applyFont="1" applyFill="1" applyBorder="1" applyAlignment="1">
      <alignment horizontal="center" vertical="center" wrapText="1"/>
    </xf>
    <xf numFmtId="0" fontId="5" fillId="21" borderId="4" xfId="0" applyFont="1" applyFill="1" applyBorder="1" applyAlignment="1">
      <alignment horizontal="center" vertical="center" wrapText="1"/>
    </xf>
    <xf numFmtId="0" fontId="5" fillId="21" borderId="3" xfId="0" applyFont="1" applyFill="1" applyBorder="1" applyAlignment="1">
      <alignment horizontal="center" vertical="center" textRotation="90" wrapText="1"/>
    </xf>
    <xf numFmtId="0" fontId="5" fillId="19" borderId="4" xfId="0" applyFont="1" applyFill="1" applyBorder="1" applyAlignment="1">
      <alignment horizontal="center" vertical="center" wrapText="1"/>
    </xf>
    <xf numFmtId="0" fontId="1" fillId="22" borderId="11" xfId="0" applyFont="1" applyFill="1" applyBorder="1" applyAlignment="1">
      <alignment horizontal="left" vertical="center" wrapText="1"/>
    </xf>
    <xf numFmtId="0" fontId="0" fillId="0" borderId="3" xfId="0" applyBorder="1" applyProtection="1">
      <protection locked="0"/>
    </xf>
    <xf numFmtId="0" fontId="12" fillId="23" borderId="13" xfId="0" applyFont="1" applyFill="1" applyBorder="1" applyAlignment="1">
      <alignment horizontal="left" vertical="center" wrapText="1"/>
    </xf>
    <xf numFmtId="0" fontId="12" fillId="23" borderId="15" xfId="0" applyFont="1" applyFill="1" applyBorder="1" applyAlignment="1">
      <alignment horizontal="left" vertical="center" wrapText="1"/>
    </xf>
    <xf numFmtId="0" fontId="2" fillId="0" borderId="3" xfId="0" applyFont="1" applyBorder="1" applyAlignment="1" applyProtection="1">
      <alignment horizontal="center"/>
      <protection locked="0"/>
    </xf>
    <xf numFmtId="1" fontId="2" fillId="0" borderId="3" xfId="0" applyNumberFormat="1" applyFont="1" applyBorder="1" applyAlignment="1" applyProtection="1">
      <alignment horizontal="center" vertical="center"/>
      <protection locked="0"/>
    </xf>
    <xf numFmtId="10" fontId="1" fillId="22" borderId="0" xfId="0" applyNumberFormat="1" applyFont="1" applyFill="1" applyAlignment="1" applyProtection="1">
      <alignment horizontal="center"/>
      <protection locked="0"/>
    </xf>
    <xf numFmtId="0" fontId="5" fillId="9" borderId="3" xfId="0" applyFont="1" applyFill="1" applyBorder="1" applyAlignment="1">
      <alignment horizontal="center" vertical="center" textRotation="90" wrapText="1"/>
    </xf>
    <xf numFmtId="0" fontId="5" fillId="10" borderId="3" xfId="0" applyFont="1" applyFill="1" applyBorder="1" applyAlignment="1">
      <alignment horizontal="center" vertical="center" textRotation="90" wrapText="1"/>
    </xf>
    <xf numFmtId="0" fontId="5" fillId="11" borderId="3" xfId="0" applyFont="1" applyFill="1" applyBorder="1" applyAlignment="1">
      <alignment horizontal="center" vertical="center" textRotation="90" wrapText="1"/>
    </xf>
    <xf numFmtId="0" fontId="5" fillId="4" borderId="3" xfId="0" applyFont="1" applyFill="1" applyBorder="1" applyAlignment="1">
      <alignment horizontal="center" vertical="center" textRotation="90" wrapText="1"/>
    </xf>
    <xf numFmtId="0" fontId="5" fillId="6" borderId="3" xfId="0" applyFont="1" applyFill="1" applyBorder="1" applyAlignment="1">
      <alignment horizontal="center" vertical="center" textRotation="90" wrapText="1"/>
    </xf>
    <xf numFmtId="0" fontId="5" fillId="8" borderId="3" xfId="0" applyFont="1" applyFill="1" applyBorder="1" applyAlignment="1">
      <alignment horizontal="center" vertical="center" textRotation="90" wrapText="1"/>
    </xf>
    <xf numFmtId="0" fontId="5" fillId="4" borderId="3" xfId="0" applyFont="1" applyFill="1" applyBorder="1" applyAlignment="1" applyProtection="1">
      <alignment horizontal="center" vertical="center" textRotation="90" wrapText="1"/>
      <protection locked="0"/>
    </xf>
    <xf numFmtId="10" fontId="0" fillId="0" borderId="3" xfId="0" applyNumberFormat="1" applyBorder="1" applyAlignment="1">
      <alignment horizontal="center"/>
    </xf>
    <xf numFmtId="0" fontId="1" fillId="2" borderId="1" xfId="0" applyFont="1" applyFill="1" applyBorder="1" applyAlignment="1">
      <alignment horizontal="center" vertical="center" textRotation="90"/>
    </xf>
    <xf numFmtId="0" fontId="1" fillId="2" borderId="7" xfId="0" applyFont="1" applyFill="1" applyBorder="1" applyAlignment="1">
      <alignment horizontal="center" vertical="center" textRotation="90"/>
    </xf>
    <xf numFmtId="0" fontId="5" fillId="19" borderId="10" xfId="0" applyFont="1" applyFill="1" applyBorder="1" applyAlignment="1">
      <alignment horizontal="center" vertical="center" textRotation="90" wrapText="1"/>
    </xf>
    <xf numFmtId="0" fontId="5" fillId="19" borderId="12" xfId="0" applyFont="1" applyFill="1" applyBorder="1" applyAlignment="1">
      <alignment horizontal="center" vertical="center" textRotation="90" wrapText="1"/>
    </xf>
    <xf numFmtId="0" fontId="5" fillId="19" borderId="14" xfId="0" applyFont="1" applyFill="1" applyBorder="1" applyAlignment="1">
      <alignment horizontal="center" vertical="center" textRotation="90" wrapText="1"/>
    </xf>
    <xf numFmtId="0" fontId="7" fillId="14" borderId="3" xfId="0" applyFont="1" applyFill="1" applyBorder="1" applyAlignment="1">
      <alignment horizontal="center"/>
    </xf>
  </cellXfs>
  <cellStyles count="2">
    <cellStyle name="Normal" xfId="0" builtinId="0"/>
    <cellStyle name="Normal 2" xfId="1" xr:uid="{00000000-0005-0000-0000-000001000000}"/>
  </cellStyles>
  <dxfs count="33">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5/D61%20PUMI%20Nicoya.xlsx?C70DD25D" TargetMode="External"/><Relationship Id="rId1" Type="http://schemas.openxmlformats.org/officeDocument/2006/relationships/externalLinkPath" Target="file:///\\C70DD25D\D61%20PUMI%20Nicoya.xlsx"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5/D62%20UMI%20%20Santa%20Cruz.xlsx?C70DD25D" TargetMode="External"/><Relationship Id="rId1" Type="http://schemas.openxmlformats.org/officeDocument/2006/relationships/externalLinkPath" Target="file:///\\C70DD25D\D62%20UMI%20%20Santa%20Cruz.xlsx"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5/D63%20%20Matriz%20PUMI%20Enero%20a%20Junio-Pumi.xlsx?C70DD25D" TargetMode="External"/><Relationship Id="rId1" Type="http://schemas.openxmlformats.org/officeDocument/2006/relationships/externalLinkPath" Target="file:///\\C70DD25D\D63%20%20Matriz%20PUMI%20Enero%20a%20Junio-Pumi.xlsx"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5/D64%20Carrillo%20(2)%20PUMI%20(5).xlsx?C70DD25D" TargetMode="External"/><Relationship Id="rId1" Type="http://schemas.openxmlformats.org/officeDocument/2006/relationships/externalLinkPath" Target="file:///\\C70DD25D\D64%20Carrillo%20(2)%20PUMI%20(5).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5/D65%20PUMI%20Ca&#241;as.%20Junio%202025listo.xlsx?C70DD25D" TargetMode="External"/><Relationship Id="rId1" Type="http://schemas.openxmlformats.org/officeDocument/2006/relationships/externalLinkPath" Target="file:///\\C70DD25D\D65%20PUMI%20Ca&#241;as.%20Junio%202025listo.xlsx"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5/D66%20PUMI%20junio.xlsx?C70DD25D" TargetMode="External"/><Relationship Id="rId1" Type="http://schemas.openxmlformats.org/officeDocument/2006/relationships/externalLinkPath" Target="file:///\\C70DD25D\D66%20PUMI%20junio.xlsx" TargetMode="External"/></Relationships>
</file>

<file path=xl/externalLinks/_rels/externalLink7.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5/D67%20Tilar&#225;n%20II%20Trimeste%20(1).xlsx?C70DD25D" TargetMode="External"/><Relationship Id="rId1" Type="http://schemas.openxmlformats.org/officeDocument/2006/relationships/externalLinkPath" Target="file:///\\C70DD25D\D67%20Tilar&#225;n%20II%20Trimeste%20(1).xlsx" TargetMode="External"/></Relationships>
</file>

<file path=xl/externalLinks/_rels/externalLink8.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5/D68%20Nandayure%20pumi%5eJ%20junio.xlsx?C70DD25D" TargetMode="External"/><Relationship Id="rId1" Type="http://schemas.openxmlformats.org/officeDocument/2006/relationships/externalLinkPath" Target="file:///\\C70DD25D\D68%20Nandayure%20pumi%5eJ%20junio.xlsx" TargetMode="External"/></Relationships>
</file>

<file path=xl/externalLinks/_rels/externalLink9.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5/D69%20PUMI%20Hojancha%20(4).xlsx?C70DD25D" TargetMode="External"/><Relationship Id="rId1" Type="http://schemas.openxmlformats.org/officeDocument/2006/relationships/externalLinkPath" Target="file:///\\C70DD25D\D69%20PUMI%20Hojancha%20(4).xlsx" TargetMode="External"/></Relationships>
</file>

<file path=xl/externalLinks/_rels/externalLink10.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5/D70%20La%20Cruz%20PUMI%20JUNIO.xlsx?C70DD25D" TargetMode="External"/><Relationship Id="rId1" Type="http://schemas.openxmlformats.org/officeDocument/2006/relationships/externalLinkPath" Target="file:///\\C70DD25D\D70%20La%20Cruz%20PUMI%20JUNIO.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d.docs.live.net/3ad020c316d05c7c/Escritorio/Avance%20Planificaci&#243;n%20Diferenciada%20Nacional%202025/Actividad%204%20Planificaci&#243;n%20Diferenciada/16.%20PUMI%202025/II%20TRIMESTRE/JUNIO/DR1%20CENTRAL/D1%20Carmen%20PUMI%202025%20Junio.xlsx" TargetMode="External"/></Relationships>
</file>

<file path=xl/externalLinks/_rels/externalLink12.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5/D60%20PUMI%20Liberia%20Junio.xlsx?C70DD25D" TargetMode="External"/><Relationship Id="rId1" Type="http://schemas.openxmlformats.org/officeDocument/2006/relationships/externalLinkPath" Target="file:///\\C70DD25D\D60%20PUMI%20Liberia%20Juni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61 NICOYA PSCC "/>
      <sheetName val="D61 NICOYA VIF"/>
      <sheetName val="D61 NICOYA DARE"/>
      <sheetName val="D61 NICOYA GREAT"/>
      <sheetName val="D61 NICOYA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62 SANTA CRUZ PSCC "/>
      <sheetName val="D62 SANTA CRUZ VIF"/>
      <sheetName val="D62 SANTA CRUZ DARE"/>
      <sheetName val="D62 SANTA CRUZ GREAT"/>
      <sheetName val="D62 SANTA CRUZ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63 BAGACES PSCC "/>
      <sheetName val="D63 BAGACES VIF"/>
      <sheetName val="D63 BAGACES DARE"/>
      <sheetName val="D63 BAGACES GREAT"/>
      <sheetName val="D63 BAGACES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64 CARRILLO PSCC "/>
      <sheetName val="D64 CARRILLO VIF"/>
      <sheetName val="D64 CARRILLO DARE"/>
      <sheetName val="D64 CARRILLO GREAT"/>
      <sheetName val="D64 CARRILLO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65 CAÑAS PSCC "/>
      <sheetName val="D65 CAÑAS VIF"/>
      <sheetName val="D65 CAÑAS DARE"/>
      <sheetName val="D65 CAÑAS GREAT"/>
      <sheetName val="D65 CAÑAS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66 ABANGARES PSCC "/>
      <sheetName val="D66 ABANGARES VIF"/>
      <sheetName val="D66 ABANGARES DARE"/>
      <sheetName val="D66 ABANGARES GREAT"/>
      <sheetName val="D66 ABANGARES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67 TILARÁN PSCC "/>
      <sheetName val="D67 TILARÁN VIF"/>
      <sheetName val="D67 TILARÁN DARE"/>
      <sheetName val="D67 TILARÁN GREAT"/>
      <sheetName val="D67 TILARÁN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68 NANDAYURE PSCC "/>
      <sheetName val="D68 NANDAYURE VIF"/>
      <sheetName val="D68 NANDAYURE DARE"/>
      <sheetName val="D68 NANDAYURE GREAT"/>
      <sheetName val="D68 NANDAYURE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69 HOJANCHA PSCC "/>
      <sheetName val="D69 HOJANCHA VIF"/>
      <sheetName val="D69 HOJANCHA DARE"/>
      <sheetName val="D69 HOJANCHA GREAT"/>
      <sheetName val="D69 HOJANCHA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70 LA CRUZ PSCC "/>
      <sheetName val="D70 LA CRUZ VIF"/>
      <sheetName val="D70 LA CRUZ DARE"/>
      <sheetName val="D70 LA CRUZ GREAT"/>
      <sheetName val="D70 LA CRUZ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01 Carmen PSCC "/>
      <sheetName val="D01 VIF"/>
      <sheetName val="D01 Carmen DARE"/>
      <sheetName val="D01 Carmen GREAT"/>
      <sheetName val="D01 Carmen MPAS"/>
      <sheetName val="Totales PDIF"/>
      <sheetName val="Totales Política Pública"/>
      <sheetName val="DAT1"/>
      <sheetName val="DAT2"/>
      <sheetName val="D1 Carmen PUMI 2025 Juni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60 LIBERIA PSCC "/>
      <sheetName val="D60 LIBERIA VIF"/>
      <sheetName val="D60 LIBERIA DARE"/>
      <sheetName val="D60 LIBERIA GREAT"/>
      <sheetName val="D60 LIBERIA MPAS"/>
      <sheetName val="Totales PDIF"/>
      <sheetName val="Totales Política Pública"/>
      <sheetName val="DAT1"/>
      <sheetName val="DAT2"/>
      <sheetName val="D60 PUMI Liberia Juni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38"/>
  <sheetViews>
    <sheetView zoomScale="70" zoomScaleNormal="70" workbookViewId="0">
      <selection activeCell="N7" sqref="N7"/>
    </sheetView>
  </sheetViews>
  <sheetFormatPr baseColWidth="10" defaultColWidth="11.42578125" defaultRowHeight="15" x14ac:dyDescent="0.25"/>
  <cols>
    <col min="1" max="1" width="8" style="2" customWidth="1"/>
    <col min="2" max="2" width="104.42578125" style="2" customWidth="1"/>
    <col min="3" max="3" width="11.42578125" style="2"/>
    <col min="4" max="4" width="22.42578125" style="2" customWidth="1"/>
    <col min="5" max="9" width="17.140625" style="2" customWidth="1"/>
    <col min="10" max="16384" width="11.42578125" style="2"/>
  </cols>
  <sheetData>
    <row r="1" spans="1:16" ht="61.5" customHeight="1" x14ac:dyDescent="0.25">
      <c r="A1" s="51" t="s">
        <v>1</v>
      </c>
      <c r="B1" s="23" t="s">
        <v>0</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3" customFormat="1" ht="15.75" thickBot="1" x14ac:dyDescent="0.3">
      <c r="A2" s="52"/>
      <c r="B2" s="23"/>
      <c r="C2" s="25">
        <v>2026</v>
      </c>
      <c r="D2" s="25" t="s">
        <v>16</v>
      </c>
      <c r="E2" s="26"/>
      <c r="F2" s="26"/>
      <c r="G2" s="26"/>
      <c r="H2" s="26"/>
      <c r="I2" s="26"/>
      <c r="J2" s="26"/>
      <c r="K2" s="26"/>
      <c r="L2" s="26"/>
      <c r="M2" s="26"/>
      <c r="N2" s="26"/>
      <c r="O2" s="26"/>
      <c r="P2" s="26"/>
    </row>
    <row r="3" spans="1:16" ht="81" customHeight="1" x14ac:dyDescent="0.25">
      <c r="A3" s="46" t="s">
        <v>18</v>
      </c>
      <c r="B3" s="4" t="s">
        <v>17</v>
      </c>
      <c r="C3" s="28">
        <v>2</v>
      </c>
      <c r="D3" s="29">
        <f t="shared" ref="D3:D8" si="0">SUM(E3:P3)</f>
        <v>1</v>
      </c>
      <c r="E3" s="30"/>
      <c r="F3" s="30"/>
      <c r="G3" s="30"/>
      <c r="H3" s="30"/>
      <c r="I3" s="30"/>
      <c r="J3" s="30">
        <v>1</v>
      </c>
      <c r="K3" s="30"/>
      <c r="L3" s="30"/>
      <c r="M3" s="30"/>
      <c r="N3" s="30"/>
      <c r="O3" s="30"/>
      <c r="P3" s="30"/>
    </row>
    <row r="4" spans="1:16" ht="81" customHeight="1" x14ac:dyDescent="0.25">
      <c r="A4" s="47" t="s">
        <v>20</v>
      </c>
      <c r="B4" s="5" t="s">
        <v>19</v>
      </c>
      <c r="C4" s="32">
        <v>2</v>
      </c>
      <c r="D4" s="29">
        <f t="shared" si="0"/>
        <v>1</v>
      </c>
      <c r="E4" s="30">
        <v>0</v>
      </c>
      <c r="F4" s="30">
        <v>0</v>
      </c>
      <c r="G4" s="30">
        <v>0</v>
      </c>
      <c r="H4" s="30">
        <v>0</v>
      </c>
      <c r="I4" s="30">
        <v>1</v>
      </c>
      <c r="J4" s="30"/>
      <c r="K4" s="30"/>
      <c r="L4" s="30"/>
      <c r="M4" s="30"/>
      <c r="N4" s="30"/>
      <c r="O4" s="30"/>
      <c r="P4" s="30"/>
    </row>
    <row r="5" spans="1:16" ht="81" customHeight="1" x14ac:dyDescent="0.25">
      <c r="A5" s="48" t="s">
        <v>22</v>
      </c>
      <c r="B5" s="6" t="s">
        <v>21</v>
      </c>
      <c r="C5" s="33">
        <v>2</v>
      </c>
      <c r="D5" s="29">
        <f t="shared" si="0"/>
        <v>0</v>
      </c>
      <c r="E5" s="30">
        <v>0</v>
      </c>
      <c r="F5" s="30">
        <v>0</v>
      </c>
      <c r="G5" s="30">
        <v>0</v>
      </c>
      <c r="H5" s="30">
        <v>0</v>
      </c>
      <c r="I5" s="30"/>
      <c r="J5" s="30"/>
      <c r="K5" s="30"/>
      <c r="L5" s="30"/>
      <c r="M5" s="30"/>
      <c r="N5" s="30"/>
      <c r="O5" s="30"/>
      <c r="P5" s="30"/>
    </row>
    <row r="6" spans="1:16" ht="81" customHeight="1" x14ac:dyDescent="0.25">
      <c r="A6" s="46" t="s">
        <v>18</v>
      </c>
      <c r="B6" s="4" t="s">
        <v>23</v>
      </c>
      <c r="C6" s="35">
        <v>2</v>
      </c>
      <c r="D6" s="29">
        <f t="shared" si="0"/>
        <v>0</v>
      </c>
      <c r="E6" s="30"/>
      <c r="F6" s="30"/>
      <c r="G6" s="30"/>
      <c r="H6" s="30"/>
      <c r="I6" s="30"/>
      <c r="J6" s="30"/>
      <c r="K6" s="30"/>
      <c r="L6" s="30"/>
      <c r="M6" s="30"/>
      <c r="N6" s="30"/>
      <c r="O6" s="30"/>
      <c r="P6" s="30"/>
    </row>
    <row r="7" spans="1:16" ht="81" customHeight="1" x14ac:dyDescent="0.25">
      <c r="A7" s="46" t="s">
        <v>18</v>
      </c>
      <c r="B7" s="4" t="s">
        <v>24</v>
      </c>
      <c r="C7" s="35">
        <v>1</v>
      </c>
      <c r="D7" s="29">
        <f t="shared" si="0"/>
        <v>0</v>
      </c>
      <c r="E7" s="30"/>
      <c r="F7" s="30"/>
      <c r="G7" s="30"/>
      <c r="H7" s="30"/>
      <c r="I7" s="30"/>
      <c r="J7" s="30"/>
      <c r="K7" s="30"/>
      <c r="L7" s="30"/>
      <c r="M7" s="30"/>
      <c r="N7" s="30"/>
      <c r="O7" s="30"/>
      <c r="P7" s="30"/>
    </row>
    <row r="8" spans="1:16" ht="81" customHeight="1" x14ac:dyDescent="0.25">
      <c r="A8" s="49" t="s">
        <v>18</v>
      </c>
      <c r="B8" s="7" t="s">
        <v>25</v>
      </c>
      <c r="C8" s="35">
        <v>1</v>
      </c>
      <c r="D8" s="29">
        <f t="shared" si="0"/>
        <v>0</v>
      </c>
      <c r="E8" s="30"/>
      <c r="F8" s="30"/>
      <c r="G8" s="30"/>
      <c r="H8" s="30"/>
      <c r="I8" s="30"/>
      <c r="J8" s="30"/>
      <c r="K8" s="30"/>
      <c r="L8" s="30"/>
      <c r="M8" s="30"/>
      <c r="N8" s="30"/>
      <c r="O8" s="30"/>
      <c r="P8" s="30"/>
    </row>
    <row r="9" spans="1:16" ht="28.5" customHeight="1" x14ac:dyDescent="0.25">
      <c r="A9" s="53" t="s">
        <v>70</v>
      </c>
      <c r="B9" s="36" t="s">
        <v>71</v>
      </c>
      <c r="C9" s="35">
        <v>4</v>
      </c>
      <c r="D9" s="29">
        <f t="shared" ref="D9:D36" si="1">SUM(E9:O9)</f>
        <v>0</v>
      </c>
      <c r="E9" s="30"/>
      <c r="F9" s="30"/>
      <c r="G9" s="30"/>
      <c r="H9" s="30"/>
      <c r="I9" s="30"/>
      <c r="J9" s="30"/>
      <c r="K9" s="30"/>
      <c r="L9" s="30"/>
      <c r="M9" s="30"/>
      <c r="N9" s="30"/>
      <c r="O9" s="30"/>
      <c r="P9" s="37"/>
    </row>
    <row r="10" spans="1:16" ht="28.5" customHeight="1" x14ac:dyDescent="0.25">
      <c r="A10" s="54"/>
      <c r="B10" s="36" t="s">
        <v>72</v>
      </c>
      <c r="C10" s="35">
        <v>5</v>
      </c>
      <c r="D10" s="29">
        <f t="shared" si="1"/>
        <v>0</v>
      </c>
      <c r="E10" s="30"/>
      <c r="F10" s="30"/>
      <c r="G10" s="30"/>
      <c r="H10" s="30"/>
      <c r="I10" s="30"/>
      <c r="J10" s="30"/>
      <c r="K10" s="30"/>
      <c r="L10" s="30"/>
      <c r="M10" s="30"/>
      <c r="N10" s="30"/>
      <c r="O10" s="30"/>
      <c r="P10" s="37"/>
    </row>
    <row r="11" spans="1:16" ht="28.5" customHeight="1" x14ac:dyDescent="0.25">
      <c r="A11" s="54"/>
      <c r="B11" s="36" t="s">
        <v>73</v>
      </c>
      <c r="C11" s="35">
        <v>209</v>
      </c>
      <c r="D11" s="29">
        <f t="shared" si="1"/>
        <v>88</v>
      </c>
      <c r="E11" s="30">
        <v>14</v>
      </c>
      <c r="F11" s="30">
        <v>10</v>
      </c>
      <c r="G11" s="30">
        <v>26</v>
      </c>
      <c r="H11" s="30">
        <v>13</v>
      </c>
      <c r="I11" s="30">
        <v>23</v>
      </c>
      <c r="J11" s="30">
        <v>2</v>
      </c>
      <c r="K11" s="30"/>
      <c r="L11" s="30"/>
      <c r="M11" s="30"/>
      <c r="N11" s="30"/>
      <c r="O11" s="30"/>
      <c r="P11" s="37"/>
    </row>
    <row r="12" spans="1:16" ht="28.5" customHeight="1" x14ac:dyDescent="0.25">
      <c r="A12" s="54"/>
      <c r="B12" s="36" t="s">
        <v>74</v>
      </c>
      <c r="C12" s="35">
        <v>85</v>
      </c>
      <c r="D12" s="29">
        <f t="shared" si="1"/>
        <v>36</v>
      </c>
      <c r="E12" s="30"/>
      <c r="F12" s="30"/>
      <c r="G12" s="30">
        <v>32</v>
      </c>
      <c r="H12" s="30">
        <v>4</v>
      </c>
      <c r="I12" s="30"/>
      <c r="J12" s="30"/>
      <c r="K12" s="30"/>
      <c r="L12" s="30"/>
      <c r="M12" s="30"/>
      <c r="N12" s="30"/>
      <c r="O12" s="30"/>
      <c r="P12" s="37"/>
    </row>
    <row r="13" spans="1:16" ht="28.5" customHeight="1" x14ac:dyDescent="0.25">
      <c r="A13" s="54"/>
      <c r="B13" s="36" t="s">
        <v>75</v>
      </c>
      <c r="C13" s="35">
        <v>0</v>
      </c>
      <c r="D13" s="29">
        <f t="shared" si="1"/>
        <v>0</v>
      </c>
      <c r="E13" s="30"/>
      <c r="F13" s="30"/>
      <c r="G13" s="30"/>
      <c r="H13" s="30"/>
      <c r="I13" s="30"/>
      <c r="J13" s="30"/>
      <c r="K13" s="30"/>
      <c r="L13" s="30"/>
      <c r="M13" s="30"/>
      <c r="N13" s="30"/>
      <c r="O13" s="30"/>
      <c r="P13" s="37"/>
    </row>
    <row r="14" spans="1:16" ht="28.5" customHeight="1" x14ac:dyDescent="0.25">
      <c r="A14" s="54"/>
      <c r="B14" s="36" t="s">
        <v>76</v>
      </c>
      <c r="C14" s="35">
        <v>11</v>
      </c>
      <c r="D14" s="29">
        <f t="shared" si="1"/>
        <v>0</v>
      </c>
      <c r="E14" s="30"/>
      <c r="F14" s="30"/>
      <c r="G14" s="30"/>
      <c r="H14" s="30"/>
      <c r="I14" s="30"/>
      <c r="J14" s="30"/>
      <c r="K14" s="30"/>
      <c r="L14" s="30"/>
      <c r="M14" s="30"/>
      <c r="N14" s="30"/>
      <c r="O14" s="30"/>
      <c r="P14" s="37"/>
    </row>
    <row r="15" spans="1:16" ht="28.5" customHeight="1" x14ac:dyDescent="0.25">
      <c r="A15" s="54"/>
      <c r="B15" s="36" t="s">
        <v>77</v>
      </c>
      <c r="C15" s="35">
        <v>20</v>
      </c>
      <c r="D15" s="29">
        <f t="shared" si="1"/>
        <v>0</v>
      </c>
      <c r="E15" s="30"/>
      <c r="F15" s="30"/>
      <c r="G15" s="30"/>
      <c r="H15" s="30"/>
      <c r="I15" s="30"/>
      <c r="J15" s="30"/>
      <c r="K15" s="30"/>
      <c r="L15" s="30"/>
      <c r="M15" s="30"/>
      <c r="N15" s="30"/>
      <c r="O15" s="30"/>
      <c r="P15" s="37"/>
    </row>
    <row r="16" spans="1:16" ht="28.5" customHeight="1" x14ac:dyDescent="0.25">
      <c r="A16" s="54"/>
      <c r="B16" s="36" t="s">
        <v>78</v>
      </c>
      <c r="C16" s="35">
        <v>41</v>
      </c>
      <c r="D16" s="29">
        <f t="shared" si="1"/>
        <v>10</v>
      </c>
      <c r="E16" s="30"/>
      <c r="F16" s="30"/>
      <c r="G16" s="30"/>
      <c r="H16" s="30">
        <v>8</v>
      </c>
      <c r="I16" s="30">
        <v>2</v>
      </c>
      <c r="J16" s="30"/>
      <c r="K16" s="30"/>
      <c r="L16" s="30"/>
      <c r="M16" s="30"/>
      <c r="N16" s="30"/>
      <c r="O16" s="30"/>
      <c r="P16" s="37"/>
    </row>
    <row r="17" spans="1:16" ht="28.5" customHeight="1" x14ac:dyDescent="0.25">
      <c r="A17" s="54"/>
      <c r="B17" s="36" t="s">
        <v>79</v>
      </c>
      <c r="C17" s="35">
        <v>2</v>
      </c>
      <c r="D17" s="29">
        <f t="shared" si="1"/>
        <v>0</v>
      </c>
      <c r="E17" s="30"/>
      <c r="F17" s="30"/>
      <c r="G17" s="30"/>
      <c r="H17" s="30"/>
      <c r="I17" s="30"/>
      <c r="J17" s="30"/>
      <c r="K17" s="30"/>
      <c r="L17" s="30"/>
      <c r="M17" s="30"/>
      <c r="N17" s="30"/>
      <c r="O17" s="30"/>
      <c r="P17" s="37"/>
    </row>
    <row r="18" spans="1:16" ht="28.5" customHeight="1" x14ac:dyDescent="0.25">
      <c r="A18" s="54"/>
      <c r="B18" s="36" t="s">
        <v>80</v>
      </c>
      <c r="C18" s="35">
        <v>3</v>
      </c>
      <c r="D18" s="29">
        <f t="shared" si="1"/>
        <v>0</v>
      </c>
      <c r="E18" s="30"/>
      <c r="F18" s="30"/>
      <c r="G18" s="30"/>
      <c r="H18" s="30"/>
      <c r="I18" s="30"/>
      <c r="J18" s="30"/>
      <c r="K18" s="30"/>
      <c r="L18" s="30"/>
      <c r="M18" s="30"/>
      <c r="N18" s="30"/>
      <c r="O18" s="30"/>
      <c r="P18" s="37"/>
    </row>
    <row r="19" spans="1:16" ht="28.5" customHeight="1" x14ac:dyDescent="0.25">
      <c r="A19" s="54"/>
      <c r="B19" s="36" t="s">
        <v>81</v>
      </c>
      <c r="C19" s="35">
        <v>21</v>
      </c>
      <c r="D19" s="29">
        <f t="shared" si="1"/>
        <v>2</v>
      </c>
      <c r="E19" s="30"/>
      <c r="F19" s="30"/>
      <c r="G19" s="30"/>
      <c r="H19" s="30">
        <v>2</v>
      </c>
      <c r="I19" s="30"/>
      <c r="J19" s="30"/>
      <c r="K19" s="30"/>
      <c r="L19" s="30"/>
      <c r="M19" s="30"/>
      <c r="N19" s="30"/>
      <c r="O19" s="30"/>
      <c r="P19" s="37"/>
    </row>
    <row r="20" spans="1:16" ht="28.5" customHeight="1" x14ac:dyDescent="0.25">
      <c r="A20" s="54"/>
      <c r="B20" s="36" t="s">
        <v>82</v>
      </c>
      <c r="C20" s="35">
        <v>0</v>
      </c>
      <c r="D20" s="29">
        <f t="shared" si="1"/>
        <v>0</v>
      </c>
      <c r="E20" s="30"/>
      <c r="F20" s="30"/>
      <c r="G20" s="30"/>
      <c r="H20" s="30"/>
      <c r="I20" s="30"/>
      <c r="J20" s="30"/>
      <c r="K20" s="30"/>
      <c r="L20" s="30"/>
      <c r="M20" s="30"/>
      <c r="N20" s="30"/>
      <c r="O20" s="30"/>
      <c r="P20" s="37"/>
    </row>
    <row r="21" spans="1:16" ht="28.5" customHeight="1" x14ac:dyDescent="0.25">
      <c r="A21" s="54"/>
      <c r="B21" s="36" t="s">
        <v>83</v>
      </c>
      <c r="C21" s="35">
        <v>0</v>
      </c>
      <c r="D21" s="29">
        <f t="shared" si="1"/>
        <v>0</v>
      </c>
      <c r="E21" s="30"/>
      <c r="F21" s="30"/>
      <c r="G21" s="30"/>
      <c r="H21" s="30"/>
      <c r="I21" s="30"/>
      <c r="J21" s="30"/>
      <c r="K21" s="30"/>
      <c r="L21" s="30"/>
      <c r="M21" s="30"/>
      <c r="N21" s="30"/>
      <c r="O21" s="30"/>
      <c r="P21" s="37"/>
    </row>
    <row r="22" spans="1:16" ht="28.5" customHeight="1" x14ac:dyDescent="0.25">
      <c r="A22" s="54"/>
      <c r="B22" s="36" t="s">
        <v>84</v>
      </c>
      <c r="C22" s="35">
        <v>0</v>
      </c>
      <c r="D22" s="29">
        <f t="shared" si="1"/>
        <v>0</v>
      </c>
      <c r="E22" s="30"/>
      <c r="F22" s="30"/>
      <c r="G22" s="30"/>
      <c r="H22" s="30"/>
      <c r="I22" s="30"/>
      <c r="J22" s="30"/>
      <c r="K22" s="30"/>
      <c r="L22" s="30"/>
      <c r="M22" s="30"/>
      <c r="N22" s="30"/>
      <c r="O22" s="30"/>
      <c r="P22" s="37"/>
    </row>
    <row r="23" spans="1:16" ht="28.5" customHeight="1" x14ac:dyDescent="0.25">
      <c r="A23" s="54"/>
      <c r="B23" s="36" t="s">
        <v>85</v>
      </c>
      <c r="C23" s="35">
        <v>190</v>
      </c>
      <c r="D23" s="29">
        <f t="shared" si="1"/>
        <v>61</v>
      </c>
      <c r="E23" s="30">
        <v>36</v>
      </c>
      <c r="F23" s="30"/>
      <c r="G23" s="30">
        <v>1</v>
      </c>
      <c r="H23" s="30">
        <v>18</v>
      </c>
      <c r="I23" s="30">
        <v>6</v>
      </c>
      <c r="J23" s="30"/>
      <c r="K23" s="30"/>
      <c r="L23" s="30"/>
      <c r="M23" s="30"/>
      <c r="N23" s="30"/>
      <c r="O23" s="30"/>
      <c r="P23" s="37"/>
    </row>
    <row r="24" spans="1:16" ht="28.5" customHeight="1" x14ac:dyDescent="0.25">
      <c r="A24" s="54"/>
      <c r="B24" s="36" t="s">
        <v>86</v>
      </c>
      <c r="C24" s="35">
        <v>6</v>
      </c>
      <c r="D24" s="29">
        <f t="shared" si="1"/>
        <v>0</v>
      </c>
      <c r="E24" s="30"/>
      <c r="F24" s="30"/>
      <c r="G24" s="30"/>
      <c r="H24" s="30"/>
      <c r="I24" s="30"/>
      <c r="J24" s="30"/>
      <c r="K24" s="30"/>
      <c r="L24" s="30"/>
      <c r="M24" s="30"/>
      <c r="N24" s="30"/>
      <c r="O24" s="30"/>
      <c r="P24" s="37"/>
    </row>
    <row r="25" spans="1:16" ht="24" customHeight="1" x14ac:dyDescent="0.25">
      <c r="A25" s="54"/>
      <c r="B25" s="38" t="s">
        <v>87</v>
      </c>
      <c r="C25" s="35">
        <v>4</v>
      </c>
      <c r="D25" s="29">
        <f t="shared" si="1"/>
        <v>3</v>
      </c>
      <c r="E25" s="30"/>
      <c r="F25" s="30">
        <v>1</v>
      </c>
      <c r="G25" s="30">
        <v>2</v>
      </c>
      <c r="H25" s="30"/>
      <c r="I25" s="30"/>
      <c r="J25" s="30"/>
      <c r="K25" s="30"/>
      <c r="L25" s="30"/>
      <c r="M25" s="30"/>
      <c r="N25" s="30"/>
      <c r="O25" s="30"/>
      <c r="P25" s="37"/>
    </row>
    <row r="26" spans="1:16" ht="24" customHeight="1" x14ac:dyDescent="0.25">
      <c r="A26" s="54"/>
      <c r="B26" s="38" t="s">
        <v>88</v>
      </c>
      <c r="C26" s="35">
        <v>4</v>
      </c>
      <c r="D26" s="29">
        <f t="shared" si="1"/>
        <v>2</v>
      </c>
      <c r="E26" s="30"/>
      <c r="F26" s="30"/>
      <c r="G26" s="30"/>
      <c r="H26" s="30">
        <v>2</v>
      </c>
      <c r="I26" s="30"/>
      <c r="J26" s="30"/>
      <c r="K26" s="30"/>
      <c r="L26" s="30"/>
      <c r="M26" s="30"/>
      <c r="N26" s="30"/>
      <c r="O26" s="30"/>
      <c r="P26" s="37"/>
    </row>
    <row r="27" spans="1:16" ht="24" customHeight="1" x14ac:dyDescent="0.25">
      <c r="A27" s="54"/>
      <c r="B27" s="38" t="s">
        <v>89</v>
      </c>
      <c r="C27" s="35">
        <v>4</v>
      </c>
      <c r="D27" s="29">
        <f t="shared" si="1"/>
        <v>4</v>
      </c>
      <c r="E27" s="30"/>
      <c r="F27" s="30"/>
      <c r="G27" s="30"/>
      <c r="H27" s="30"/>
      <c r="I27" s="30">
        <v>3</v>
      </c>
      <c r="J27" s="30">
        <v>1</v>
      </c>
      <c r="K27" s="30"/>
      <c r="L27" s="30"/>
      <c r="M27" s="30"/>
      <c r="N27" s="30"/>
      <c r="O27" s="30"/>
      <c r="P27" s="37"/>
    </row>
    <row r="28" spans="1:16" ht="24" customHeight="1" x14ac:dyDescent="0.25">
      <c r="A28" s="54"/>
      <c r="B28" s="38" t="s">
        <v>90</v>
      </c>
      <c r="C28" s="35">
        <v>4</v>
      </c>
      <c r="D28" s="29">
        <f t="shared" si="1"/>
        <v>2</v>
      </c>
      <c r="E28" s="30"/>
      <c r="F28" s="30"/>
      <c r="G28" s="30"/>
      <c r="H28" s="30"/>
      <c r="I28" s="30"/>
      <c r="J28" s="30">
        <v>2</v>
      </c>
      <c r="K28" s="30"/>
      <c r="L28" s="30"/>
      <c r="M28" s="30"/>
      <c r="N28" s="30"/>
      <c r="O28" s="30"/>
      <c r="P28" s="37"/>
    </row>
    <row r="29" spans="1:16" ht="24" customHeight="1" x14ac:dyDescent="0.25">
      <c r="A29" s="54"/>
      <c r="B29" s="38" t="s">
        <v>91</v>
      </c>
      <c r="C29" s="35">
        <v>4</v>
      </c>
      <c r="D29" s="29">
        <f t="shared" si="1"/>
        <v>0</v>
      </c>
      <c r="E29" s="30"/>
      <c r="F29" s="30"/>
      <c r="G29" s="30"/>
      <c r="H29" s="30"/>
      <c r="I29" s="30"/>
      <c r="J29" s="30"/>
      <c r="K29" s="30"/>
      <c r="L29" s="30"/>
      <c r="M29" s="30"/>
      <c r="N29" s="30"/>
      <c r="O29" s="30"/>
      <c r="P29" s="37"/>
    </row>
    <row r="30" spans="1:16" ht="24" customHeight="1" x14ac:dyDescent="0.25">
      <c r="A30" s="54"/>
      <c r="B30" s="38" t="s">
        <v>92</v>
      </c>
      <c r="C30" s="35">
        <v>1</v>
      </c>
      <c r="D30" s="29">
        <f t="shared" si="1"/>
        <v>0</v>
      </c>
      <c r="E30" s="30"/>
      <c r="F30" s="30"/>
      <c r="G30" s="30"/>
      <c r="H30" s="30"/>
      <c r="I30" s="30"/>
      <c r="J30" s="30"/>
      <c r="K30" s="30"/>
      <c r="L30" s="30"/>
      <c r="M30" s="30"/>
      <c r="N30" s="30"/>
      <c r="O30" s="30"/>
      <c r="P30" s="37"/>
    </row>
    <row r="31" spans="1:16" ht="24" customHeight="1" x14ac:dyDescent="0.25">
      <c r="A31" s="54"/>
      <c r="B31" s="38" t="s">
        <v>93</v>
      </c>
      <c r="C31" s="35">
        <v>1</v>
      </c>
      <c r="D31" s="29">
        <f t="shared" si="1"/>
        <v>0</v>
      </c>
      <c r="E31" s="30"/>
      <c r="F31" s="30"/>
      <c r="G31" s="30"/>
      <c r="H31" s="30"/>
      <c r="I31" s="30"/>
      <c r="J31" s="30"/>
      <c r="K31" s="30"/>
      <c r="L31" s="30"/>
      <c r="M31" s="30"/>
      <c r="N31" s="30"/>
      <c r="O31" s="30"/>
      <c r="P31" s="37"/>
    </row>
    <row r="32" spans="1:16" ht="24" customHeight="1" x14ac:dyDescent="0.25">
      <c r="A32" s="54"/>
      <c r="B32" s="38" t="s">
        <v>94</v>
      </c>
      <c r="C32" s="35">
        <v>1</v>
      </c>
      <c r="D32" s="29">
        <f t="shared" si="1"/>
        <v>0</v>
      </c>
      <c r="E32" s="30"/>
      <c r="F32" s="30"/>
      <c r="G32" s="30"/>
      <c r="H32" s="30"/>
      <c r="I32" s="30"/>
      <c r="J32" s="30"/>
      <c r="K32" s="30"/>
      <c r="L32" s="30"/>
      <c r="M32" s="30"/>
      <c r="N32" s="30"/>
      <c r="O32" s="30"/>
      <c r="P32" s="37"/>
    </row>
    <row r="33" spans="1:16" ht="24" customHeight="1" x14ac:dyDescent="0.25">
      <c r="A33" s="54"/>
      <c r="B33" s="38" t="s">
        <v>95</v>
      </c>
      <c r="C33" s="35">
        <v>1</v>
      </c>
      <c r="D33" s="29">
        <f t="shared" si="1"/>
        <v>0</v>
      </c>
      <c r="E33" s="30"/>
      <c r="F33" s="30"/>
      <c r="G33" s="30"/>
      <c r="H33" s="30"/>
      <c r="I33" s="30"/>
      <c r="J33" s="30"/>
      <c r="K33" s="30"/>
      <c r="L33" s="30"/>
      <c r="M33" s="30"/>
      <c r="N33" s="30"/>
      <c r="O33" s="30"/>
      <c r="P33" s="37"/>
    </row>
    <row r="34" spans="1:16" ht="24" customHeight="1" x14ac:dyDescent="0.25">
      <c r="A34" s="54"/>
      <c r="B34" s="38" t="s">
        <v>96</v>
      </c>
      <c r="C34" s="35">
        <v>1</v>
      </c>
      <c r="D34" s="29">
        <f t="shared" si="1"/>
        <v>0</v>
      </c>
      <c r="E34" s="30"/>
      <c r="F34" s="30"/>
      <c r="G34" s="30"/>
      <c r="H34" s="30"/>
      <c r="I34" s="30"/>
      <c r="J34" s="30"/>
      <c r="K34" s="30"/>
      <c r="L34" s="30"/>
      <c r="M34" s="30"/>
      <c r="N34" s="30"/>
      <c r="O34" s="30"/>
      <c r="P34" s="37"/>
    </row>
    <row r="35" spans="1:16" ht="24" customHeight="1" x14ac:dyDescent="0.25">
      <c r="A35" s="54"/>
      <c r="B35" s="38" t="s">
        <v>97</v>
      </c>
      <c r="C35" s="35">
        <v>1</v>
      </c>
      <c r="D35" s="29">
        <f t="shared" si="1"/>
        <v>0</v>
      </c>
      <c r="E35" s="30"/>
      <c r="F35" s="30"/>
      <c r="G35" s="30"/>
      <c r="H35" s="30"/>
      <c r="I35" s="30"/>
      <c r="J35" s="30"/>
      <c r="K35" s="30"/>
      <c r="L35" s="30"/>
      <c r="M35" s="30"/>
      <c r="N35" s="30"/>
      <c r="O35" s="30"/>
      <c r="P35" s="37"/>
    </row>
    <row r="36" spans="1:16" ht="24" customHeight="1" thickBot="1" x14ac:dyDescent="0.3">
      <c r="A36" s="55"/>
      <c r="B36" s="39" t="s">
        <v>98</v>
      </c>
      <c r="C36" s="35">
        <v>1</v>
      </c>
      <c r="D36" s="29">
        <f t="shared" si="1"/>
        <v>0</v>
      </c>
      <c r="E36" s="30"/>
      <c r="F36" s="30"/>
      <c r="G36" s="30"/>
      <c r="H36" s="30"/>
      <c r="I36" s="30"/>
      <c r="J36" s="30"/>
      <c r="K36" s="30"/>
      <c r="L36" s="30"/>
      <c r="M36" s="30"/>
      <c r="N36" s="30"/>
      <c r="O36" s="30"/>
      <c r="P36" s="37"/>
    </row>
    <row r="37" spans="1:16" x14ac:dyDescent="0.25">
      <c r="C37" s="40">
        <f>SUM(C3:C36)</f>
        <v>634</v>
      </c>
      <c r="D37" s="41">
        <f>SUM(D3:D36)</f>
        <v>210</v>
      </c>
    </row>
    <row r="38" spans="1:16" x14ac:dyDescent="0.25">
      <c r="C38" s="8"/>
      <c r="D38" s="42">
        <f>D37/C37</f>
        <v>0.33123028391167192</v>
      </c>
    </row>
  </sheetData>
  <sheetProtection algorithmName="SHA-512" hashValue="IKF38fPljvwm5K6IlmqvkkqYPd+b3NvfbMFu3V55ZshHYcF8064QX9uMjeYmrqtGfyIW9Rxm2hkFQbib5cUUSA==" saltValue="boI/MO6OQE8+pIT33rCbtw==" spinCount="100000" sheet="1" objects="1" scenarios="1" autoFilter="0"/>
  <mergeCells count="2">
    <mergeCell ref="A1:A2"/>
    <mergeCell ref="A9:A36"/>
  </mergeCells>
  <conditionalFormatting sqref="C3:D3 D4:D8">
    <cfRule type="dataBar" priority="44">
      <dataBar>
        <cfvo type="min"/>
        <cfvo type="max"/>
        <color rgb="FF008AEF"/>
      </dataBar>
      <extLst>
        <ext xmlns:x14="http://schemas.microsoft.com/office/spreadsheetml/2009/9/main" uri="{B025F937-C7B1-47D3-B67F-A62EFF666E3E}">
          <x14:id>{EDFA4AF6-14AD-48C2-8200-5A767A9463AA}</x14:id>
        </ext>
      </extLst>
    </cfRule>
  </conditionalFormatting>
  <conditionalFormatting sqref="C4:D4">
    <cfRule type="dataBar" priority="4">
      <dataBar>
        <cfvo type="min"/>
        <cfvo type="max"/>
        <color rgb="FF008AEF"/>
      </dataBar>
      <extLst>
        <ext xmlns:x14="http://schemas.microsoft.com/office/spreadsheetml/2009/9/main" uri="{B025F937-C7B1-47D3-B67F-A62EFF666E3E}">
          <x14:id>{A70DB4E4-1472-4DFA-AEB4-8DF86B9C1B5C}</x14:id>
        </ext>
      </extLst>
    </cfRule>
  </conditionalFormatting>
  <conditionalFormatting sqref="C5:D5">
    <cfRule type="dataBar" priority="5">
      <dataBar>
        <cfvo type="min"/>
        <cfvo type="max"/>
        <color rgb="FF008AEF"/>
      </dataBar>
      <extLst>
        <ext xmlns:x14="http://schemas.microsoft.com/office/spreadsheetml/2009/9/main" uri="{B025F937-C7B1-47D3-B67F-A62EFF666E3E}">
          <x14:id>{D77EE99E-2619-431D-9426-67A82743AFE3}</x14:id>
        </ext>
      </extLst>
    </cfRule>
  </conditionalFormatting>
  <conditionalFormatting sqref="C6:D6">
    <cfRule type="dataBar" priority="6">
      <dataBar>
        <cfvo type="min"/>
        <cfvo type="max"/>
        <color rgb="FF008AEF"/>
      </dataBar>
      <extLst>
        <ext xmlns:x14="http://schemas.microsoft.com/office/spreadsheetml/2009/9/main" uri="{B025F937-C7B1-47D3-B67F-A62EFF666E3E}">
          <x14:id>{F41FF8E3-8BF5-4743-B6DD-AD602BCDCE63}</x14:id>
        </ext>
      </extLst>
    </cfRule>
  </conditionalFormatting>
  <conditionalFormatting sqref="C7:D7">
    <cfRule type="dataBar" priority="7">
      <dataBar>
        <cfvo type="min"/>
        <cfvo type="max"/>
        <color rgb="FF008AEF"/>
      </dataBar>
      <extLst>
        <ext xmlns:x14="http://schemas.microsoft.com/office/spreadsheetml/2009/9/main" uri="{B025F937-C7B1-47D3-B67F-A62EFF666E3E}">
          <x14:id>{0A92C93F-D32B-44AF-9850-1C747901DA13}</x14:id>
        </ext>
      </extLst>
    </cfRule>
  </conditionalFormatting>
  <conditionalFormatting sqref="C8:D8">
    <cfRule type="dataBar" priority="8">
      <dataBar>
        <cfvo type="min"/>
        <cfvo type="max"/>
        <color rgb="FF008AEF"/>
      </dataBar>
      <extLst>
        <ext xmlns:x14="http://schemas.microsoft.com/office/spreadsheetml/2009/9/main" uri="{B025F937-C7B1-47D3-B67F-A62EFF666E3E}">
          <x14:id>{7D03C749-57F8-4D3A-9358-330DD70F6A26}</x14:id>
        </ext>
      </extLst>
    </cfRule>
  </conditionalFormatting>
  <conditionalFormatting sqref="C9:D9">
    <cfRule type="dataBar" priority="12">
      <dataBar>
        <cfvo type="min"/>
        <cfvo type="max"/>
        <color rgb="FF008AEF"/>
      </dataBar>
      <extLst>
        <ext xmlns:x14="http://schemas.microsoft.com/office/spreadsheetml/2009/9/main" uri="{B025F937-C7B1-47D3-B67F-A62EFF666E3E}">
          <x14:id>{5360FB6E-FF38-45CD-A977-DA0AC55D7360}</x14:id>
        </ext>
      </extLst>
    </cfRule>
  </conditionalFormatting>
  <conditionalFormatting sqref="C10:D10">
    <cfRule type="dataBar" priority="39">
      <dataBar>
        <cfvo type="min"/>
        <cfvo type="max"/>
        <color rgb="FF008AEF"/>
      </dataBar>
      <extLst>
        <ext xmlns:x14="http://schemas.microsoft.com/office/spreadsheetml/2009/9/main" uri="{B025F937-C7B1-47D3-B67F-A62EFF666E3E}">
          <x14:id>{47B3FE8C-9CC9-43F1-9A92-3E1C40A4DF6C}</x14:id>
        </ext>
      </extLst>
    </cfRule>
  </conditionalFormatting>
  <conditionalFormatting sqref="C11:D11">
    <cfRule type="dataBar" priority="38">
      <dataBar>
        <cfvo type="min"/>
        <cfvo type="max"/>
        <color rgb="FF008AEF"/>
      </dataBar>
      <extLst>
        <ext xmlns:x14="http://schemas.microsoft.com/office/spreadsheetml/2009/9/main" uri="{B025F937-C7B1-47D3-B67F-A62EFF666E3E}">
          <x14:id>{7106ACC0-69B7-4A81-8C79-2E6F2B724C35}</x14:id>
        </ext>
      </extLst>
    </cfRule>
  </conditionalFormatting>
  <conditionalFormatting sqref="C12:D12">
    <cfRule type="dataBar" priority="37">
      <dataBar>
        <cfvo type="min"/>
        <cfvo type="max"/>
        <color rgb="FF008AEF"/>
      </dataBar>
      <extLst>
        <ext xmlns:x14="http://schemas.microsoft.com/office/spreadsheetml/2009/9/main" uri="{B025F937-C7B1-47D3-B67F-A62EFF666E3E}">
          <x14:id>{CA516618-1526-4292-BE17-40E1666B9205}</x14:id>
        </ext>
      </extLst>
    </cfRule>
  </conditionalFormatting>
  <conditionalFormatting sqref="C13:D13">
    <cfRule type="dataBar" priority="36">
      <dataBar>
        <cfvo type="min"/>
        <cfvo type="max"/>
        <color rgb="FF008AEF"/>
      </dataBar>
      <extLst>
        <ext xmlns:x14="http://schemas.microsoft.com/office/spreadsheetml/2009/9/main" uri="{B025F937-C7B1-47D3-B67F-A62EFF666E3E}">
          <x14:id>{58A07F12-50CE-412A-84C6-77783C18463F}</x14:id>
        </ext>
      </extLst>
    </cfRule>
  </conditionalFormatting>
  <conditionalFormatting sqref="C14:D14">
    <cfRule type="dataBar" priority="35">
      <dataBar>
        <cfvo type="min"/>
        <cfvo type="max"/>
        <color rgb="FF008AEF"/>
      </dataBar>
      <extLst>
        <ext xmlns:x14="http://schemas.microsoft.com/office/spreadsheetml/2009/9/main" uri="{B025F937-C7B1-47D3-B67F-A62EFF666E3E}">
          <x14:id>{52815A77-C929-4D30-9AF3-2D2537144C2E}</x14:id>
        </ext>
      </extLst>
    </cfRule>
  </conditionalFormatting>
  <conditionalFormatting sqref="C15:D15">
    <cfRule type="dataBar" priority="34">
      <dataBar>
        <cfvo type="min"/>
        <cfvo type="max"/>
        <color rgb="FF008AEF"/>
      </dataBar>
      <extLst>
        <ext xmlns:x14="http://schemas.microsoft.com/office/spreadsheetml/2009/9/main" uri="{B025F937-C7B1-47D3-B67F-A62EFF666E3E}">
          <x14:id>{A5DEEB10-CCCD-4402-A725-8B3D9A55EA32}</x14:id>
        </ext>
      </extLst>
    </cfRule>
  </conditionalFormatting>
  <conditionalFormatting sqref="C16:D16">
    <cfRule type="dataBar" priority="33">
      <dataBar>
        <cfvo type="min"/>
        <cfvo type="max"/>
        <color rgb="FF008AEF"/>
      </dataBar>
      <extLst>
        <ext xmlns:x14="http://schemas.microsoft.com/office/spreadsheetml/2009/9/main" uri="{B025F937-C7B1-47D3-B67F-A62EFF666E3E}">
          <x14:id>{B8341E53-47F8-445A-986F-EFBC6755069E}</x14:id>
        </ext>
      </extLst>
    </cfRule>
  </conditionalFormatting>
  <conditionalFormatting sqref="C17:D17">
    <cfRule type="dataBar" priority="32">
      <dataBar>
        <cfvo type="min"/>
        <cfvo type="max"/>
        <color rgb="FF008AEF"/>
      </dataBar>
      <extLst>
        <ext xmlns:x14="http://schemas.microsoft.com/office/spreadsheetml/2009/9/main" uri="{B025F937-C7B1-47D3-B67F-A62EFF666E3E}">
          <x14:id>{E55793FF-8083-4C57-AF26-0B2D263089BB}</x14:id>
        </ext>
      </extLst>
    </cfRule>
  </conditionalFormatting>
  <conditionalFormatting sqref="C18:D18">
    <cfRule type="dataBar" priority="31">
      <dataBar>
        <cfvo type="min"/>
        <cfvo type="max"/>
        <color rgb="FF008AEF"/>
      </dataBar>
      <extLst>
        <ext xmlns:x14="http://schemas.microsoft.com/office/spreadsheetml/2009/9/main" uri="{B025F937-C7B1-47D3-B67F-A62EFF666E3E}">
          <x14:id>{18CD12C0-0C71-493A-AAD9-B5E72105B350}</x14:id>
        </ext>
      </extLst>
    </cfRule>
  </conditionalFormatting>
  <conditionalFormatting sqref="C19:D19">
    <cfRule type="dataBar" priority="30">
      <dataBar>
        <cfvo type="min"/>
        <cfvo type="max"/>
        <color rgb="FF008AEF"/>
      </dataBar>
      <extLst>
        <ext xmlns:x14="http://schemas.microsoft.com/office/spreadsheetml/2009/9/main" uri="{B025F937-C7B1-47D3-B67F-A62EFF666E3E}">
          <x14:id>{E4DE0924-A53A-4199-92EE-D53581FF22E5}</x14:id>
        </ext>
      </extLst>
    </cfRule>
  </conditionalFormatting>
  <conditionalFormatting sqref="C20:D20">
    <cfRule type="dataBar" priority="29">
      <dataBar>
        <cfvo type="min"/>
        <cfvo type="max"/>
        <color rgb="FF008AEF"/>
      </dataBar>
      <extLst>
        <ext xmlns:x14="http://schemas.microsoft.com/office/spreadsheetml/2009/9/main" uri="{B025F937-C7B1-47D3-B67F-A62EFF666E3E}">
          <x14:id>{51CFCFDD-ABBA-4F3B-BFDD-D6625CFDDED3}</x14:id>
        </ext>
      </extLst>
    </cfRule>
  </conditionalFormatting>
  <conditionalFormatting sqref="C21:D21">
    <cfRule type="dataBar" priority="28">
      <dataBar>
        <cfvo type="min"/>
        <cfvo type="max"/>
        <color rgb="FF008AEF"/>
      </dataBar>
      <extLst>
        <ext xmlns:x14="http://schemas.microsoft.com/office/spreadsheetml/2009/9/main" uri="{B025F937-C7B1-47D3-B67F-A62EFF666E3E}">
          <x14:id>{7B1E6EA1-6FA6-49EC-9458-817D32FEB8FA}</x14:id>
        </ext>
      </extLst>
    </cfRule>
  </conditionalFormatting>
  <conditionalFormatting sqref="C22:D22">
    <cfRule type="dataBar" priority="27">
      <dataBar>
        <cfvo type="min"/>
        <cfvo type="max"/>
        <color rgb="FF008AEF"/>
      </dataBar>
      <extLst>
        <ext xmlns:x14="http://schemas.microsoft.com/office/spreadsheetml/2009/9/main" uri="{B025F937-C7B1-47D3-B67F-A62EFF666E3E}">
          <x14:id>{B96E3136-579E-479D-AE24-F854395235CF}</x14:id>
        </ext>
      </extLst>
    </cfRule>
  </conditionalFormatting>
  <conditionalFormatting sqref="C23:D23">
    <cfRule type="dataBar" priority="26">
      <dataBar>
        <cfvo type="min"/>
        <cfvo type="max"/>
        <color rgb="FF008AEF"/>
      </dataBar>
      <extLst>
        <ext xmlns:x14="http://schemas.microsoft.com/office/spreadsheetml/2009/9/main" uri="{B025F937-C7B1-47D3-B67F-A62EFF666E3E}">
          <x14:id>{9A004774-BC23-448F-9587-F1B81B9B9573}</x14:id>
        </ext>
      </extLst>
    </cfRule>
  </conditionalFormatting>
  <conditionalFormatting sqref="C24:D24">
    <cfRule type="dataBar" priority="25">
      <dataBar>
        <cfvo type="min"/>
        <cfvo type="max"/>
        <color rgb="FF008AEF"/>
      </dataBar>
      <extLst>
        <ext xmlns:x14="http://schemas.microsoft.com/office/spreadsheetml/2009/9/main" uri="{B025F937-C7B1-47D3-B67F-A62EFF666E3E}">
          <x14:id>{86784884-960C-4E12-A20A-2064A9241CCB}</x14:id>
        </ext>
      </extLst>
    </cfRule>
  </conditionalFormatting>
  <conditionalFormatting sqref="C25:D25">
    <cfRule type="dataBar" priority="24">
      <dataBar>
        <cfvo type="min"/>
        <cfvo type="max"/>
        <color rgb="FF008AEF"/>
      </dataBar>
      <extLst>
        <ext xmlns:x14="http://schemas.microsoft.com/office/spreadsheetml/2009/9/main" uri="{B025F937-C7B1-47D3-B67F-A62EFF666E3E}">
          <x14:id>{56530F9D-B82D-4382-AE5D-516D372FF0F3}</x14:id>
        </ext>
      </extLst>
    </cfRule>
  </conditionalFormatting>
  <conditionalFormatting sqref="C26:D26">
    <cfRule type="dataBar" priority="23">
      <dataBar>
        <cfvo type="min"/>
        <cfvo type="max"/>
        <color rgb="FF008AEF"/>
      </dataBar>
      <extLst>
        <ext xmlns:x14="http://schemas.microsoft.com/office/spreadsheetml/2009/9/main" uri="{B025F937-C7B1-47D3-B67F-A62EFF666E3E}">
          <x14:id>{D2FD0463-8B5F-48C2-B5D5-60BC3620DFCC}</x14:id>
        </ext>
      </extLst>
    </cfRule>
  </conditionalFormatting>
  <conditionalFormatting sqref="C27:D27">
    <cfRule type="dataBar" priority="22">
      <dataBar>
        <cfvo type="min"/>
        <cfvo type="max"/>
        <color rgb="FF008AEF"/>
      </dataBar>
      <extLst>
        <ext xmlns:x14="http://schemas.microsoft.com/office/spreadsheetml/2009/9/main" uri="{B025F937-C7B1-47D3-B67F-A62EFF666E3E}">
          <x14:id>{FD5458BB-333F-4A89-8D8F-96230774B2A5}</x14:id>
        </ext>
      </extLst>
    </cfRule>
  </conditionalFormatting>
  <conditionalFormatting sqref="C28:D28">
    <cfRule type="dataBar" priority="21">
      <dataBar>
        <cfvo type="min"/>
        <cfvo type="max"/>
        <color rgb="FF008AEF"/>
      </dataBar>
      <extLst>
        <ext xmlns:x14="http://schemas.microsoft.com/office/spreadsheetml/2009/9/main" uri="{B025F937-C7B1-47D3-B67F-A62EFF666E3E}">
          <x14:id>{0828F6AC-F80E-41C4-91B0-0D00984AA523}</x14:id>
        </ext>
      </extLst>
    </cfRule>
  </conditionalFormatting>
  <conditionalFormatting sqref="C29:D29">
    <cfRule type="dataBar" priority="20">
      <dataBar>
        <cfvo type="min"/>
        <cfvo type="max"/>
        <color rgb="FF008AEF"/>
      </dataBar>
      <extLst>
        <ext xmlns:x14="http://schemas.microsoft.com/office/spreadsheetml/2009/9/main" uri="{B025F937-C7B1-47D3-B67F-A62EFF666E3E}">
          <x14:id>{97047D0F-39E7-4934-84B3-A90F0CB25048}</x14:id>
        </ext>
      </extLst>
    </cfRule>
  </conditionalFormatting>
  <conditionalFormatting sqref="C30:D30">
    <cfRule type="dataBar" priority="19">
      <dataBar>
        <cfvo type="min"/>
        <cfvo type="max"/>
        <color rgb="FF008AEF"/>
      </dataBar>
      <extLst>
        <ext xmlns:x14="http://schemas.microsoft.com/office/spreadsheetml/2009/9/main" uri="{B025F937-C7B1-47D3-B67F-A62EFF666E3E}">
          <x14:id>{40929245-F003-4A5E-AF34-237C06F2BBBB}</x14:id>
        </ext>
      </extLst>
    </cfRule>
  </conditionalFormatting>
  <conditionalFormatting sqref="C31:D31">
    <cfRule type="dataBar" priority="18">
      <dataBar>
        <cfvo type="min"/>
        <cfvo type="max"/>
        <color rgb="FF008AEF"/>
      </dataBar>
      <extLst>
        <ext xmlns:x14="http://schemas.microsoft.com/office/spreadsheetml/2009/9/main" uri="{B025F937-C7B1-47D3-B67F-A62EFF666E3E}">
          <x14:id>{B4291736-C78E-421A-879D-7321DECAA9F8}</x14:id>
        </ext>
      </extLst>
    </cfRule>
  </conditionalFormatting>
  <conditionalFormatting sqref="C32:D32">
    <cfRule type="dataBar" priority="17">
      <dataBar>
        <cfvo type="min"/>
        <cfvo type="max"/>
        <color rgb="FF008AEF"/>
      </dataBar>
      <extLst>
        <ext xmlns:x14="http://schemas.microsoft.com/office/spreadsheetml/2009/9/main" uri="{B025F937-C7B1-47D3-B67F-A62EFF666E3E}">
          <x14:id>{3AF29624-986A-4851-92AC-C1F7D8BB9FD0}</x14:id>
        </ext>
      </extLst>
    </cfRule>
  </conditionalFormatting>
  <conditionalFormatting sqref="C33:D33">
    <cfRule type="dataBar" priority="16">
      <dataBar>
        <cfvo type="min"/>
        <cfvo type="max"/>
        <color rgb="FF008AEF"/>
      </dataBar>
      <extLst>
        <ext xmlns:x14="http://schemas.microsoft.com/office/spreadsheetml/2009/9/main" uri="{B025F937-C7B1-47D3-B67F-A62EFF666E3E}">
          <x14:id>{6E634E87-AB3F-47BB-B763-0AD1D567641A}</x14:id>
        </ext>
      </extLst>
    </cfRule>
  </conditionalFormatting>
  <conditionalFormatting sqref="C34:D34">
    <cfRule type="dataBar" priority="15">
      <dataBar>
        <cfvo type="min"/>
        <cfvo type="max"/>
        <color rgb="FF008AEF"/>
      </dataBar>
      <extLst>
        <ext xmlns:x14="http://schemas.microsoft.com/office/spreadsheetml/2009/9/main" uri="{B025F937-C7B1-47D3-B67F-A62EFF666E3E}">
          <x14:id>{E2024D85-1103-4C1D-A02E-3BA199819B7F}</x14:id>
        </ext>
      </extLst>
    </cfRule>
  </conditionalFormatting>
  <conditionalFormatting sqref="C35:D35">
    <cfRule type="dataBar" priority="14">
      <dataBar>
        <cfvo type="min"/>
        <cfvo type="max"/>
        <color rgb="FF008AEF"/>
      </dataBar>
      <extLst>
        <ext xmlns:x14="http://schemas.microsoft.com/office/spreadsheetml/2009/9/main" uri="{B025F937-C7B1-47D3-B67F-A62EFF666E3E}">
          <x14:id>{2E3748F0-0DD9-4A72-B07A-D08579F01F5B}</x14:id>
        </ext>
      </extLst>
    </cfRule>
  </conditionalFormatting>
  <conditionalFormatting sqref="C36:D36">
    <cfRule type="dataBar" priority="13">
      <dataBar>
        <cfvo type="min"/>
        <cfvo type="max"/>
        <color rgb="FF008AEF"/>
      </dataBar>
      <extLst>
        <ext xmlns:x14="http://schemas.microsoft.com/office/spreadsheetml/2009/9/main" uri="{B025F937-C7B1-47D3-B67F-A62EFF666E3E}">
          <x14:id>{3F61234A-79CD-4A8E-A164-328FA467E04D}</x14:id>
        </ext>
      </extLst>
    </cfRule>
  </conditionalFormatting>
  <conditionalFormatting sqref="E3:F32 E33:O36">
    <cfRule type="cellIs" dxfId="32" priority="1" operator="greaterThan">
      <formula>0</formula>
    </cfRule>
  </conditionalFormatting>
  <conditionalFormatting sqref="G9:O32">
    <cfRule type="cellIs" dxfId="31" priority="11" operator="greaterThan">
      <formula>0</formula>
    </cfRule>
  </conditionalFormatting>
  <conditionalFormatting sqref="G3:P8">
    <cfRule type="cellIs" dxfId="30" priority="2" operator="greaterThan">
      <formula>0</formula>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EDFA4AF6-14AD-48C2-8200-5A767A9463AA}">
            <x14:dataBar minLength="0" maxLength="100" gradient="0">
              <x14:cfvo type="autoMin"/>
              <x14:cfvo type="autoMax"/>
              <x14:negativeFillColor rgb="FFFF0000"/>
              <x14:axisColor rgb="FF000000"/>
            </x14:dataBar>
          </x14:cfRule>
          <xm:sqref>C3:D3 D4:D8</xm:sqref>
        </x14:conditionalFormatting>
        <x14:conditionalFormatting xmlns:xm="http://schemas.microsoft.com/office/excel/2006/main">
          <x14:cfRule type="dataBar" id="{A70DB4E4-1472-4DFA-AEB4-8DF86B9C1B5C}">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D77EE99E-2619-431D-9426-67A82743AFE3}">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F41FF8E3-8BF5-4743-B6DD-AD602BCDCE63}">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0A92C93F-D32B-44AF-9850-1C747901DA13}">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7D03C749-57F8-4D3A-9358-330DD70F6A26}">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5360FB6E-FF38-45CD-A977-DA0AC55D7360}">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47B3FE8C-9CC9-43F1-9A92-3E1C40A4DF6C}">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7106ACC0-69B7-4A81-8C79-2E6F2B724C35}">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CA516618-1526-4292-BE17-40E1666B9205}">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58A07F12-50CE-412A-84C6-77783C18463F}">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52815A77-C929-4D30-9AF3-2D2537144C2E}">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A5DEEB10-CCCD-4402-A725-8B3D9A55EA32}">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B8341E53-47F8-445A-986F-EFBC6755069E}">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E55793FF-8083-4C57-AF26-0B2D263089BB}">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18CD12C0-0C71-493A-AAD9-B5E72105B350}">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E4DE0924-A53A-4199-92EE-D53581FF22E5}">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51CFCFDD-ABBA-4F3B-BFDD-D6625CFDDED3}">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7B1E6EA1-6FA6-49EC-9458-817D32FEB8FA}">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B96E3136-579E-479D-AE24-F854395235CF}">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9A004774-BC23-448F-9587-F1B81B9B9573}">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86784884-960C-4E12-A20A-2064A9241CCB}">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56530F9D-B82D-4382-AE5D-516D372FF0F3}">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D2FD0463-8B5F-48C2-B5D5-60BC3620DFCC}">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FD5458BB-333F-4A89-8D8F-96230774B2A5}">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0828F6AC-F80E-41C4-91B0-0D00984AA523}">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97047D0F-39E7-4934-84B3-A90F0CB25048}">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40929245-F003-4A5E-AF34-237C06F2BBBB}">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B4291736-C78E-421A-879D-7321DECAA9F8}">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3AF29624-986A-4851-92AC-C1F7D8BB9FD0}">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6E634E87-AB3F-47BB-B763-0AD1D567641A}">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E2024D85-1103-4C1D-A02E-3BA199819B7F}">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2E3748F0-0DD9-4A72-B07A-D08579F01F5B}">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3F61234A-79CD-4A8E-A164-328FA467E04D}">
            <x14:dataBar minLength="0" maxLength="100" gradient="0">
              <x14:cfvo type="autoMin"/>
              <x14:cfvo type="autoMax"/>
              <x14:negativeFillColor rgb="FFFF0000"/>
              <x14:axisColor rgb="FF000000"/>
            </x14:dataBar>
          </x14:cfRule>
          <xm:sqref>C36:D36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P37"/>
  <sheetViews>
    <sheetView topLeftCell="B5" zoomScale="70" zoomScaleNormal="70" workbookViewId="0">
      <selection activeCell="N19" sqref="N19"/>
    </sheetView>
  </sheetViews>
  <sheetFormatPr baseColWidth="10" defaultColWidth="11.42578125" defaultRowHeight="15" x14ac:dyDescent="0.25"/>
  <cols>
    <col min="1" max="1" width="5.42578125" style="2" customWidth="1"/>
    <col min="2" max="2" width="106.140625" style="2" customWidth="1"/>
    <col min="3" max="3" width="11.42578125" style="2"/>
    <col min="4" max="4" width="22.42578125" style="2" customWidth="1"/>
    <col min="5" max="9" width="17.28515625" style="2" customWidth="1"/>
    <col min="10" max="16384" width="11.42578125" style="2"/>
  </cols>
  <sheetData>
    <row r="1" spans="1:16" ht="61.5" customHeight="1" x14ac:dyDescent="0.25">
      <c r="A1" s="51" t="s">
        <v>1</v>
      </c>
      <c r="B1" s="23" t="s">
        <v>26</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3" customFormat="1" ht="15.75" thickBot="1" x14ac:dyDescent="0.3">
      <c r="A2" s="52"/>
      <c r="B2" s="23"/>
      <c r="C2" s="25">
        <v>2026</v>
      </c>
      <c r="D2" s="25" t="s">
        <v>16</v>
      </c>
      <c r="E2" s="26"/>
      <c r="F2" s="26"/>
      <c r="G2" s="26"/>
      <c r="H2" s="26"/>
      <c r="I2" s="26"/>
      <c r="J2" s="26"/>
      <c r="K2" s="26"/>
      <c r="L2" s="26"/>
      <c r="M2" s="26"/>
      <c r="N2" s="26"/>
      <c r="O2" s="26"/>
      <c r="P2" s="26"/>
    </row>
    <row r="3" spans="1:16" ht="81" customHeight="1" x14ac:dyDescent="0.25">
      <c r="A3" s="27" t="s">
        <v>18</v>
      </c>
      <c r="B3" s="4" t="s">
        <v>17</v>
      </c>
      <c r="C3" s="28">
        <v>2</v>
      </c>
      <c r="D3" s="29">
        <f t="shared" ref="D3:D6" si="0">SUM(E3:P3)</f>
        <v>0</v>
      </c>
      <c r="E3" s="30"/>
      <c r="F3" s="30"/>
      <c r="G3" s="30"/>
      <c r="H3" s="30"/>
      <c r="I3" s="30"/>
      <c r="J3" s="30"/>
      <c r="K3" s="30"/>
      <c r="L3" s="30"/>
      <c r="M3" s="30"/>
      <c r="N3" s="30"/>
      <c r="O3" s="30"/>
      <c r="P3" s="30"/>
    </row>
    <row r="4" spans="1:16" ht="81" customHeight="1" x14ac:dyDescent="0.25">
      <c r="A4" s="31" t="s">
        <v>20</v>
      </c>
      <c r="B4" s="5" t="s">
        <v>19</v>
      </c>
      <c r="C4" s="32">
        <v>2</v>
      </c>
      <c r="D4" s="29">
        <f t="shared" si="0"/>
        <v>0</v>
      </c>
      <c r="E4" s="30">
        <v>0</v>
      </c>
      <c r="F4" s="30">
        <v>0</v>
      </c>
      <c r="G4" s="30">
        <v>0</v>
      </c>
      <c r="H4" s="30">
        <v>0</v>
      </c>
      <c r="I4" s="30"/>
      <c r="J4" s="30"/>
      <c r="K4" s="30"/>
      <c r="L4" s="30"/>
      <c r="M4" s="30"/>
      <c r="N4" s="30"/>
      <c r="O4" s="30"/>
      <c r="P4" s="30"/>
    </row>
    <row r="5" spans="1:16" ht="81" customHeight="1" x14ac:dyDescent="0.25">
      <c r="A5" s="27" t="s">
        <v>18</v>
      </c>
      <c r="B5" s="6" t="s">
        <v>21</v>
      </c>
      <c r="C5" s="33">
        <v>2</v>
      </c>
      <c r="D5" s="29">
        <f t="shared" si="0"/>
        <v>0</v>
      </c>
      <c r="E5" s="30">
        <v>0</v>
      </c>
      <c r="F5" s="30">
        <v>0</v>
      </c>
      <c r="G5" s="30">
        <v>0</v>
      </c>
      <c r="H5" s="30">
        <v>0</v>
      </c>
      <c r="I5" s="30"/>
      <c r="J5" s="30"/>
      <c r="K5" s="30"/>
      <c r="L5" s="30"/>
      <c r="M5" s="30"/>
      <c r="N5" s="30"/>
      <c r="O5" s="30"/>
      <c r="P5" s="30"/>
    </row>
    <row r="6" spans="1:16" ht="81" customHeight="1" x14ac:dyDescent="0.25">
      <c r="A6" s="34" t="s">
        <v>22</v>
      </c>
      <c r="B6" s="4" t="s">
        <v>23</v>
      </c>
      <c r="C6" s="35">
        <v>2</v>
      </c>
      <c r="D6" s="29">
        <f t="shared" si="0"/>
        <v>1</v>
      </c>
      <c r="E6" s="30"/>
      <c r="F6" s="30">
        <v>1</v>
      </c>
      <c r="G6" s="30"/>
      <c r="H6" s="30"/>
      <c r="I6" s="30"/>
      <c r="J6" s="30"/>
      <c r="K6" s="30"/>
      <c r="L6" s="30"/>
      <c r="M6" s="30"/>
      <c r="N6" s="30"/>
      <c r="O6" s="30"/>
      <c r="P6" s="30"/>
    </row>
    <row r="7" spans="1:16" ht="81" customHeight="1" x14ac:dyDescent="0.25">
      <c r="A7" s="27" t="s">
        <v>18</v>
      </c>
      <c r="B7" s="4" t="s">
        <v>24</v>
      </c>
      <c r="C7" s="35">
        <v>1</v>
      </c>
      <c r="D7" s="29">
        <f>SUM(E7:P7)</f>
        <v>1</v>
      </c>
      <c r="F7" s="30">
        <v>1</v>
      </c>
      <c r="G7" s="30"/>
      <c r="H7" s="30"/>
      <c r="I7" s="30"/>
      <c r="J7" s="30"/>
      <c r="K7" s="30"/>
      <c r="L7" s="30"/>
      <c r="M7" s="30"/>
      <c r="N7" s="30"/>
      <c r="O7" s="30"/>
      <c r="P7" s="30"/>
    </row>
    <row r="8" spans="1:16" ht="28.5" customHeight="1" x14ac:dyDescent="0.25">
      <c r="A8" s="53" t="s">
        <v>70</v>
      </c>
      <c r="B8" s="36" t="s">
        <v>71</v>
      </c>
      <c r="C8" s="35">
        <v>3</v>
      </c>
      <c r="D8" s="29">
        <f>SUM(E8:O8)</f>
        <v>0</v>
      </c>
      <c r="E8" s="30"/>
      <c r="F8" s="30"/>
      <c r="G8" s="30"/>
      <c r="H8" s="30"/>
      <c r="I8" s="30"/>
      <c r="J8" s="30"/>
      <c r="K8" s="30"/>
      <c r="L8" s="30"/>
      <c r="M8" s="30"/>
      <c r="N8" s="30"/>
      <c r="O8" s="30"/>
      <c r="P8" s="37"/>
    </row>
    <row r="9" spans="1:16" ht="28.5" customHeight="1" x14ac:dyDescent="0.25">
      <c r="A9" s="54"/>
      <c r="B9" s="36" t="s">
        <v>72</v>
      </c>
      <c r="C9" s="35">
        <v>3</v>
      </c>
      <c r="D9" s="29">
        <f t="shared" ref="D9:D35" si="1">SUM(E9:O9)</f>
        <v>0</v>
      </c>
      <c r="E9" s="30"/>
      <c r="F9" s="30"/>
      <c r="G9" s="30"/>
      <c r="H9" s="30"/>
      <c r="I9" s="30"/>
      <c r="J9" s="30"/>
      <c r="K9" s="30"/>
      <c r="L9" s="30"/>
      <c r="M9" s="30"/>
      <c r="N9" s="30"/>
      <c r="O9" s="30"/>
      <c r="P9" s="37"/>
    </row>
    <row r="10" spans="1:16" ht="28.5" customHeight="1" x14ac:dyDescent="0.25">
      <c r="A10" s="54"/>
      <c r="B10" s="36" t="s">
        <v>73</v>
      </c>
      <c r="C10" s="35">
        <v>192</v>
      </c>
      <c r="D10" s="29">
        <f t="shared" si="1"/>
        <v>81</v>
      </c>
      <c r="E10" s="30"/>
      <c r="F10" s="30">
        <v>19</v>
      </c>
      <c r="G10" s="30">
        <v>16</v>
      </c>
      <c r="H10" s="30">
        <v>30</v>
      </c>
      <c r="I10" s="30">
        <v>16</v>
      </c>
      <c r="J10" s="30"/>
      <c r="K10" s="30"/>
      <c r="L10" s="30"/>
      <c r="M10" s="30"/>
      <c r="N10" s="30"/>
      <c r="O10" s="30"/>
      <c r="P10" s="37"/>
    </row>
    <row r="11" spans="1:16" ht="28.5" customHeight="1" x14ac:dyDescent="0.25">
      <c r="A11" s="54"/>
      <c r="B11" s="36" t="s">
        <v>74</v>
      </c>
      <c r="C11" s="35">
        <v>158</v>
      </c>
      <c r="D11" s="29">
        <f t="shared" si="1"/>
        <v>58</v>
      </c>
      <c r="E11" s="30"/>
      <c r="F11" s="30">
        <v>20</v>
      </c>
      <c r="G11" s="30">
        <v>21</v>
      </c>
      <c r="H11" s="30">
        <v>1</v>
      </c>
      <c r="I11" s="30"/>
      <c r="J11" s="30">
        <v>16</v>
      </c>
      <c r="K11" s="30"/>
      <c r="L11" s="30"/>
      <c r="M11" s="30"/>
      <c r="N11" s="30"/>
      <c r="O11" s="30"/>
      <c r="P11" s="37"/>
    </row>
    <row r="12" spans="1:16" ht="28.5" customHeight="1" x14ac:dyDescent="0.25">
      <c r="A12" s="54"/>
      <c r="B12" s="36" t="s">
        <v>75</v>
      </c>
      <c r="C12" s="35">
        <v>8</v>
      </c>
      <c r="D12" s="29">
        <f t="shared" si="1"/>
        <v>3</v>
      </c>
      <c r="E12" s="30"/>
      <c r="F12" s="30"/>
      <c r="G12" s="30">
        <v>3</v>
      </c>
      <c r="H12" s="30"/>
      <c r="I12" s="30"/>
      <c r="J12" s="30"/>
      <c r="K12" s="30"/>
      <c r="L12" s="30"/>
      <c r="M12" s="30"/>
      <c r="N12" s="30"/>
      <c r="O12" s="30"/>
      <c r="P12" s="37"/>
    </row>
    <row r="13" spans="1:16" ht="28.5" customHeight="1" x14ac:dyDescent="0.25">
      <c r="A13" s="54"/>
      <c r="B13" s="36" t="s">
        <v>76</v>
      </c>
      <c r="C13" s="35">
        <v>2</v>
      </c>
      <c r="D13" s="29">
        <f t="shared" si="1"/>
        <v>0</v>
      </c>
      <c r="E13" s="30"/>
      <c r="F13" s="30"/>
      <c r="G13" s="30"/>
      <c r="H13" s="30"/>
      <c r="I13" s="30"/>
      <c r="J13" s="30"/>
      <c r="K13" s="30"/>
      <c r="L13" s="30"/>
      <c r="M13" s="30"/>
      <c r="N13" s="30"/>
      <c r="O13" s="30"/>
      <c r="P13" s="37"/>
    </row>
    <row r="14" spans="1:16" ht="28.5" customHeight="1" x14ac:dyDescent="0.25">
      <c r="A14" s="54"/>
      <c r="B14" s="36" t="s">
        <v>77</v>
      </c>
      <c r="C14" s="35">
        <v>0</v>
      </c>
      <c r="D14" s="29">
        <f t="shared" si="1"/>
        <v>0</v>
      </c>
      <c r="E14" s="30"/>
      <c r="F14" s="30"/>
      <c r="G14" s="30"/>
      <c r="H14" s="30"/>
      <c r="I14" s="30"/>
      <c r="J14" s="30"/>
      <c r="K14" s="30"/>
      <c r="L14" s="30"/>
      <c r="M14" s="30"/>
      <c r="N14" s="30"/>
      <c r="O14" s="30"/>
      <c r="P14" s="37"/>
    </row>
    <row r="15" spans="1:16" ht="28.5" customHeight="1" x14ac:dyDescent="0.25">
      <c r="A15" s="54"/>
      <c r="B15" s="36" t="s">
        <v>78</v>
      </c>
      <c r="C15" s="35">
        <v>2</v>
      </c>
      <c r="D15" s="29">
        <f t="shared" si="1"/>
        <v>0</v>
      </c>
      <c r="E15" s="30"/>
      <c r="F15" s="30"/>
      <c r="G15" s="30"/>
      <c r="H15" s="30"/>
      <c r="I15" s="30"/>
      <c r="J15" s="30"/>
      <c r="K15" s="30"/>
      <c r="L15" s="30"/>
      <c r="M15" s="30"/>
      <c r="N15" s="30"/>
      <c r="O15" s="30"/>
      <c r="P15" s="37"/>
    </row>
    <row r="16" spans="1:16" ht="28.5" customHeight="1" x14ac:dyDescent="0.25">
      <c r="A16" s="54"/>
      <c r="B16" s="36" t="s">
        <v>79</v>
      </c>
      <c r="C16" s="35">
        <v>3</v>
      </c>
      <c r="D16" s="29">
        <f t="shared" si="1"/>
        <v>1</v>
      </c>
      <c r="E16" s="30">
        <v>1</v>
      </c>
      <c r="F16" s="30"/>
      <c r="G16" s="30"/>
      <c r="H16" s="30"/>
      <c r="I16" s="30"/>
      <c r="J16" s="30"/>
      <c r="K16" s="30"/>
      <c r="L16" s="30"/>
      <c r="M16" s="30"/>
      <c r="N16" s="30"/>
      <c r="O16" s="30"/>
      <c r="P16" s="37"/>
    </row>
    <row r="17" spans="1:16" ht="28.5" customHeight="1" x14ac:dyDescent="0.25">
      <c r="A17" s="54"/>
      <c r="B17" s="36" t="s">
        <v>80</v>
      </c>
      <c r="C17" s="35">
        <v>1</v>
      </c>
      <c r="D17" s="29">
        <f t="shared" si="1"/>
        <v>0</v>
      </c>
      <c r="E17" s="30"/>
      <c r="F17" s="30"/>
      <c r="G17" s="30"/>
      <c r="H17" s="30"/>
      <c r="I17" s="30"/>
      <c r="J17" s="30"/>
      <c r="K17" s="30"/>
      <c r="L17" s="30"/>
      <c r="M17" s="30"/>
      <c r="N17" s="30"/>
      <c r="O17" s="30"/>
      <c r="P17" s="37"/>
    </row>
    <row r="18" spans="1:16" ht="28.5" customHeight="1" x14ac:dyDescent="0.25">
      <c r="A18" s="54"/>
      <c r="B18" s="36" t="s">
        <v>81</v>
      </c>
      <c r="C18" s="35">
        <v>7</v>
      </c>
      <c r="D18" s="29">
        <f t="shared" si="1"/>
        <v>0</v>
      </c>
      <c r="E18" s="30"/>
      <c r="F18" s="30"/>
      <c r="G18" s="30"/>
      <c r="H18" s="30"/>
      <c r="I18" s="30"/>
      <c r="J18" s="30"/>
      <c r="K18" s="30"/>
      <c r="L18" s="30"/>
      <c r="M18" s="30"/>
      <c r="N18" s="30"/>
      <c r="O18" s="30"/>
      <c r="P18" s="37"/>
    </row>
    <row r="19" spans="1:16" ht="28.5" customHeight="1" x14ac:dyDescent="0.25">
      <c r="A19" s="54"/>
      <c r="B19" s="36" t="s">
        <v>82</v>
      </c>
      <c r="C19" s="35">
        <v>0</v>
      </c>
      <c r="D19" s="29">
        <f t="shared" si="1"/>
        <v>0</v>
      </c>
      <c r="E19" s="30"/>
      <c r="F19" s="30"/>
      <c r="G19" s="30"/>
      <c r="H19" s="30"/>
      <c r="I19" s="30"/>
      <c r="J19" s="30"/>
      <c r="K19" s="30"/>
      <c r="L19" s="30"/>
      <c r="M19" s="30"/>
      <c r="N19" s="30"/>
      <c r="O19" s="30"/>
      <c r="P19" s="37"/>
    </row>
    <row r="20" spans="1:16" ht="28.5" customHeight="1" x14ac:dyDescent="0.25">
      <c r="A20" s="54"/>
      <c r="B20" s="36" t="s">
        <v>83</v>
      </c>
      <c r="C20" s="35">
        <v>0</v>
      </c>
      <c r="D20" s="29">
        <f t="shared" si="1"/>
        <v>0</v>
      </c>
      <c r="E20" s="30"/>
      <c r="F20" s="30"/>
      <c r="G20" s="30"/>
      <c r="H20" s="30"/>
      <c r="I20" s="30"/>
      <c r="J20" s="30"/>
      <c r="K20" s="30"/>
      <c r="L20" s="30"/>
      <c r="M20" s="30"/>
      <c r="N20" s="30"/>
      <c r="O20" s="30"/>
      <c r="P20" s="37"/>
    </row>
    <row r="21" spans="1:16" ht="28.5" customHeight="1" x14ac:dyDescent="0.25">
      <c r="A21" s="54"/>
      <c r="B21" s="36" t="s">
        <v>84</v>
      </c>
      <c r="C21" s="35">
        <v>0</v>
      </c>
      <c r="D21" s="29">
        <f t="shared" si="1"/>
        <v>0</v>
      </c>
      <c r="E21" s="30"/>
      <c r="F21" s="30"/>
      <c r="G21" s="30"/>
      <c r="H21" s="30"/>
      <c r="I21" s="30"/>
      <c r="J21" s="30"/>
      <c r="K21" s="30"/>
      <c r="L21" s="30"/>
      <c r="M21" s="30"/>
      <c r="N21" s="30"/>
      <c r="O21" s="30"/>
      <c r="P21" s="37"/>
    </row>
    <row r="22" spans="1:16" ht="28.5" customHeight="1" x14ac:dyDescent="0.25">
      <c r="A22" s="54"/>
      <c r="B22" s="36" t="s">
        <v>85</v>
      </c>
      <c r="C22" s="35">
        <v>160</v>
      </c>
      <c r="D22" s="29">
        <f t="shared" si="1"/>
        <v>66</v>
      </c>
      <c r="E22" s="30">
        <v>21</v>
      </c>
      <c r="F22" s="30">
        <v>6</v>
      </c>
      <c r="G22" s="30">
        <v>4</v>
      </c>
      <c r="H22" s="30">
        <v>21</v>
      </c>
      <c r="I22" s="30">
        <v>9</v>
      </c>
      <c r="J22" s="30">
        <v>5</v>
      </c>
      <c r="K22" s="30"/>
      <c r="L22" s="30"/>
      <c r="M22" s="30"/>
      <c r="N22" s="30"/>
      <c r="O22" s="30"/>
      <c r="P22" s="37"/>
    </row>
    <row r="23" spans="1:16" ht="28.5" customHeight="1" x14ac:dyDescent="0.25">
      <c r="A23" s="54"/>
      <c r="B23" s="36" t="s">
        <v>86</v>
      </c>
      <c r="C23" s="35">
        <v>1</v>
      </c>
      <c r="D23" s="29">
        <f t="shared" si="1"/>
        <v>0</v>
      </c>
      <c r="E23" s="30"/>
      <c r="F23" s="30"/>
      <c r="G23" s="30"/>
      <c r="H23" s="30"/>
      <c r="I23" s="30"/>
      <c r="J23" s="30"/>
      <c r="K23" s="30"/>
      <c r="L23" s="30"/>
      <c r="M23" s="30"/>
      <c r="N23" s="30"/>
      <c r="O23" s="30"/>
      <c r="P23" s="37"/>
    </row>
    <row r="24" spans="1:16" ht="24" customHeight="1" x14ac:dyDescent="0.25">
      <c r="A24" s="54"/>
      <c r="B24" s="38" t="s">
        <v>87</v>
      </c>
      <c r="C24" s="35">
        <v>7</v>
      </c>
      <c r="D24" s="29">
        <f t="shared" si="1"/>
        <v>4</v>
      </c>
      <c r="E24" s="30"/>
      <c r="F24" s="30"/>
      <c r="G24" s="30">
        <v>4</v>
      </c>
      <c r="H24" s="30"/>
      <c r="I24" s="30"/>
      <c r="J24" s="30"/>
      <c r="K24" s="30"/>
      <c r="L24" s="30"/>
      <c r="M24" s="30"/>
      <c r="N24" s="30"/>
      <c r="O24" s="30"/>
      <c r="P24" s="37"/>
    </row>
    <row r="25" spans="1:16" ht="24" customHeight="1" x14ac:dyDescent="0.25">
      <c r="A25" s="54"/>
      <c r="B25" s="38" t="s">
        <v>88</v>
      </c>
      <c r="C25" s="35">
        <v>7</v>
      </c>
      <c r="D25" s="29">
        <f t="shared" si="1"/>
        <v>6</v>
      </c>
      <c r="E25" s="30"/>
      <c r="F25" s="30"/>
      <c r="G25" s="30"/>
      <c r="H25" s="30">
        <v>5</v>
      </c>
      <c r="I25" s="30">
        <v>1</v>
      </c>
      <c r="J25" s="30"/>
      <c r="K25" s="30"/>
      <c r="L25" s="30"/>
      <c r="M25" s="30"/>
      <c r="N25" s="30"/>
      <c r="O25" s="30"/>
      <c r="P25" s="37"/>
    </row>
    <row r="26" spans="1:16" ht="24" customHeight="1" x14ac:dyDescent="0.25">
      <c r="A26" s="54"/>
      <c r="B26" s="38" t="s">
        <v>89</v>
      </c>
      <c r="C26" s="35">
        <v>7</v>
      </c>
      <c r="D26" s="29">
        <f t="shared" si="1"/>
        <v>6</v>
      </c>
      <c r="E26" s="30"/>
      <c r="F26" s="30"/>
      <c r="G26" s="30"/>
      <c r="H26" s="30"/>
      <c r="I26" s="30">
        <v>6</v>
      </c>
      <c r="J26" s="30"/>
      <c r="K26" s="30"/>
      <c r="L26" s="30"/>
      <c r="M26" s="30"/>
      <c r="N26" s="30"/>
      <c r="O26" s="30"/>
      <c r="P26" s="37"/>
    </row>
    <row r="27" spans="1:16" ht="24" customHeight="1" x14ac:dyDescent="0.25">
      <c r="A27" s="54"/>
      <c r="B27" s="38" t="s">
        <v>90</v>
      </c>
      <c r="C27" s="35">
        <v>7</v>
      </c>
      <c r="D27" s="29">
        <f t="shared" si="1"/>
        <v>0</v>
      </c>
      <c r="E27" s="30"/>
      <c r="F27" s="30"/>
      <c r="G27" s="30"/>
      <c r="H27" s="30"/>
      <c r="I27" s="30"/>
      <c r="J27" s="30"/>
      <c r="K27" s="30"/>
      <c r="L27" s="30"/>
      <c r="M27" s="30"/>
      <c r="N27" s="30"/>
      <c r="O27" s="30"/>
      <c r="P27" s="37"/>
    </row>
    <row r="28" spans="1:16" ht="24" customHeight="1" x14ac:dyDescent="0.25">
      <c r="A28" s="54"/>
      <c r="B28" s="38" t="s">
        <v>91</v>
      </c>
      <c r="C28" s="35">
        <v>7</v>
      </c>
      <c r="D28" s="29">
        <f t="shared" si="1"/>
        <v>0</v>
      </c>
      <c r="E28" s="30"/>
      <c r="F28" s="30"/>
      <c r="G28" s="30"/>
      <c r="H28" s="30"/>
      <c r="I28" s="30"/>
      <c r="J28" s="30"/>
      <c r="K28" s="30"/>
      <c r="L28" s="30"/>
      <c r="M28" s="30"/>
      <c r="N28" s="30"/>
      <c r="O28" s="30"/>
      <c r="P28" s="37"/>
    </row>
    <row r="29" spans="1:16" ht="24" customHeight="1" x14ac:dyDescent="0.25">
      <c r="A29" s="54"/>
      <c r="B29" s="38" t="s">
        <v>92</v>
      </c>
      <c r="C29" s="35">
        <v>1</v>
      </c>
      <c r="D29" s="29">
        <f t="shared" si="1"/>
        <v>0</v>
      </c>
      <c r="E29" s="30"/>
      <c r="F29" s="30"/>
      <c r="G29" s="30"/>
      <c r="H29" s="30"/>
      <c r="I29" s="30"/>
      <c r="J29" s="30"/>
      <c r="K29" s="30"/>
      <c r="L29" s="30"/>
      <c r="M29" s="30"/>
      <c r="N29" s="30"/>
      <c r="O29" s="30"/>
      <c r="P29" s="37"/>
    </row>
    <row r="30" spans="1:16" ht="24" customHeight="1" x14ac:dyDescent="0.25">
      <c r="A30" s="54"/>
      <c r="B30" s="38" t="s">
        <v>93</v>
      </c>
      <c r="C30" s="35">
        <v>1</v>
      </c>
      <c r="D30" s="29">
        <f t="shared" si="1"/>
        <v>0</v>
      </c>
      <c r="E30" s="30"/>
      <c r="F30" s="30"/>
      <c r="G30" s="30"/>
      <c r="H30" s="30"/>
      <c r="I30" s="30"/>
      <c r="J30" s="30"/>
      <c r="K30" s="30"/>
      <c r="L30" s="30"/>
      <c r="M30" s="30"/>
      <c r="N30" s="30"/>
      <c r="O30" s="30"/>
      <c r="P30" s="37"/>
    </row>
    <row r="31" spans="1:16" ht="24" customHeight="1" x14ac:dyDescent="0.25">
      <c r="A31" s="54"/>
      <c r="B31" s="38" t="s">
        <v>94</v>
      </c>
      <c r="C31" s="35">
        <v>1</v>
      </c>
      <c r="D31" s="29">
        <f t="shared" si="1"/>
        <v>0</v>
      </c>
      <c r="E31" s="30"/>
      <c r="F31" s="30"/>
      <c r="G31" s="30"/>
      <c r="H31" s="30"/>
      <c r="I31" s="30"/>
      <c r="J31" s="30"/>
      <c r="K31" s="30"/>
      <c r="L31" s="30"/>
      <c r="M31" s="30"/>
      <c r="N31" s="30"/>
      <c r="O31" s="30"/>
      <c r="P31" s="37"/>
    </row>
    <row r="32" spans="1:16" ht="24" customHeight="1" x14ac:dyDescent="0.25">
      <c r="A32" s="54"/>
      <c r="B32" s="38" t="s">
        <v>95</v>
      </c>
      <c r="C32" s="35">
        <v>1</v>
      </c>
      <c r="D32" s="29">
        <f t="shared" si="1"/>
        <v>0</v>
      </c>
      <c r="E32" s="30"/>
      <c r="F32" s="30"/>
      <c r="G32" s="30"/>
      <c r="H32" s="30"/>
      <c r="I32" s="30"/>
      <c r="J32" s="30"/>
      <c r="K32" s="30"/>
      <c r="L32" s="30"/>
      <c r="M32" s="30"/>
      <c r="N32" s="30"/>
      <c r="O32" s="30"/>
      <c r="P32" s="37"/>
    </row>
    <row r="33" spans="1:16" ht="24" customHeight="1" x14ac:dyDescent="0.25">
      <c r="A33" s="54"/>
      <c r="B33" s="38" t="s">
        <v>96</v>
      </c>
      <c r="C33" s="35">
        <v>1</v>
      </c>
      <c r="D33" s="29">
        <f t="shared" si="1"/>
        <v>0</v>
      </c>
      <c r="E33" s="30"/>
      <c r="F33" s="30"/>
      <c r="G33" s="30"/>
      <c r="H33" s="30"/>
      <c r="I33" s="30"/>
      <c r="J33" s="30"/>
      <c r="K33" s="30"/>
      <c r="L33" s="30"/>
      <c r="M33" s="30"/>
      <c r="N33" s="30"/>
      <c r="O33" s="30"/>
      <c r="P33" s="37"/>
    </row>
    <row r="34" spans="1:16" ht="24" customHeight="1" x14ac:dyDescent="0.25">
      <c r="A34" s="54"/>
      <c r="B34" s="38" t="s">
        <v>97</v>
      </c>
      <c r="C34" s="35">
        <v>1</v>
      </c>
      <c r="D34" s="29">
        <f t="shared" si="1"/>
        <v>0</v>
      </c>
      <c r="E34" s="30"/>
      <c r="F34" s="30"/>
      <c r="G34" s="30"/>
      <c r="H34" s="30"/>
      <c r="I34" s="30"/>
      <c r="J34" s="30"/>
      <c r="K34" s="30"/>
      <c r="L34" s="30"/>
      <c r="M34" s="30"/>
      <c r="N34" s="30"/>
      <c r="O34" s="30"/>
      <c r="P34" s="37"/>
    </row>
    <row r="35" spans="1:16" ht="24" customHeight="1" thickBot="1" x14ac:dyDescent="0.3">
      <c r="A35" s="55"/>
      <c r="B35" s="39" t="s">
        <v>98</v>
      </c>
      <c r="C35" s="35">
        <v>1</v>
      </c>
      <c r="D35" s="29">
        <f t="shared" si="1"/>
        <v>0</v>
      </c>
      <c r="E35" s="30"/>
      <c r="F35" s="30"/>
      <c r="G35" s="30"/>
      <c r="H35" s="30"/>
      <c r="I35" s="30"/>
      <c r="J35" s="30"/>
      <c r="K35" s="30"/>
      <c r="L35" s="30"/>
      <c r="M35" s="30"/>
      <c r="N35" s="30"/>
      <c r="O35" s="30"/>
      <c r="P35" s="37"/>
    </row>
    <row r="36" spans="1:16" x14ac:dyDescent="0.25">
      <c r="C36" s="40">
        <f>SUM(C3:C35)</f>
        <v>591</v>
      </c>
      <c r="D36" s="41">
        <f>SUM(D3:D35)</f>
        <v>227</v>
      </c>
    </row>
    <row r="37" spans="1:16" x14ac:dyDescent="0.25">
      <c r="C37" s="8"/>
      <c r="D37" s="42">
        <f>D36/C36</f>
        <v>0.38409475465313031</v>
      </c>
    </row>
  </sheetData>
  <sheetProtection algorithmName="SHA-512" hashValue="sVrNSJKM+dbW5aAU0VxkMI2EDu3XVRD9o//VSsOb4FRk8JlhbgtcRnpmP9XNQGh6wj9Igl21reUs/VUsmlgqpw==" saltValue="pu8dh+qW4vEVbBJVLDFfpw==" spinCount="100000" sheet="1" objects="1" scenarios="1" autoFilter="0"/>
  <mergeCells count="2">
    <mergeCell ref="A1:A2"/>
    <mergeCell ref="A8:A35"/>
  </mergeCells>
  <conditionalFormatting sqref="C3:D3 D4:D7">
    <cfRule type="dataBar" priority="46">
      <dataBar>
        <cfvo type="min"/>
        <cfvo type="max"/>
        <color rgb="FF008AEF"/>
      </dataBar>
      <extLst>
        <ext xmlns:x14="http://schemas.microsoft.com/office/spreadsheetml/2009/9/main" uri="{B025F937-C7B1-47D3-B67F-A62EFF666E3E}">
          <x14:id>{FD536ECF-3F31-4DA3-BCE5-7F6614B6589A}</x14:id>
        </ext>
      </extLst>
    </cfRule>
  </conditionalFormatting>
  <conditionalFormatting sqref="C4:D4">
    <cfRule type="dataBar" priority="5">
      <dataBar>
        <cfvo type="min"/>
        <cfvo type="max"/>
        <color rgb="FF008AEF"/>
      </dataBar>
      <extLst>
        <ext xmlns:x14="http://schemas.microsoft.com/office/spreadsheetml/2009/9/main" uri="{B025F937-C7B1-47D3-B67F-A62EFF666E3E}">
          <x14:id>{D37880AB-DDB4-4F3D-9BAD-B75FE387B83B}</x14:id>
        </ext>
      </extLst>
    </cfRule>
  </conditionalFormatting>
  <conditionalFormatting sqref="C5:D5">
    <cfRule type="dataBar" priority="6">
      <dataBar>
        <cfvo type="min"/>
        <cfvo type="max"/>
        <color rgb="FF008AEF"/>
      </dataBar>
      <extLst>
        <ext xmlns:x14="http://schemas.microsoft.com/office/spreadsheetml/2009/9/main" uri="{B025F937-C7B1-47D3-B67F-A62EFF666E3E}">
          <x14:id>{5070C12C-572A-43D8-832F-1844FF73955C}</x14:id>
        </ext>
      </extLst>
    </cfRule>
  </conditionalFormatting>
  <conditionalFormatting sqref="C6:D6">
    <cfRule type="dataBar" priority="7">
      <dataBar>
        <cfvo type="min"/>
        <cfvo type="max"/>
        <color rgb="FF008AEF"/>
      </dataBar>
      <extLst>
        <ext xmlns:x14="http://schemas.microsoft.com/office/spreadsheetml/2009/9/main" uri="{B025F937-C7B1-47D3-B67F-A62EFF666E3E}">
          <x14:id>{7A2D982A-AB3E-4389-8729-947DFB9EBFAF}</x14:id>
        </ext>
      </extLst>
    </cfRule>
  </conditionalFormatting>
  <conditionalFormatting sqref="C7:D7">
    <cfRule type="dataBar" priority="8">
      <dataBar>
        <cfvo type="min"/>
        <cfvo type="max"/>
        <color rgb="FF008AEF"/>
      </dataBar>
      <extLst>
        <ext xmlns:x14="http://schemas.microsoft.com/office/spreadsheetml/2009/9/main" uri="{B025F937-C7B1-47D3-B67F-A62EFF666E3E}">
          <x14:id>{CB08797E-E8FC-43FB-886E-804BEB06DFD4}</x14:id>
        </ext>
      </extLst>
    </cfRule>
  </conditionalFormatting>
  <conditionalFormatting sqref="C8:D8">
    <cfRule type="dataBar" priority="13">
      <dataBar>
        <cfvo type="min"/>
        <cfvo type="max"/>
        <color rgb="FF008AEF"/>
      </dataBar>
      <extLst>
        <ext xmlns:x14="http://schemas.microsoft.com/office/spreadsheetml/2009/9/main" uri="{B025F937-C7B1-47D3-B67F-A62EFF666E3E}">
          <x14:id>{FD229F3D-330A-43F2-836E-D696E4A6C6C8}</x14:id>
        </ext>
      </extLst>
    </cfRule>
  </conditionalFormatting>
  <conditionalFormatting sqref="C9:D9">
    <cfRule type="dataBar" priority="40">
      <dataBar>
        <cfvo type="min"/>
        <cfvo type="max"/>
        <color rgb="FF008AEF"/>
      </dataBar>
      <extLst>
        <ext xmlns:x14="http://schemas.microsoft.com/office/spreadsheetml/2009/9/main" uri="{B025F937-C7B1-47D3-B67F-A62EFF666E3E}">
          <x14:id>{A0648FCA-8DA2-47D6-A055-CC87882A2925}</x14:id>
        </ext>
      </extLst>
    </cfRule>
  </conditionalFormatting>
  <conditionalFormatting sqref="C10:D10">
    <cfRule type="dataBar" priority="39">
      <dataBar>
        <cfvo type="min"/>
        <cfvo type="max"/>
        <color rgb="FF008AEF"/>
      </dataBar>
      <extLst>
        <ext xmlns:x14="http://schemas.microsoft.com/office/spreadsheetml/2009/9/main" uri="{B025F937-C7B1-47D3-B67F-A62EFF666E3E}">
          <x14:id>{F1C1201F-0133-49EB-ACF3-8FDFBE29C33B}</x14:id>
        </ext>
      </extLst>
    </cfRule>
  </conditionalFormatting>
  <conditionalFormatting sqref="C11:D11">
    <cfRule type="dataBar" priority="38">
      <dataBar>
        <cfvo type="min"/>
        <cfvo type="max"/>
        <color rgb="FF008AEF"/>
      </dataBar>
      <extLst>
        <ext xmlns:x14="http://schemas.microsoft.com/office/spreadsheetml/2009/9/main" uri="{B025F937-C7B1-47D3-B67F-A62EFF666E3E}">
          <x14:id>{84EFE888-3F66-42FA-B19E-F146DE3FA62E}</x14:id>
        </ext>
      </extLst>
    </cfRule>
  </conditionalFormatting>
  <conditionalFormatting sqref="C12:D12">
    <cfRule type="dataBar" priority="37">
      <dataBar>
        <cfvo type="min"/>
        <cfvo type="max"/>
        <color rgb="FF008AEF"/>
      </dataBar>
      <extLst>
        <ext xmlns:x14="http://schemas.microsoft.com/office/spreadsheetml/2009/9/main" uri="{B025F937-C7B1-47D3-B67F-A62EFF666E3E}">
          <x14:id>{BAAFB59C-03D4-414C-AF19-4D528926A1B5}</x14:id>
        </ext>
      </extLst>
    </cfRule>
  </conditionalFormatting>
  <conditionalFormatting sqref="C13:D13">
    <cfRule type="dataBar" priority="36">
      <dataBar>
        <cfvo type="min"/>
        <cfvo type="max"/>
        <color rgb="FF008AEF"/>
      </dataBar>
      <extLst>
        <ext xmlns:x14="http://schemas.microsoft.com/office/spreadsheetml/2009/9/main" uri="{B025F937-C7B1-47D3-B67F-A62EFF666E3E}">
          <x14:id>{6640C02D-C9AF-4172-BB3F-F2B7E6DD95ED}</x14:id>
        </ext>
      </extLst>
    </cfRule>
  </conditionalFormatting>
  <conditionalFormatting sqref="C14:D14">
    <cfRule type="dataBar" priority="35">
      <dataBar>
        <cfvo type="min"/>
        <cfvo type="max"/>
        <color rgb="FF008AEF"/>
      </dataBar>
      <extLst>
        <ext xmlns:x14="http://schemas.microsoft.com/office/spreadsheetml/2009/9/main" uri="{B025F937-C7B1-47D3-B67F-A62EFF666E3E}">
          <x14:id>{C2D5A57F-E391-499D-A5C0-2AF74FBEB1A5}</x14:id>
        </ext>
      </extLst>
    </cfRule>
  </conditionalFormatting>
  <conditionalFormatting sqref="C15:D15">
    <cfRule type="dataBar" priority="34">
      <dataBar>
        <cfvo type="min"/>
        <cfvo type="max"/>
        <color rgb="FF008AEF"/>
      </dataBar>
      <extLst>
        <ext xmlns:x14="http://schemas.microsoft.com/office/spreadsheetml/2009/9/main" uri="{B025F937-C7B1-47D3-B67F-A62EFF666E3E}">
          <x14:id>{3014D187-15B3-4C02-A5D6-7CAED37A1854}</x14:id>
        </ext>
      </extLst>
    </cfRule>
  </conditionalFormatting>
  <conditionalFormatting sqref="C16:D16">
    <cfRule type="dataBar" priority="33">
      <dataBar>
        <cfvo type="min"/>
        <cfvo type="max"/>
        <color rgb="FF008AEF"/>
      </dataBar>
      <extLst>
        <ext xmlns:x14="http://schemas.microsoft.com/office/spreadsheetml/2009/9/main" uri="{B025F937-C7B1-47D3-B67F-A62EFF666E3E}">
          <x14:id>{B5F97D68-8265-4A3B-9D51-D6115F4ECF56}</x14:id>
        </ext>
      </extLst>
    </cfRule>
  </conditionalFormatting>
  <conditionalFormatting sqref="C17:D17">
    <cfRule type="dataBar" priority="32">
      <dataBar>
        <cfvo type="min"/>
        <cfvo type="max"/>
        <color rgb="FF008AEF"/>
      </dataBar>
      <extLst>
        <ext xmlns:x14="http://schemas.microsoft.com/office/spreadsheetml/2009/9/main" uri="{B025F937-C7B1-47D3-B67F-A62EFF666E3E}">
          <x14:id>{455CC47D-E10B-4ADF-B738-59647BA92DD7}</x14:id>
        </ext>
      </extLst>
    </cfRule>
  </conditionalFormatting>
  <conditionalFormatting sqref="C18:D18">
    <cfRule type="dataBar" priority="31">
      <dataBar>
        <cfvo type="min"/>
        <cfvo type="max"/>
        <color rgb="FF008AEF"/>
      </dataBar>
      <extLst>
        <ext xmlns:x14="http://schemas.microsoft.com/office/spreadsheetml/2009/9/main" uri="{B025F937-C7B1-47D3-B67F-A62EFF666E3E}">
          <x14:id>{3BEE5134-9232-416C-A5D3-5707AF4EF045}</x14:id>
        </ext>
      </extLst>
    </cfRule>
  </conditionalFormatting>
  <conditionalFormatting sqref="C19:D19">
    <cfRule type="dataBar" priority="30">
      <dataBar>
        <cfvo type="min"/>
        <cfvo type="max"/>
        <color rgb="FF008AEF"/>
      </dataBar>
      <extLst>
        <ext xmlns:x14="http://schemas.microsoft.com/office/spreadsheetml/2009/9/main" uri="{B025F937-C7B1-47D3-B67F-A62EFF666E3E}">
          <x14:id>{753A53C2-ABD2-40E7-8524-7E05575B4B18}</x14:id>
        </ext>
      </extLst>
    </cfRule>
  </conditionalFormatting>
  <conditionalFormatting sqref="C20:D20">
    <cfRule type="dataBar" priority="29">
      <dataBar>
        <cfvo type="min"/>
        <cfvo type="max"/>
        <color rgb="FF008AEF"/>
      </dataBar>
      <extLst>
        <ext xmlns:x14="http://schemas.microsoft.com/office/spreadsheetml/2009/9/main" uri="{B025F937-C7B1-47D3-B67F-A62EFF666E3E}">
          <x14:id>{A7A0CA03-5295-4B94-A878-2C8DBFA82BDF}</x14:id>
        </ext>
      </extLst>
    </cfRule>
  </conditionalFormatting>
  <conditionalFormatting sqref="C21:D21">
    <cfRule type="dataBar" priority="28">
      <dataBar>
        <cfvo type="min"/>
        <cfvo type="max"/>
        <color rgb="FF008AEF"/>
      </dataBar>
      <extLst>
        <ext xmlns:x14="http://schemas.microsoft.com/office/spreadsheetml/2009/9/main" uri="{B025F937-C7B1-47D3-B67F-A62EFF666E3E}">
          <x14:id>{B13F39EF-DA36-4F5B-9498-CCD9F5E779A8}</x14:id>
        </ext>
      </extLst>
    </cfRule>
  </conditionalFormatting>
  <conditionalFormatting sqref="C22:D22">
    <cfRule type="dataBar" priority="27">
      <dataBar>
        <cfvo type="min"/>
        <cfvo type="max"/>
        <color rgb="FF008AEF"/>
      </dataBar>
      <extLst>
        <ext xmlns:x14="http://schemas.microsoft.com/office/spreadsheetml/2009/9/main" uri="{B025F937-C7B1-47D3-B67F-A62EFF666E3E}">
          <x14:id>{A9CE92CD-A7BC-4D6E-9794-CB9D33FE7B57}</x14:id>
        </ext>
      </extLst>
    </cfRule>
  </conditionalFormatting>
  <conditionalFormatting sqref="C23:D23">
    <cfRule type="dataBar" priority="26">
      <dataBar>
        <cfvo type="min"/>
        <cfvo type="max"/>
        <color rgb="FF008AEF"/>
      </dataBar>
      <extLst>
        <ext xmlns:x14="http://schemas.microsoft.com/office/spreadsheetml/2009/9/main" uri="{B025F937-C7B1-47D3-B67F-A62EFF666E3E}">
          <x14:id>{40F7A8BF-6D3E-43D4-BDC4-B39BDA92DF1E}</x14:id>
        </ext>
      </extLst>
    </cfRule>
  </conditionalFormatting>
  <conditionalFormatting sqref="C24:D24">
    <cfRule type="dataBar" priority="25">
      <dataBar>
        <cfvo type="min"/>
        <cfvo type="max"/>
        <color rgb="FF008AEF"/>
      </dataBar>
      <extLst>
        <ext xmlns:x14="http://schemas.microsoft.com/office/spreadsheetml/2009/9/main" uri="{B025F937-C7B1-47D3-B67F-A62EFF666E3E}">
          <x14:id>{89BDB08A-C15F-4763-8D04-FD12E7A97707}</x14:id>
        </ext>
      </extLst>
    </cfRule>
  </conditionalFormatting>
  <conditionalFormatting sqref="C25:D25">
    <cfRule type="dataBar" priority="24">
      <dataBar>
        <cfvo type="min"/>
        <cfvo type="max"/>
        <color rgb="FF008AEF"/>
      </dataBar>
      <extLst>
        <ext xmlns:x14="http://schemas.microsoft.com/office/spreadsheetml/2009/9/main" uri="{B025F937-C7B1-47D3-B67F-A62EFF666E3E}">
          <x14:id>{E415A205-5E67-4248-8CCA-7730A383DCE5}</x14:id>
        </ext>
      </extLst>
    </cfRule>
  </conditionalFormatting>
  <conditionalFormatting sqref="C26:D26">
    <cfRule type="dataBar" priority="23">
      <dataBar>
        <cfvo type="min"/>
        <cfvo type="max"/>
        <color rgb="FF008AEF"/>
      </dataBar>
      <extLst>
        <ext xmlns:x14="http://schemas.microsoft.com/office/spreadsheetml/2009/9/main" uri="{B025F937-C7B1-47D3-B67F-A62EFF666E3E}">
          <x14:id>{386B5226-A5A6-4B51-A436-5FCD57C6AA53}</x14:id>
        </ext>
      </extLst>
    </cfRule>
  </conditionalFormatting>
  <conditionalFormatting sqref="C27:D27">
    <cfRule type="dataBar" priority="22">
      <dataBar>
        <cfvo type="min"/>
        <cfvo type="max"/>
        <color rgb="FF008AEF"/>
      </dataBar>
      <extLst>
        <ext xmlns:x14="http://schemas.microsoft.com/office/spreadsheetml/2009/9/main" uri="{B025F937-C7B1-47D3-B67F-A62EFF666E3E}">
          <x14:id>{92BBB696-B8E7-43FC-BDBB-4B026A058349}</x14:id>
        </ext>
      </extLst>
    </cfRule>
  </conditionalFormatting>
  <conditionalFormatting sqref="C28:D28">
    <cfRule type="dataBar" priority="21">
      <dataBar>
        <cfvo type="min"/>
        <cfvo type="max"/>
        <color rgb="FF008AEF"/>
      </dataBar>
      <extLst>
        <ext xmlns:x14="http://schemas.microsoft.com/office/spreadsheetml/2009/9/main" uri="{B025F937-C7B1-47D3-B67F-A62EFF666E3E}">
          <x14:id>{3A16CE81-C003-432D-A1D6-3379D46B8D10}</x14:id>
        </ext>
      </extLst>
    </cfRule>
  </conditionalFormatting>
  <conditionalFormatting sqref="C29:D29">
    <cfRule type="dataBar" priority="20">
      <dataBar>
        <cfvo type="min"/>
        <cfvo type="max"/>
        <color rgb="FF008AEF"/>
      </dataBar>
      <extLst>
        <ext xmlns:x14="http://schemas.microsoft.com/office/spreadsheetml/2009/9/main" uri="{B025F937-C7B1-47D3-B67F-A62EFF666E3E}">
          <x14:id>{901FE0C1-EAE3-410A-8D2F-929C2F3EC722}</x14:id>
        </ext>
      </extLst>
    </cfRule>
  </conditionalFormatting>
  <conditionalFormatting sqref="C30:D30">
    <cfRule type="dataBar" priority="19">
      <dataBar>
        <cfvo type="min"/>
        <cfvo type="max"/>
        <color rgb="FF008AEF"/>
      </dataBar>
      <extLst>
        <ext xmlns:x14="http://schemas.microsoft.com/office/spreadsheetml/2009/9/main" uri="{B025F937-C7B1-47D3-B67F-A62EFF666E3E}">
          <x14:id>{DFEA5A2C-F631-44CB-A318-AC5836CB547F}</x14:id>
        </ext>
      </extLst>
    </cfRule>
  </conditionalFormatting>
  <conditionalFormatting sqref="C31:D31">
    <cfRule type="dataBar" priority="18">
      <dataBar>
        <cfvo type="min"/>
        <cfvo type="max"/>
        <color rgb="FF008AEF"/>
      </dataBar>
      <extLst>
        <ext xmlns:x14="http://schemas.microsoft.com/office/spreadsheetml/2009/9/main" uri="{B025F937-C7B1-47D3-B67F-A62EFF666E3E}">
          <x14:id>{33F7C619-9F27-4602-9BF7-EF6416969E9E}</x14:id>
        </ext>
      </extLst>
    </cfRule>
  </conditionalFormatting>
  <conditionalFormatting sqref="C32:D32">
    <cfRule type="dataBar" priority="17">
      <dataBar>
        <cfvo type="min"/>
        <cfvo type="max"/>
        <color rgb="FF008AEF"/>
      </dataBar>
      <extLst>
        <ext xmlns:x14="http://schemas.microsoft.com/office/spreadsheetml/2009/9/main" uri="{B025F937-C7B1-47D3-B67F-A62EFF666E3E}">
          <x14:id>{9C90C080-59BA-4C22-BB87-21D5FC2F98EF}</x14:id>
        </ext>
      </extLst>
    </cfRule>
  </conditionalFormatting>
  <conditionalFormatting sqref="C33:D33">
    <cfRule type="dataBar" priority="16">
      <dataBar>
        <cfvo type="min"/>
        <cfvo type="max"/>
        <color rgb="FF008AEF"/>
      </dataBar>
      <extLst>
        <ext xmlns:x14="http://schemas.microsoft.com/office/spreadsheetml/2009/9/main" uri="{B025F937-C7B1-47D3-B67F-A62EFF666E3E}">
          <x14:id>{86ED7B02-62D5-4F7B-AB90-A83B29C62D53}</x14:id>
        </ext>
      </extLst>
    </cfRule>
  </conditionalFormatting>
  <conditionalFormatting sqref="C34:D34">
    <cfRule type="dataBar" priority="15">
      <dataBar>
        <cfvo type="min"/>
        <cfvo type="max"/>
        <color rgb="FF008AEF"/>
      </dataBar>
      <extLst>
        <ext xmlns:x14="http://schemas.microsoft.com/office/spreadsheetml/2009/9/main" uri="{B025F937-C7B1-47D3-B67F-A62EFF666E3E}">
          <x14:id>{53BB8053-B915-4C16-A422-8D72C16954CB}</x14:id>
        </ext>
      </extLst>
    </cfRule>
  </conditionalFormatting>
  <conditionalFormatting sqref="C35:D35">
    <cfRule type="dataBar" priority="14">
      <dataBar>
        <cfvo type="min"/>
        <cfvo type="max"/>
        <color rgb="FF008AEF"/>
      </dataBar>
      <extLst>
        <ext xmlns:x14="http://schemas.microsoft.com/office/spreadsheetml/2009/9/main" uri="{B025F937-C7B1-47D3-B67F-A62EFF666E3E}">
          <x14:id>{348F581E-9CD8-4160-A2CD-60BCB7AEC446}</x14:id>
        </ext>
      </extLst>
    </cfRule>
  </conditionalFormatting>
  <conditionalFormatting sqref="E3:F6 E8:O35">
    <cfRule type="cellIs" dxfId="29" priority="2" operator="greaterThan">
      <formula>0</formula>
    </cfRule>
  </conditionalFormatting>
  <conditionalFormatting sqref="F7">
    <cfRule type="cellIs" dxfId="28" priority="1" operator="greaterThan">
      <formula>0</formula>
    </cfRule>
  </conditionalFormatting>
  <conditionalFormatting sqref="G3:P7">
    <cfRule type="cellIs" dxfId="27" priority="3" operator="greaterThan">
      <formula>0</formula>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FD536ECF-3F31-4DA3-BCE5-7F6614B6589A}">
            <x14:dataBar minLength="0" maxLength="100" gradient="0">
              <x14:cfvo type="autoMin"/>
              <x14:cfvo type="autoMax"/>
              <x14:negativeFillColor rgb="FFFF0000"/>
              <x14:axisColor rgb="FF000000"/>
            </x14:dataBar>
          </x14:cfRule>
          <xm:sqref>C3:D3 D4:D7</xm:sqref>
        </x14:conditionalFormatting>
        <x14:conditionalFormatting xmlns:xm="http://schemas.microsoft.com/office/excel/2006/main">
          <x14:cfRule type="dataBar" id="{D37880AB-DDB4-4F3D-9BAD-B75FE387B83B}">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5070C12C-572A-43D8-832F-1844FF73955C}">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7A2D982A-AB3E-4389-8729-947DFB9EBFAF}">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CB08797E-E8FC-43FB-886E-804BEB06DFD4}">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FD229F3D-330A-43F2-836E-D696E4A6C6C8}">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A0648FCA-8DA2-47D6-A055-CC87882A2925}">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F1C1201F-0133-49EB-ACF3-8FDFBE29C33B}">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84EFE888-3F66-42FA-B19E-F146DE3FA62E}">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BAAFB59C-03D4-414C-AF19-4D528926A1B5}">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6640C02D-C9AF-4172-BB3F-F2B7E6DD95ED}">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C2D5A57F-E391-499D-A5C0-2AF74FBEB1A5}">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3014D187-15B3-4C02-A5D6-7CAED37A1854}">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B5F97D68-8265-4A3B-9D51-D6115F4ECF56}">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455CC47D-E10B-4ADF-B738-59647BA92DD7}">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3BEE5134-9232-416C-A5D3-5707AF4EF045}">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753A53C2-ABD2-40E7-8524-7E05575B4B18}">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A7A0CA03-5295-4B94-A878-2C8DBFA82BDF}">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B13F39EF-DA36-4F5B-9498-CCD9F5E779A8}">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A9CE92CD-A7BC-4D6E-9794-CB9D33FE7B57}">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40F7A8BF-6D3E-43D4-BDC4-B39BDA92DF1E}">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89BDB08A-C15F-4763-8D04-FD12E7A97707}">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E415A205-5E67-4248-8CCA-7730A383DCE5}">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386B5226-A5A6-4B51-A436-5FCD57C6AA53}">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92BBB696-B8E7-43FC-BDBB-4B026A058349}">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3A16CE81-C003-432D-A1D6-3379D46B8D10}">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901FE0C1-EAE3-410A-8D2F-929C2F3EC722}">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DFEA5A2C-F631-44CB-A318-AC5836CB547F}">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33F7C619-9F27-4602-9BF7-EF6416969E9E}">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9C90C080-59BA-4C22-BB87-21D5FC2F98EF}">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86ED7B02-62D5-4F7B-AB90-A83B29C62D53}">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53BB8053-B915-4C16-A422-8D72C16954CB}">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348F581E-9CD8-4160-A2CD-60BCB7AEC446}">
            <x14:dataBar minLength="0" maxLength="100" gradient="0">
              <x14:cfvo type="autoMin"/>
              <x14:cfvo type="autoMax"/>
              <x14:negativeFillColor rgb="FFFF0000"/>
              <x14:axisColor rgb="FF000000"/>
            </x14:dataBar>
          </x14:cfRule>
          <xm:sqref>C35:D35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38"/>
  <sheetViews>
    <sheetView zoomScale="70" zoomScaleNormal="70" workbookViewId="0">
      <selection activeCell="N16" sqref="N16"/>
    </sheetView>
  </sheetViews>
  <sheetFormatPr baseColWidth="10" defaultColWidth="11.42578125" defaultRowHeight="15" x14ac:dyDescent="0.25"/>
  <cols>
    <col min="1" max="1" width="7.7109375" style="2" customWidth="1"/>
    <col min="2" max="2" width="106.7109375" style="2" customWidth="1"/>
    <col min="3" max="3" width="11.42578125" style="2"/>
    <col min="4" max="4" width="22.42578125" style="2" customWidth="1"/>
    <col min="5" max="9" width="17.28515625" style="2" customWidth="1"/>
    <col min="10" max="16384" width="11.42578125" style="2"/>
  </cols>
  <sheetData>
    <row r="1" spans="1:16" ht="61.5" customHeight="1" x14ac:dyDescent="0.25">
      <c r="A1" s="51" t="s">
        <v>1</v>
      </c>
      <c r="B1" s="23" t="s">
        <v>27</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3" customFormat="1" ht="15.75" thickBot="1" x14ac:dyDescent="0.3">
      <c r="A2" s="52"/>
      <c r="B2" s="23"/>
      <c r="C2" s="25">
        <v>2026</v>
      </c>
      <c r="D2" s="25" t="s">
        <v>16</v>
      </c>
      <c r="E2" s="26"/>
      <c r="F2" s="26"/>
      <c r="G2" s="26"/>
      <c r="H2" s="26"/>
      <c r="I2" s="26"/>
      <c r="J2" s="26"/>
      <c r="K2" s="26"/>
      <c r="L2" s="26"/>
      <c r="M2" s="26"/>
      <c r="N2" s="26"/>
      <c r="O2" s="26"/>
      <c r="P2" s="26"/>
    </row>
    <row r="3" spans="1:16" ht="81" customHeight="1" x14ac:dyDescent="0.25">
      <c r="A3" s="43" t="s">
        <v>18</v>
      </c>
      <c r="B3" s="4" t="s">
        <v>17</v>
      </c>
      <c r="C3" s="28">
        <v>2</v>
      </c>
      <c r="D3" s="29">
        <f t="shared" ref="D3:D8" si="0">SUM(E3:P3)</f>
        <v>1</v>
      </c>
      <c r="E3" s="30"/>
      <c r="F3" s="30"/>
      <c r="G3" s="30">
        <v>1</v>
      </c>
      <c r="H3" s="30"/>
      <c r="I3" s="30"/>
      <c r="J3" s="30"/>
      <c r="K3" s="30"/>
      <c r="L3" s="30"/>
      <c r="M3" s="30"/>
      <c r="N3" s="30"/>
      <c r="O3" s="30"/>
      <c r="P3" s="30"/>
    </row>
    <row r="4" spans="1:16" ht="81" customHeight="1" x14ac:dyDescent="0.25">
      <c r="A4" s="44" t="s">
        <v>20</v>
      </c>
      <c r="B4" s="5" t="s">
        <v>19</v>
      </c>
      <c r="C4" s="32">
        <v>2</v>
      </c>
      <c r="D4" s="29">
        <f t="shared" si="0"/>
        <v>0</v>
      </c>
      <c r="E4" s="30">
        <v>0</v>
      </c>
      <c r="F4" s="30">
        <v>0</v>
      </c>
      <c r="G4" s="30">
        <v>0</v>
      </c>
      <c r="H4" s="30">
        <v>0</v>
      </c>
      <c r="I4" s="30"/>
      <c r="J4" s="30"/>
      <c r="K4" s="30"/>
      <c r="L4" s="30"/>
      <c r="M4" s="30"/>
      <c r="N4" s="30"/>
      <c r="O4" s="30"/>
      <c r="P4" s="30"/>
    </row>
    <row r="5" spans="1:16" ht="81" customHeight="1" x14ac:dyDescent="0.25">
      <c r="A5" s="45" t="s">
        <v>22</v>
      </c>
      <c r="B5" s="6" t="s">
        <v>21</v>
      </c>
      <c r="C5" s="33">
        <v>2</v>
      </c>
      <c r="D5" s="29">
        <f t="shared" si="0"/>
        <v>1</v>
      </c>
      <c r="E5" s="30">
        <v>0</v>
      </c>
      <c r="F5" s="30">
        <v>0</v>
      </c>
      <c r="G5" s="30">
        <v>0</v>
      </c>
      <c r="H5" s="30">
        <v>1</v>
      </c>
      <c r="I5" s="30"/>
      <c r="J5" s="30"/>
      <c r="K5" s="30"/>
      <c r="L5" s="30"/>
      <c r="M5" s="30"/>
      <c r="N5" s="30"/>
      <c r="O5" s="30"/>
      <c r="P5" s="30"/>
    </row>
    <row r="6" spans="1:16" ht="81" customHeight="1" x14ac:dyDescent="0.25">
      <c r="A6" s="43" t="s">
        <v>18</v>
      </c>
      <c r="B6" s="4" t="s">
        <v>23</v>
      </c>
      <c r="C6" s="35">
        <v>2</v>
      </c>
      <c r="D6" s="29">
        <f t="shared" si="0"/>
        <v>1</v>
      </c>
      <c r="E6" s="30"/>
      <c r="F6" s="30"/>
      <c r="G6" s="30">
        <v>1</v>
      </c>
      <c r="H6" s="30"/>
      <c r="I6" s="30"/>
      <c r="J6" s="30"/>
      <c r="K6" s="30"/>
      <c r="L6" s="30"/>
      <c r="M6" s="30"/>
      <c r="N6" s="30"/>
      <c r="O6" s="30"/>
      <c r="P6" s="30"/>
    </row>
    <row r="7" spans="1:16" ht="81" customHeight="1" x14ac:dyDescent="0.25">
      <c r="A7" s="43" t="s">
        <v>18</v>
      </c>
      <c r="B7" s="4" t="s">
        <v>24</v>
      </c>
      <c r="C7" s="35">
        <v>1</v>
      </c>
      <c r="D7" s="29">
        <f t="shared" si="0"/>
        <v>0</v>
      </c>
      <c r="E7" s="30"/>
      <c r="F7" s="30"/>
      <c r="G7" s="30"/>
      <c r="H7" s="30"/>
      <c r="I7" s="30"/>
      <c r="J7" s="30"/>
      <c r="K7" s="30"/>
      <c r="L7" s="30"/>
      <c r="M7" s="30"/>
      <c r="N7" s="30"/>
      <c r="O7" s="30"/>
      <c r="P7" s="30"/>
    </row>
    <row r="8" spans="1:16" ht="81" customHeight="1" x14ac:dyDescent="0.25">
      <c r="A8" s="43" t="s">
        <v>18</v>
      </c>
      <c r="B8" s="4" t="s">
        <v>28</v>
      </c>
      <c r="C8" s="35">
        <v>1</v>
      </c>
      <c r="D8" s="29">
        <f t="shared" si="0"/>
        <v>1</v>
      </c>
      <c r="E8" s="30"/>
      <c r="F8" s="30"/>
      <c r="G8" s="30"/>
      <c r="H8" s="30">
        <v>1</v>
      </c>
      <c r="I8" s="30"/>
      <c r="J8" s="30"/>
      <c r="K8" s="30"/>
      <c r="L8" s="30"/>
      <c r="M8" s="30"/>
      <c r="N8" s="30"/>
      <c r="O8" s="30"/>
      <c r="P8" s="30"/>
    </row>
    <row r="9" spans="1:16" ht="28.5" customHeight="1" x14ac:dyDescent="0.25">
      <c r="A9" s="53" t="s">
        <v>70</v>
      </c>
      <c r="B9" s="36" t="s">
        <v>71</v>
      </c>
      <c r="C9" s="35">
        <v>3</v>
      </c>
      <c r="D9" s="29">
        <f t="shared" ref="D9:D36" si="1">SUM(E9:O9)</f>
        <v>3</v>
      </c>
      <c r="E9" s="30"/>
      <c r="F9" s="30"/>
      <c r="G9" s="30">
        <v>1</v>
      </c>
      <c r="H9" s="30">
        <v>1</v>
      </c>
      <c r="I9" s="30">
        <v>1</v>
      </c>
      <c r="J9" s="30"/>
      <c r="K9" s="30"/>
      <c r="L9" s="30"/>
      <c r="M9" s="30"/>
      <c r="N9" s="30"/>
      <c r="O9" s="30"/>
      <c r="P9" s="37"/>
    </row>
    <row r="10" spans="1:16" ht="28.5" customHeight="1" x14ac:dyDescent="0.25">
      <c r="A10" s="54"/>
      <c r="B10" s="36" t="s">
        <v>72</v>
      </c>
      <c r="C10" s="35">
        <v>3</v>
      </c>
      <c r="D10" s="29">
        <f t="shared" si="1"/>
        <v>0</v>
      </c>
      <c r="E10" s="30"/>
      <c r="F10" s="30"/>
      <c r="G10" s="30"/>
      <c r="H10" s="30"/>
      <c r="I10" s="30"/>
      <c r="J10" s="30"/>
      <c r="K10" s="30"/>
      <c r="L10" s="30"/>
      <c r="M10" s="30"/>
      <c r="N10" s="30"/>
      <c r="O10" s="30"/>
      <c r="P10" s="37"/>
    </row>
    <row r="11" spans="1:16" ht="28.5" customHeight="1" x14ac:dyDescent="0.25">
      <c r="A11" s="54"/>
      <c r="B11" s="36" t="s">
        <v>73</v>
      </c>
      <c r="C11" s="35">
        <v>88</v>
      </c>
      <c r="D11" s="29">
        <f t="shared" si="1"/>
        <v>41</v>
      </c>
      <c r="E11" s="30"/>
      <c r="F11" s="30">
        <v>9</v>
      </c>
      <c r="G11" s="30">
        <v>9</v>
      </c>
      <c r="H11" s="30">
        <v>11</v>
      </c>
      <c r="I11" s="30">
        <v>12</v>
      </c>
      <c r="J11" s="30"/>
      <c r="K11" s="30"/>
      <c r="L11" s="30"/>
      <c r="M11" s="30"/>
      <c r="N11" s="30"/>
      <c r="O11" s="30"/>
      <c r="P11" s="37"/>
    </row>
    <row r="12" spans="1:16" ht="28.5" customHeight="1" x14ac:dyDescent="0.25">
      <c r="A12" s="54"/>
      <c r="B12" s="36" t="s">
        <v>74</v>
      </c>
      <c r="C12" s="35">
        <v>64</v>
      </c>
      <c r="D12" s="29">
        <f t="shared" si="1"/>
        <v>43</v>
      </c>
      <c r="E12" s="30"/>
      <c r="F12" s="30"/>
      <c r="G12" s="30">
        <v>21</v>
      </c>
      <c r="H12" s="30">
        <v>11</v>
      </c>
      <c r="I12" s="30"/>
      <c r="J12" s="30">
        <v>11</v>
      </c>
      <c r="K12" s="30"/>
      <c r="L12" s="30"/>
      <c r="M12" s="30"/>
      <c r="N12" s="30"/>
      <c r="O12" s="30"/>
      <c r="P12" s="37"/>
    </row>
    <row r="13" spans="1:16" ht="28.5" customHeight="1" x14ac:dyDescent="0.25">
      <c r="A13" s="54"/>
      <c r="B13" s="36" t="s">
        <v>75</v>
      </c>
      <c r="C13" s="35">
        <v>2</v>
      </c>
      <c r="D13" s="29">
        <f t="shared" si="1"/>
        <v>1</v>
      </c>
      <c r="E13" s="30"/>
      <c r="F13" s="30"/>
      <c r="G13" s="30">
        <v>1</v>
      </c>
      <c r="H13" s="30"/>
      <c r="I13" s="30"/>
      <c r="J13" s="30"/>
      <c r="K13" s="30"/>
      <c r="L13" s="30"/>
      <c r="M13" s="30"/>
      <c r="N13" s="30"/>
      <c r="O13" s="30"/>
      <c r="P13" s="37"/>
    </row>
    <row r="14" spans="1:16" ht="28.5" customHeight="1" x14ac:dyDescent="0.25">
      <c r="A14" s="54"/>
      <c r="B14" s="36" t="s">
        <v>76</v>
      </c>
      <c r="C14" s="35">
        <v>20</v>
      </c>
      <c r="D14" s="29">
        <f t="shared" si="1"/>
        <v>0</v>
      </c>
      <c r="E14" s="30"/>
      <c r="F14" s="30"/>
      <c r="G14" s="30"/>
      <c r="H14" s="30"/>
      <c r="I14" s="30"/>
      <c r="J14" s="30"/>
      <c r="K14" s="30"/>
      <c r="L14" s="30"/>
      <c r="M14" s="30"/>
      <c r="N14" s="30"/>
      <c r="O14" s="30"/>
      <c r="P14" s="37"/>
    </row>
    <row r="15" spans="1:16" ht="28.5" customHeight="1" x14ac:dyDescent="0.25">
      <c r="A15" s="54"/>
      <c r="B15" s="36" t="s">
        <v>77</v>
      </c>
      <c r="C15" s="35">
        <v>0</v>
      </c>
      <c r="D15" s="29">
        <f t="shared" si="1"/>
        <v>0</v>
      </c>
      <c r="E15" s="30"/>
      <c r="F15" s="30"/>
      <c r="G15" s="30"/>
      <c r="H15" s="30"/>
      <c r="I15" s="30"/>
      <c r="J15" s="30"/>
      <c r="K15" s="30"/>
      <c r="L15" s="30"/>
      <c r="M15" s="30"/>
      <c r="N15" s="30"/>
      <c r="O15" s="30"/>
      <c r="P15" s="37"/>
    </row>
    <row r="16" spans="1:16" ht="28.5" customHeight="1" x14ac:dyDescent="0.25">
      <c r="A16" s="54"/>
      <c r="B16" s="36" t="s">
        <v>78</v>
      </c>
      <c r="C16" s="35">
        <v>0</v>
      </c>
      <c r="D16" s="29">
        <f t="shared" si="1"/>
        <v>0</v>
      </c>
      <c r="E16" s="30"/>
      <c r="F16" s="30"/>
      <c r="G16" s="30"/>
      <c r="H16" s="30"/>
      <c r="I16" s="30"/>
      <c r="J16" s="30"/>
      <c r="K16" s="30"/>
      <c r="L16" s="30"/>
      <c r="M16" s="30"/>
      <c r="N16" s="30"/>
      <c r="O16" s="30"/>
      <c r="P16" s="37"/>
    </row>
    <row r="17" spans="1:16" ht="28.5" customHeight="1" x14ac:dyDescent="0.25">
      <c r="A17" s="54"/>
      <c r="B17" s="36" t="s">
        <v>79</v>
      </c>
      <c r="C17" s="35">
        <v>0</v>
      </c>
      <c r="D17" s="29">
        <f t="shared" si="1"/>
        <v>0</v>
      </c>
      <c r="E17" s="30"/>
      <c r="F17" s="30"/>
      <c r="G17" s="30"/>
      <c r="H17" s="30"/>
      <c r="I17" s="30"/>
      <c r="J17" s="30"/>
      <c r="K17" s="30"/>
      <c r="L17" s="30"/>
      <c r="M17" s="30"/>
      <c r="N17" s="30"/>
      <c r="O17" s="30"/>
      <c r="P17" s="37"/>
    </row>
    <row r="18" spans="1:16" ht="28.5" customHeight="1" x14ac:dyDescent="0.25">
      <c r="A18" s="54"/>
      <c r="B18" s="36" t="s">
        <v>80</v>
      </c>
      <c r="C18" s="35">
        <v>0</v>
      </c>
      <c r="D18" s="29">
        <f t="shared" si="1"/>
        <v>0</v>
      </c>
      <c r="E18" s="30"/>
      <c r="F18" s="30"/>
      <c r="G18" s="30"/>
      <c r="H18" s="30"/>
      <c r="I18" s="30"/>
      <c r="J18" s="30"/>
      <c r="K18" s="30"/>
      <c r="L18" s="30"/>
      <c r="M18" s="30"/>
      <c r="N18" s="30"/>
      <c r="O18" s="30"/>
      <c r="P18" s="37"/>
    </row>
    <row r="19" spans="1:16" ht="28.5" customHeight="1" x14ac:dyDescent="0.25">
      <c r="A19" s="54"/>
      <c r="B19" s="36" t="s">
        <v>81</v>
      </c>
      <c r="C19" s="35">
        <v>0</v>
      </c>
      <c r="D19" s="29">
        <f t="shared" si="1"/>
        <v>0</v>
      </c>
      <c r="E19" s="30"/>
      <c r="F19" s="30"/>
      <c r="G19" s="30"/>
      <c r="H19" s="30"/>
      <c r="I19" s="30"/>
      <c r="J19" s="30"/>
      <c r="K19" s="30"/>
      <c r="L19" s="30"/>
      <c r="M19" s="30"/>
      <c r="N19" s="30"/>
      <c r="O19" s="30"/>
      <c r="P19" s="37"/>
    </row>
    <row r="20" spans="1:16" ht="28.5" customHeight="1" x14ac:dyDescent="0.25">
      <c r="A20" s="54"/>
      <c r="B20" s="36" t="s">
        <v>82</v>
      </c>
      <c r="C20" s="35">
        <v>2</v>
      </c>
      <c r="D20" s="29">
        <f t="shared" si="1"/>
        <v>0</v>
      </c>
      <c r="E20" s="30"/>
      <c r="F20" s="30"/>
      <c r="G20" s="30"/>
      <c r="H20" s="30"/>
      <c r="I20" s="30"/>
      <c r="J20" s="30"/>
      <c r="K20" s="30"/>
      <c r="L20" s="30"/>
      <c r="M20" s="30"/>
      <c r="N20" s="30"/>
      <c r="O20" s="30"/>
      <c r="P20" s="37"/>
    </row>
    <row r="21" spans="1:16" ht="28.5" customHeight="1" x14ac:dyDescent="0.25">
      <c r="A21" s="54"/>
      <c r="B21" s="36" t="s">
        <v>83</v>
      </c>
      <c r="C21" s="35">
        <v>0</v>
      </c>
      <c r="D21" s="29">
        <f t="shared" si="1"/>
        <v>0</v>
      </c>
      <c r="E21" s="30"/>
      <c r="F21" s="30"/>
      <c r="G21" s="30"/>
      <c r="H21" s="30"/>
      <c r="I21" s="30"/>
      <c r="J21" s="30"/>
      <c r="K21" s="30"/>
      <c r="L21" s="30"/>
      <c r="M21" s="30"/>
      <c r="N21" s="30"/>
      <c r="O21" s="30"/>
      <c r="P21" s="37"/>
    </row>
    <row r="22" spans="1:16" ht="28.5" customHeight="1" x14ac:dyDescent="0.25">
      <c r="A22" s="54"/>
      <c r="B22" s="36" t="s">
        <v>84</v>
      </c>
      <c r="C22" s="35">
        <v>0</v>
      </c>
      <c r="D22" s="29">
        <f t="shared" si="1"/>
        <v>0</v>
      </c>
      <c r="E22" s="30"/>
      <c r="F22" s="30"/>
      <c r="G22" s="30"/>
      <c r="H22" s="30"/>
      <c r="I22" s="30"/>
      <c r="J22" s="30"/>
      <c r="K22" s="30"/>
      <c r="L22" s="30"/>
      <c r="M22" s="30"/>
      <c r="N22" s="30"/>
      <c r="O22" s="30"/>
      <c r="P22" s="37"/>
    </row>
    <row r="23" spans="1:16" ht="28.5" customHeight="1" x14ac:dyDescent="0.25">
      <c r="A23" s="54"/>
      <c r="B23" s="36" t="s">
        <v>85</v>
      </c>
      <c r="C23" s="35">
        <v>128</v>
      </c>
      <c r="D23" s="29">
        <f t="shared" si="1"/>
        <v>57</v>
      </c>
      <c r="E23" s="30"/>
      <c r="F23" s="30">
        <v>10</v>
      </c>
      <c r="G23" s="30">
        <v>16</v>
      </c>
      <c r="H23" s="30">
        <v>11</v>
      </c>
      <c r="I23" s="30">
        <v>11</v>
      </c>
      <c r="J23" s="30">
        <v>9</v>
      </c>
      <c r="K23" s="30"/>
      <c r="L23" s="30"/>
      <c r="M23" s="30"/>
      <c r="N23" s="30"/>
      <c r="O23" s="30"/>
      <c r="P23" s="37"/>
    </row>
    <row r="24" spans="1:16" ht="28.5" customHeight="1" x14ac:dyDescent="0.25">
      <c r="A24" s="54"/>
      <c r="B24" s="36" t="s">
        <v>86</v>
      </c>
      <c r="C24" s="35">
        <v>2</v>
      </c>
      <c r="D24" s="29">
        <f t="shared" si="1"/>
        <v>0</v>
      </c>
      <c r="E24" s="30"/>
      <c r="F24" s="30"/>
      <c r="G24" s="30"/>
      <c r="H24" s="30"/>
      <c r="I24" s="30"/>
      <c r="J24" s="30"/>
      <c r="K24" s="30"/>
      <c r="L24" s="30"/>
      <c r="M24" s="30"/>
      <c r="N24" s="30"/>
      <c r="O24" s="30"/>
      <c r="P24" s="37"/>
    </row>
    <row r="25" spans="1:16" ht="24" customHeight="1" x14ac:dyDescent="0.25">
      <c r="A25" s="54"/>
      <c r="B25" s="38" t="s">
        <v>87</v>
      </c>
      <c r="C25" s="35">
        <v>9</v>
      </c>
      <c r="D25" s="29">
        <f t="shared" si="1"/>
        <v>9</v>
      </c>
      <c r="E25" s="30"/>
      <c r="F25" s="30">
        <v>4</v>
      </c>
      <c r="G25" s="30">
        <v>5</v>
      </c>
      <c r="H25" s="30"/>
      <c r="I25" s="30"/>
      <c r="J25" s="30"/>
      <c r="K25" s="30"/>
      <c r="L25" s="30"/>
      <c r="M25" s="30"/>
      <c r="N25" s="30"/>
      <c r="O25" s="30"/>
      <c r="P25" s="37"/>
    </row>
    <row r="26" spans="1:16" ht="24" customHeight="1" x14ac:dyDescent="0.25">
      <c r="A26" s="54"/>
      <c r="B26" s="38" t="s">
        <v>88</v>
      </c>
      <c r="C26" s="35">
        <v>9</v>
      </c>
      <c r="D26" s="29">
        <f t="shared" si="1"/>
        <v>9</v>
      </c>
      <c r="E26" s="30"/>
      <c r="F26" s="30"/>
      <c r="G26" s="30"/>
      <c r="H26" s="30">
        <v>9</v>
      </c>
      <c r="I26" s="30"/>
      <c r="J26" s="30"/>
      <c r="K26" s="30"/>
      <c r="L26" s="30"/>
      <c r="M26" s="30"/>
      <c r="N26" s="30"/>
      <c r="O26" s="30"/>
      <c r="P26" s="37"/>
    </row>
    <row r="27" spans="1:16" ht="24" customHeight="1" x14ac:dyDescent="0.25">
      <c r="A27" s="54"/>
      <c r="B27" s="38" t="s">
        <v>89</v>
      </c>
      <c r="C27" s="35">
        <v>9</v>
      </c>
      <c r="D27" s="29">
        <f t="shared" si="1"/>
        <v>9</v>
      </c>
      <c r="E27" s="30"/>
      <c r="F27" s="30"/>
      <c r="G27" s="30"/>
      <c r="H27" s="30"/>
      <c r="I27" s="30">
        <v>9</v>
      </c>
      <c r="J27" s="30"/>
      <c r="K27" s="30"/>
      <c r="L27" s="30"/>
      <c r="M27" s="30"/>
      <c r="N27" s="30"/>
      <c r="O27" s="30"/>
      <c r="P27" s="37"/>
    </row>
    <row r="28" spans="1:16" ht="24" customHeight="1" x14ac:dyDescent="0.25">
      <c r="A28" s="54"/>
      <c r="B28" s="38" t="s">
        <v>90</v>
      </c>
      <c r="C28" s="35">
        <v>9</v>
      </c>
      <c r="D28" s="29">
        <f t="shared" si="1"/>
        <v>0</v>
      </c>
      <c r="E28" s="30"/>
      <c r="F28" s="30"/>
      <c r="G28" s="30"/>
      <c r="H28" s="30"/>
      <c r="I28" s="30"/>
      <c r="J28" s="30"/>
      <c r="K28" s="30"/>
      <c r="L28" s="30"/>
      <c r="M28" s="30"/>
      <c r="N28" s="30"/>
      <c r="O28" s="30"/>
      <c r="P28" s="37"/>
    </row>
    <row r="29" spans="1:16" ht="24" customHeight="1" x14ac:dyDescent="0.25">
      <c r="A29" s="54"/>
      <c r="B29" s="38" t="s">
        <v>91</v>
      </c>
      <c r="C29" s="35">
        <v>9</v>
      </c>
      <c r="D29" s="29">
        <f t="shared" si="1"/>
        <v>0</v>
      </c>
      <c r="E29" s="30"/>
      <c r="F29" s="30"/>
      <c r="G29" s="30"/>
      <c r="H29" s="30"/>
      <c r="I29" s="30"/>
      <c r="J29" s="30"/>
      <c r="K29" s="30"/>
      <c r="L29" s="30"/>
      <c r="M29" s="30"/>
      <c r="N29" s="30"/>
      <c r="O29" s="30"/>
      <c r="P29" s="37"/>
    </row>
    <row r="30" spans="1:16" ht="24" customHeight="1" x14ac:dyDescent="0.25">
      <c r="A30" s="54"/>
      <c r="B30" s="38" t="s">
        <v>92</v>
      </c>
      <c r="C30" s="35">
        <v>1</v>
      </c>
      <c r="D30" s="29">
        <f t="shared" si="1"/>
        <v>0</v>
      </c>
      <c r="E30" s="30"/>
      <c r="F30" s="30"/>
      <c r="G30" s="30"/>
      <c r="H30" s="30"/>
      <c r="I30" s="30"/>
      <c r="J30" s="30"/>
      <c r="K30" s="30"/>
      <c r="L30" s="30"/>
      <c r="M30" s="30"/>
      <c r="N30" s="30"/>
      <c r="O30" s="30"/>
      <c r="P30" s="37"/>
    </row>
    <row r="31" spans="1:16" ht="24" customHeight="1" x14ac:dyDescent="0.25">
      <c r="A31" s="54"/>
      <c r="B31" s="38" t="s">
        <v>93</v>
      </c>
      <c r="C31" s="35">
        <v>1</v>
      </c>
      <c r="D31" s="29">
        <f t="shared" si="1"/>
        <v>0</v>
      </c>
      <c r="E31" s="30"/>
      <c r="F31" s="30"/>
      <c r="G31" s="30"/>
      <c r="H31" s="30"/>
      <c r="I31" s="30"/>
      <c r="J31" s="30"/>
      <c r="K31" s="30"/>
      <c r="L31" s="30"/>
      <c r="M31" s="30"/>
      <c r="N31" s="30"/>
      <c r="O31" s="30"/>
      <c r="P31" s="37"/>
    </row>
    <row r="32" spans="1:16" ht="24" customHeight="1" x14ac:dyDescent="0.25">
      <c r="A32" s="54"/>
      <c r="B32" s="38" t="s">
        <v>94</v>
      </c>
      <c r="C32" s="35">
        <v>1</v>
      </c>
      <c r="D32" s="29">
        <f t="shared" si="1"/>
        <v>0</v>
      </c>
      <c r="E32" s="30"/>
      <c r="F32" s="30"/>
      <c r="G32" s="30"/>
      <c r="H32" s="30"/>
      <c r="I32" s="30"/>
      <c r="J32" s="30"/>
      <c r="K32" s="30"/>
      <c r="L32" s="30"/>
      <c r="M32" s="30"/>
      <c r="N32" s="30"/>
      <c r="O32" s="30"/>
      <c r="P32" s="37"/>
    </row>
    <row r="33" spans="1:16" ht="24" customHeight="1" x14ac:dyDescent="0.25">
      <c r="A33" s="54"/>
      <c r="B33" s="38" t="s">
        <v>95</v>
      </c>
      <c r="C33" s="35">
        <v>1</v>
      </c>
      <c r="D33" s="29">
        <f t="shared" si="1"/>
        <v>0</v>
      </c>
      <c r="E33" s="30"/>
      <c r="F33" s="30"/>
      <c r="G33" s="30"/>
      <c r="H33" s="30"/>
      <c r="I33" s="30"/>
      <c r="J33" s="30"/>
      <c r="K33" s="30"/>
      <c r="L33" s="30"/>
      <c r="M33" s="30"/>
      <c r="N33" s="30"/>
      <c r="O33" s="30"/>
      <c r="P33" s="37"/>
    </row>
    <row r="34" spans="1:16" ht="24" customHeight="1" x14ac:dyDescent="0.25">
      <c r="A34" s="54"/>
      <c r="B34" s="38" t="s">
        <v>96</v>
      </c>
      <c r="C34" s="35">
        <v>1</v>
      </c>
      <c r="D34" s="29">
        <f t="shared" si="1"/>
        <v>0</v>
      </c>
      <c r="E34" s="30"/>
      <c r="F34" s="30"/>
      <c r="G34" s="30"/>
      <c r="H34" s="30"/>
      <c r="I34" s="30"/>
      <c r="J34" s="30"/>
      <c r="K34" s="30"/>
      <c r="L34" s="30"/>
      <c r="M34" s="30"/>
      <c r="N34" s="30"/>
      <c r="O34" s="30"/>
      <c r="P34" s="37"/>
    </row>
    <row r="35" spans="1:16" ht="24" customHeight="1" x14ac:dyDescent="0.25">
      <c r="A35" s="54"/>
      <c r="B35" s="38" t="s">
        <v>97</v>
      </c>
      <c r="C35" s="35">
        <v>1</v>
      </c>
      <c r="D35" s="29">
        <f t="shared" si="1"/>
        <v>0</v>
      </c>
      <c r="E35" s="30"/>
      <c r="F35" s="30"/>
      <c r="G35" s="30"/>
      <c r="H35" s="30"/>
      <c r="I35" s="30"/>
      <c r="J35" s="30"/>
      <c r="K35" s="30"/>
      <c r="L35" s="30"/>
      <c r="M35" s="30"/>
      <c r="N35" s="30"/>
      <c r="O35" s="30"/>
      <c r="P35" s="37"/>
    </row>
    <row r="36" spans="1:16" ht="24" customHeight="1" thickBot="1" x14ac:dyDescent="0.3">
      <c r="A36" s="55"/>
      <c r="B36" s="39" t="s">
        <v>98</v>
      </c>
      <c r="C36" s="35">
        <v>1</v>
      </c>
      <c r="D36" s="29">
        <f t="shared" si="1"/>
        <v>0</v>
      </c>
      <c r="E36" s="30"/>
      <c r="F36" s="30"/>
      <c r="G36" s="30"/>
      <c r="H36" s="30"/>
      <c r="I36" s="30"/>
      <c r="J36" s="30"/>
      <c r="K36" s="30"/>
      <c r="L36" s="30"/>
      <c r="M36" s="30"/>
      <c r="N36" s="30"/>
      <c r="O36" s="30"/>
      <c r="P36" s="37"/>
    </row>
    <row r="37" spans="1:16" x14ac:dyDescent="0.25">
      <c r="C37" s="40">
        <f>SUM(C3:C36)</f>
        <v>374</v>
      </c>
      <c r="D37" s="41">
        <f>SUM(D3:D36)</f>
        <v>176</v>
      </c>
    </row>
    <row r="38" spans="1:16" x14ac:dyDescent="0.25">
      <c r="C38" s="8"/>
      <c r="D38" s="42">
        <f>D37/C37</f>
        <v>0.47058823529411764</v>
      </c>
    </row>
  </sheetData>
  <sheetProtection algorithmName="SHA-512" hashValue="72hX1+yJ8/JASh4Xe9aHXir+UQXixDOv27txltnexXypbLojsXrIMj1XVW1iOSh82EQ5Ji2o+I41mWSGSfp56g==" saltValue="NcW2ZT2AuJnkpmr3dn5cow==" spinCount="100000" sheet="1" objects="1" scenarios="1" autoFilter="0"/>
  <mergeCells count="2">
    <mergeCell ref="A1:A2"/>
    <mergeCell ref="A9:A36"/>
  </mergeCells>
  <conditionalFormatting sqref="C3:D3 D4:D8">
    <cfRule type="dataBar" priority="46">
      <dataBar>
        <cfvo type="min"/>
        <cfvo type="max"/>
        <color rgb="FF008AEF"/>
      </dataBar>
      <extLst>
        <ext xmlns:x14="http://schemas.microsoft.com/office/spreadsheetml/2009/9/main" uri="{B025F937-C7B1-47D3-B67F-A62EFF666E3E}">
          <x14:id>{9908830C-EA15-4D62-A13B-C9082C1F0751}</x14:id>
        </ext>
      </extLst>
    </cfRule>
  </conditionalFormatting>
  <conditionalFormatting sqref="C4:D4">
    <cfRule type="dataBar" priority="4">
      <dataBar>
        <cfvo type="min"/>
        <cfvo type="max"/>
        <color rgb="FF008AEF"/>
      </dataBar>
      <extLst>
        <ext xmlns:x14="http://schemas.microsoft.com/office/spreadsheetml/2009/9/main" uri="{B025F937-C7B1-47D3-B67F-A62EFF666E3E}">
          <x14:id>{1289B899-5020-4EE5-8C45-46FE6D9750B0}</x14:id>
        </ext>
      </extLst>
    </cfRule>
  </conditionalFormatting>
  <conditionalFormatting sqref="C5:D5">
    <cfRule type="dataBar" priority="5">
      <dataBar>
        <cfvo type="min"/>
        <cfvo type="max"/>
        <color rgb="FF008AEF"/>
      </dataBar>
      <extLst>
        <ext xmlns:x14="http://schemas.microsoft.com/office/spreadsheetml/2009/9/main" uri="{B025F937-C7B1-47D3-B67F-A62EFF666E3E}">
          <x14:id>{3E9BF85B-3AC6-49F6-93A8-D4BDE0DBBB31}</x14:id>
        </ext>
      </extLst>
    </cfRule>
  </conditionalFormatting>
  <conditionalFormatting sqref="C6:D6">
    <cfRule type="dataBar" priority="6">
      <dataBar>
        <cfvo type="min"/>
        <cfvo type="max"/>
        <color rgb="FF008AEF"/>
      </dataBar>
      <extLst>
        <ext xmlns:x14="http://schemas.microsoft.com/office/spreadsheetml/2009/9/main" uri="{B025F937-C7B1-47D3-B67F-A62EFF666E3E}">
          <x14:id>{D45C5C47-7F92-4349-9002-4C87F2976196}</x14:id>
        </ext>
      </extLst>
    </cfRule>
  </conditionalFormatting>
  <conditionalFormatting sqref="C7:D7">
    <cfRule type="dataBar" priority="7">
      <dataBar>
        <cfvo type="min"/>
        <cfvo type="max"/>
        <color rgb="FF008AEF"/>
      </dataBar>
      <extLst>
        <ext xmlns:x14="http://schemas.microsoft.com/office/spreadsheetml/2009/9/main" uri="{B025F937-C7B1-47D3-B67F-A62EFF666E3E}">
          <x14:id>{B326CEE8-68D7-47B8-8C8F-E1CCDCA8018A}</x14:id>
        </ext>
      </extLst>
    </cfRule>
  </conditionalFormatting>
  <conditionalFormatting sqref="C8:D8">
    <cfRule type="dataBar" priority="8">
      <dataBar>
        <cfvo type="min"/>
        <cfvo type="max"/>
        <color rgb="FF008AEF"/>
      </dataBar>
      <extLst>
        <ext xmlns:x14="http://schemas.microsoft.com/office/spreadsheetml/2009/9/main" uri="{B025F937-C7B1-47D3-B67F-A62EFF666E3E}">
          <x14:id>{431B3F7A-F7E3-4E34-819D-03909BE2719C}</x14:id>
        </ext>
      </extLst>
    </cfRule>
  </conditionalFormatting>
  <conditionalFormatting sqref="C9:D9">
    <cfRule type="dataBar" priority="12">
      <dataBar>
        <cfvo type="min"/>
        <cfvo type="max"/>
        <color rgb="FF008AEF"/>
      </dataBar>
      <extLst>
        <ext xmlns:x14="http://schemas.microsoft.com/office/spreadsheetml/2009/9/main" uri="{B025F937-C7B1-47D3-B67F-A62EFF666E3E}">
          <x14:id>{EFFE844A-E00D-43E7-AF1A-C0B9E8650213}</x14:id>
        </ext>
      </extLst>
    </cfRule>
  </conditionalFormatting>
  <conditionalFormatting sqref="C10:D10">
    <cfRule type="dataBar" priority="39">
      <dataBar>
        <cfvo type="min"/>
        <cfvo type="max"/>
        <color rgb="FF008AEF"/>
      </dataBar>
      <extLst>
        <ext xmlns:x14="http://schemas.microsoft.com/office/spreadsheetml/2009/9/main" uri="{B025F937-C7B1-47D3-B67F-A62EFF666E3E}">
          <x14:id>{829F7231-7A25-4A67-85DE-16EC315036A5}</x14:id>
        </ext>
      </extLst>
    </cfRule>
  </conditionalFormatting>
  <conditionalFormatting sqref="C11:D11">
    <cfRule type="dataBar" priority="38">
      <dataBar>
        <cfvo type="min"/>
        <cfvo type="max"/>
        <color rgb="FF008AEF"/>
      </dataBar>
      <extLst>
        <ext xmlns:x14="http://schemas.microsoft.com/office/spreadsheetml/2009/9/main" uri="{B025F937-C7B1-47D3-B67F-A62EFF666E3E}">
          <x14:id>{2832EB1C-F0CC-467A-BD04-91CB6C7BFE43}</x14:id>
        </ext>
      </extLst>
    </cfRule>
  </conditionalFormatting>
  <conditionalFormatting sqref="C12:D12">
    <cfRule type="dataBar" priority="37">
      <dataBar>
        <cfvo type="min"/>
        <cfvo type="max"/>
        <color rgb="FF008AEF"/>
      </dataBar>
      <extLst>
        <ext xmlns:x14="http://schemas.microsoft.com/office/spreadsheetml/2009/9/main" uri="{B025F937-C7B1-47D3-B67F-A62EFF666E3E}">
          <x14:id>{804EE096-62CD-4D26-8A84-62B6386519BA}</x14:id>
        </ext>
      </extLst>
    </cfRule>
  </conditionalFormatting>
  <conditionalFormatting sqref="C13:D13">
    <cfRule type="dataBar" priority="36">
      <dataBar>
        <cfvo type="min"/>
        <cfvo type="max"/>
        <color rgb="FF008AEF"/>
      </dataBar>
      <extLst>
        <ext xmlns:x14="http://schemas.microsoft.com/office/spreadsheetml/2009/9/main" uri="{B025F937-C7B1-47D3-B67F-A62EFF666E3E}">
          <x14:id>{CEE81A07-D33C-4EAC-8D4F-58A7534D4218}</x14:id>
        </ext>
      </extLst>
    </cfRule>
  </conditionalFormatting>
  <conditionalFormatting sqref="C14:D14">
    <cfRule type="dataBar" priority="35">
      <dataBar>
        <cfvo type="min"/>
        <cfvo type="max"/>
        <color rgb="FF008AEF"/>
      </dataBar>
      <extLst>
        <ext xmlns:x14="http://schemas.microsoft.com/office/spreadsheetml/2009/9/main" uri="{B025F937-C7B1-47D3-B67F-A62EFF666E3E}">
          <x14:id>{4B9E4927-1C66-4612-B3D7-C6F8F74DFC7E}</x14:id>
        </ext>
      </extLst>
    </cfRule>
  </conditionalFormatting>
  <conditionalFormatting sqref="C15:D15">
    <cfRule type="dataBar" priority="34">
      <dataBar>
        <cfvo type="min"/>
        <cfvo type="max"/>
        <color rgb="FF008AEF"/>
      </dataBar>
      <extLst>
        <ext xmlns:x14="http://schemas.microsoft.com/office/spreadsheetml/2009/9/main" uri="{B025F937-C7B1-47D3-B67F-A62EFF666E3E}">
          <x14:id>{EB0564DA-B5C0-4148-A298-5E66DD2B0E7E}</x14:id>
        </ext>
      </extLst>
    </cfRule>
  </conditionalFormatting>
  <conditionalFormatting sqref="C16:D16">
    <cfRule type="dataBar" priority="33">
      <dataBar>
        <cfvo type="min"/>
        <cfvo type="max"/>
        <color rgb="FF008AEF"/>
      </dataBar>
      <extLst>
        <ext xmlns:x14="http://schemas.microsoft.com/office/spreadsheetml/2009/9/main" uri="{B025F937-C7B1-47D3-B67F-A62EFF666E3E}">
          <x14:id>{0FE01D6A-51F3-4D28-837D-1D558F9693BC}</x14:id>
        </ext>
      </extLst>
    </cfRule>
  </conditionalFormatting>
  <conditionalFormatting sqref="C17:D17">
    <cfRule type="dataBar" priority="32">
      <dataBar>
        <cfvo type="min"/>
        <cfvo type="max"/>
        <color rgb="FF008AEF"/>
      </dataBar>
      <extLst>
        <ext xmlns:x14="http://schemas.microsoft.com/office/spreadsheetml/2009/9/main" uri="{B025F937-C7B1-47D3-B67F-A62EFF666E3E}">
          <x14:id>{6244A451-1CCE-4482-B29B-CD5CB41789CD}</x14:id>
        </ext>
      </extLst>
    </cfRule>
  </conditionalFormatting>
  <conditionalFormatting sqref="C18:D18">
    <cfRule type="dataBar" priority="31">
      <dataBar>
        <cfvo type="min"/>
        <cfvo type="max"/>
        <color rgb="FF008AEF"/>
      </dataBar>
      <extLst>
        <ext xmlns:x14="http://schemas.microsoft.com/office/spreadsheetml/2009/9/main" uri="{B025F937-C7B1-47D3-B67F-A62EFF666E3E}">
          <x14:id>{E329C3C7-40EB-4B7B-9F36-918875DE6F34}</x14:id>
        </ext>
      </extLst>
    </cfRule>
  </conditionalFormatting>
  <conditionalFormatting sqref="C19:D19">
    <cfRule type="dataBar" priority="30">
      <dataBar>
        <cfvo type="min"/>
        <cfvo type="max"/>
        <color rgb="FF008AEF"/>
      </dataBar>
      <extLst>
        <ext xmlns:x14="http://schemas.microsoft.com/office/spreadsheetml/2009/9/main" uri="{B025F937-C7B1-47D3-B67F-A62EFF666E3E}">
          <x14:id>{F44828D0-239F-4F6A-878F-86661BD0DC97}</x14:id>
        </ext>
      </extLst>
    </cfRule>
  </conditionalFormatting>
  <conditionalFormatting sqref="C20:D20">
    <cfRule type="dataBar" priority="29">
      <dataBar>
        <cfvo type="min"/>
        <cfvo type="max"/>
        <color rgb="FF008AEF"/>
      </dataBar>
      <extLst>
        <ext xmlns:x14="http://schemas.microsoft.com/office/spreadsheetml/2009/9/main" uri="{B025F937-C7B1-47D3-B67F-A62EFF666E3E}">
          <x14:id>{F37E067F-D30F-4527-82AA-372A50625850}</x14:id>
        </ext>
      </extLst>
    </cfRule>
  </conditionalFormatting>
  <conditionalFormatting sqref="C21:D21">
    <cfRule type="dataBar" priority="28">
      <dataBar>
        <cfvo type="min"/>
        <cfvo type="max"/>
        <color rgb="FF008AEF"/>
      </dataBar>
      <extLst>
        <ext xmlns:x14="http://schemas.microsoft.com/office/spreadsheetml/2009/9/main" uri="{B025F937-C7B1-47D3-B67F-A62EFF666E3E}">
          <x14:id>{19B4F53B-759E-457B-BE8C-EC6EA170AEAC}</x14:id>
        </ext>
      </extLst>
    </cfRule>
  </conditionalFormatting>
  <conditionalFormatting sqref="C22:D22">
    <cfRule type="dataBar" priority="27">
      <dataBar>
        <cfvo type="min"/>
        <cfvo type="max"/>
        <color rgb="FF008AEF"/>
      </dataBar>
      <extLst>
        <ext xmlns:x14="http://schemas.microsoft.com/office/spreadsheetml/2009/9/main" uri="{B025F937-C7B1-47D3-B67F-A62EFF666E3E}">
          <x14:id>{9552D4D3-581B-483A-BAE3-1E7538BC7438}</x14:id>
        </ext>
      </extLst>
    </cfRule>
  </conditionalFormatting>
  <conditionalFormatting sqref="C23:D23">
    <cfRule type="dataBar" priority="26">
      <dataBar>
        <cfvo type="min"/>
        <cfvo type="max"/>
        <color rgb="FF008AEF"/>
      </dataBar>
      <extLst>
        <ext xmlns:x14="http://schemas.microsoft.com/office/spreadsheetml/2009/9/main" uri="{B025F937-C7B1-47D3-B67F-A62EFF666E3E}">
          <x14:id>{D5109EA1-02D5-4001-8D4D-689EE23AEFFF}</x14:id>
        </ext>
      </extLst>
    </cfRule>
  </conditionalFormatting>
  <conditionalFormatting sqref="C24:D24">
    <cfRule type="dataBar" priority="25">
      <dataBar>
        <cfvo type="min"/>
        <cfvo type="max"/>
        <color rgb="FF008AEF"/>
      </dataBar>
      <extLst>
        <ext xmlns:x14="http://schemas.microsoft.com/office/spreadsheetml/2009/9/main" uri="{B025F937-C7B1-47D3-B67F-A62EFF666E3E}">
          <x14:id>{C7444651-81A2-44B8-B959-903A5499BE80}</x14:id>
        </ext>
      </extLst>
    </cfRule>
  </conditionalFormatting>
  <conditionalFormatting sqref="C25:D25">
    <cfRule type="dataBar" priority="24">
      <dataBar>
        <cfvo type="min"/>
        <cfvo type="max"/>
        <color rgb="FF008AEF"/>
      </dataBar>
      <extLst>
        <ext xmlns:x14="http://schemas.microsoft.com/office/spreadsheetml/2009/9/main" uri="{B025F937-C7B1-47D3-B67F-A62EFF666E3E}">
          <x14:id>{D6CC5946-4C2E-42BD-A34D-41508FA3DAF8}</x14:id>
        </ext>
      </extLst>
    </cfRule>
  </conditionalFormatting>
  <conditionalFormatting sqref="C26:D26">
    <cfRule type="dataBar" priority="23">
      <dataBar>
        <cfvo type="min"/>
        <cfvo type="max"/>
        <color rgb="FF008AEF"/>
      </dataBar>
      <extLst>
        <ext xmlns:x14="http://schemas.microsoft.com/office/spreadsheetml/2009/9/main" uri="{B025F937-C7B1-47D3-B67F-A62EFF666E3E}">
          <x14:id>{94211C20-091B-492E-9816-F733A5B22CAC}</x14:id>
        </ext>
      </extLst>
    </cfRule>
  </conditionalFormatting>
  <conditionalFormatting sqref="C27:D27">
    <cfRule type="dataBar" priority="22">
      <dataBar>
        <cfvo type="min"/>
        <cfvo type="max"/>
        <color rgb="FF008AEF"/>
      </dataBar>
      <extLst>
        <ext xmlns:x14="http://schemas.microsoft.com/office/spreadsheetml/2009/9/main" uri="{B025F937-C7B1-47D3-B67F-A62EFF666E3E}">
          <x14:id>{810DD285-569B-4F8E-B63A-1A3E47EB9B3E}</x14:id>
        </ext>
      </extLst>
    </cfRule>
  </conditionalFormatting>
  <conditionalFormatting sqref="C28:D28">
    <cfRule type="dataBar" priority="21">
      <dataBar>
        <cfvo type="min"/>
        <cfvo type="max"/>
        <color rgb="FF008AEF"/>
      </dataBar>
      <extLst>
        <ext xmlns:x14="http://schemas.microsoft.com/office/spreadsheetml/2009/9/main" uri="{B025F937-C7B1-47D3-B67F-A62EFF666E3E}">
          <x14:id>{D0893D4E-D511-4A73-BBE1-85957C2A2298}</x14:id>
        </ext>
      </extLst>
    </cfRule>
  </conditionalFormatting>
  <conditionalFormatting sqref="C29:D29">
    <cfRule type="dataBar" priority="20">
      <dataBar>
        <cfvo type="min"/>
        <cfvo type="max"/>
        <color rgb="FF008AEF"/>
      </dataBar>
      <extLst>
        <ext xmlns:x14="http://schemas.microsoft.com/office/spreadsheetml/2009/9/main" uri="{B025F937-C7B1-47D3-B67F-A62EFF666E3E}">
          <x14:id>{3E6FD66F-2BE5-43B8-A61A-184CE5366AAA}</x14:id>
        </ext>
      </extLst>
    </cfRule>
  </conditionalFormatting>
  <conditionalFormatting sqref="C30:D30">
    <cfRule type="dataBar" priority="19">
      <dataBar>
        <cfvo type="min"/>
        <cfvo type="max"/>
        <color rgb="FF008AEF"/>
      </dataBar>
      <extLst>
        <ext xmlns:x14="http://schemas.microsoft.com/office/spreadsheetml/2009/9/main" uri="{B025F937-C7B1-47D3-B67F-A62EFF666E3E}">
          <x14:id>{2F13A43D-A036-4100-B608-7854B32DC151}</x14:id>
        </ext>
      </extLst>
    </cfRule>
  </conditionalFormatting>
  <conditionalFormatting sqref="C31:D31">
    <cfRule type="dataBar" priority="18">
      <dataBar>
        <cfvo type="min"/>
        <cfvo type="max"/>
        <color rgb="FF008AEF"/>
      </dataBar>
      <extLst>
        <ext xmlns:x14="http://schemas.microsoft.com/office/spreadsheetml/2009/9/main" uri="{B025F937-C7B1-47D3-B67F-A62EFF666E3E}">
          <x14:id>{BCBEC5CF-C85D-4E96-823F-1AAECB9DD322}</x14:id>
        </ext>
      </extLst>
    </cfRule>
  </conditionalFormatting>
  <conditionalFormatting sqref="C32:D32">
    <cfRule type="dataBar" priority="17">
      <dataBar>
        <cfvo type="min"/>
        <cfvo type="max"/>
        <color rgb="FF008AEF"/>
      </dataBar>
      <extLst>
        <ext xmlns:x14="http://schemas.microsoft.com/office/spreadsheetml/2009/9/main" uri="{B025F937-C7B1-47D3-B67F-A62EFF666E3E}">
          <x14:id>{34C70C5A-0649-4245-9935-315E5817C039}</x14:id>
        </ext>
      </extLst>
    </cfRule>
  </conditionalFormatting>
  <conditionalFormatting sqref="C33:D33">
    <cfRule type="dataBar" priority="16">
      <dataBar>
        <cfvo type="min"/>
        <cfvo type="max"/>
        <color rgb="FF008AEF"/>
      </dataBar>
      <extLst>
        <ext xmlns:x14="http://schemas.microsoft.com/office/spreadsheetml/2009/9/main" uri="{B025F937-C7B1-47D3-B67F-A62EFF666E3E}">
          <x14:id>{DFBBA91E-3E39-4787-9599-60665C69BD66}</x14:id>
        </ext>
      </extLst>
    </cfRule>
  </conditionalFormatting>
  <conditionalFormatting sqref="C34:D34">
    <cfRule type="dataBar" priority="15">
      <dataBar>
        <cfvo type="min"/>
        <cfvo type="max"/>
        <color rgb="FF008AEF"/>
      </dataBar>
      <extLst>
        <ext xmlns:x14="http://schemas.microsoft.com/office/spreadsheetml/2009/9/main" uri="{B025F937-C7B1-47D3-B67F-A62EFF666E3E}">
          <x14:id>{5022BD51-3752-4344-AB8F-D80CF946410A}</x14:id>
        </ext>
      </extLst>
    </cfRule>
  </conditionalFormatting>
  <conditionalFormatting sqref="C35:D35">
    <cfRule type="dataBar" priority="14">
      <dataBar>
        <cfvo type="min"/>
        <cfvo type="max"/>
        <color rgb="FF008AEF"/>
      </dataBar>
      <extLst>
        <ext xmlns:x14="http://schemas.microsoft.com/office/spreadsheetml/2009/9/main" uri="{B025F937-C7B1-47D3-B67F-A62EFF666E3E}">
          <x14:id>{72A98137-CF98-4ED6-926A-19F2B9C08CC9}</x14:id>
        </ext>
      </extLst>
    </cfRule>
  </conditionalFormatting>
  <conditionalFormatting sqref="C36:D36">
    <cfRule type="dataBar" priority="13">
      <dataBar>
        <cfvo type="min"/>
        <cfvo type="max"/>
        <color rgb="FF008AEF"/>
      </dataBar>
      <extLst>
        <ext xmlns:x14="http://schemas.microsoft.com/office/spreadsheetml/2009/9/main" uri="{B025F937-C7B1-47D3-B67F-A62EFF666E3E}">
          <x14:id>{778C7436-8FE4-4B66-8A42-1E4874FCA0F7}</x14:id>
        </ext>
      </extLst>
    </cfRule>
  </conditionalFormatting>
  <conditionalFormatting sqref="E3:F32 E33:O36">
    <cfRule type="cellIs" dxfId="26" priority="1" operator="greaterThan">
      <formula>0</formula>
    </cfRule>
  </conditionalFormatting>
  <conditionalFormatting sqref="G9:O32">
    <cfRule type="cellIs" dxfId="25" priority="11" operator="greaterThan">
      <formula>0</formula>
    </cfRule>
  </conditionalFormatting>
  <conditionalFormatting sqref="G3:P8">
    <cfRule type="cellIs" dxfId="24" priority="2" operator="greaterThan">
      <formula>0</formula>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9908830C-EA15-4D62-A13B-C9082C1F0751}">
            <x14:dataBar minLength="0" maxLength="100" gradient="0">
              <x14:cfvo type="autoMin"/>
              <x14:cfvo type="autoMax"/>
              <x14:negativeFillColor rgb="FFFF0000"/>
              <x14:axisColor rgb="FF000000"/>
            </x14:dataBar>
          </x14:cfRule>
          <xm:sqref>C3:D3 D4:D8</xm:sqref>
        </x14:conditionalFormatting>
        <x14:conditionalFormatting xmlns:xm="http://schemas.microsoft.com/office/excel/2006/main">
          <x14:cfRule type="dataBar" id="{1289B899-5020-4EE5-8C45-46FE6D9750B0}">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3E9BF85B-3AC6-49F6-93A8-D4BDE0DBBB31}">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D45C5C47-7F92-4349-9002-4C87F2976196}">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B326CEE8-68D7-47B8-8C8F-E1CCDCA8018A}">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431B3F7A-F7E3-4E34-819D-03909BE2719C}">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EFFE844A-E00D-43E7-AF1A-C0B9E8650213}">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829F7231-7A25-4A67-85DE-16EC315036A5}">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2832EB1C-F0CC-467A-BD04-91CB6C7BFE43}">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804EE096-62CD-4D26-8A84-62B6386519BA}">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CEE81A07-D33C-4EAC-8D4F-58A7534D4218}">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4B9E4927-1C66-4612-B3D7-C6F8F74DFC7E}">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EB0564DA-B5C0-4148-A298-5E66DD2B0E7E}">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0FE01D6A-51F3-4D28-837D-1D558F9693BC}">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6244A451-1CCE-4482-B29B-CD5CB41789CD}">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E329C3C7-40EB-4B7B-9F36-918875DE6F34}">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F44828D0-239F-4F6A-878F-86661BD0DC97}">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F37E067F-D30F-4527-82AA-372A50625850}">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19B4F53B-759E-457B-BE8C-EC6EA170AEAC}">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9552D4D3-581B-483A-BAE3-1E7538BC7438}">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D5109EA1-02D5-4001-8D4D-689EE23AEFFF}">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C7444651-81A2-44B8-B959-903A5499BE80}">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D6CC5946-4C2E-42BD-A34D-41508FA3DAF8}">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94211C20-091B-492E-9816-F733A5B22CAC}">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810DD285-569B-4F8E-B63A-1A3E47EB9B3E}">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D0893D4E-D511-4A73-BBE1-85957C2A2298}">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3E6FD66F-2BE5-43B8-A61A-184CE5366AAA}">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2F13A43D-A036-4100-B608-7854B32DC151}">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BCBEC5CF-C85D-4E96-823F-1AAECB9DD322}">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34C70C5A-0649-4245-9935-315E5817C039}">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DFBBA91E-3E39-4787-9599-60665C69BD66}">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5022BD51-3752-4344-AB8F-D80CF946410A}">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72A98137-CF98-4ED6-926A-19F2B9C08CC9}">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778C7436-8FE4-4B66-8A42-1E4874FCA0F7}">
            <x14:dataBar minLength="0" maxLength="100" gradient="0">
              <x14:cfvo type="autoMin"/>
              <x14:cfvo type="autoMax"/>
              <x14:negativeFillColor rgb="FFFF0000"/>
              <x14:axisColor rgb="FF000000"/>
            </x14:dataBar>
          </x14:cfRule>
          <xm:sqref>C36:D36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P35"/>
  <sheetViews>
    <sheetView topLeftCell="A4" zoomScale="70" zoomScaleNormal="70" workbookViewId="0">
      <selection activeCell="O12" sqref="O12"/>
    </sheetView>
  </sheetViews>
  <sheetFormatPr baseColWidth="10" defaultColWidth="11.28515625" defaultRowHeight="15" x14ac:dyDescent="0.25"/>
  <cols>
    <col min="1" max="1" width="6.7109375" style="2" customWidth="1"/>
    <col min="2" max="2" width="106.42578125" style="2" customWidth="1"/>
    <col min="3" max="3" width="11.28515625" style="2"/>
    <col min="4" max="4" width="22.28515625" style="2" customWidth="1"/>
    <col min="5" max="9" width="17.28515625" style="2" customWidth="1"/>
    <col min="10" max="16384" width="11.28515625" style="2"/>
  </cols>
  <sheetData>
    <row r="1" spans="1:16" ht="61.5" customHeight="1" x14ac:dyDescent="0.25">
      <c r="A1" s="51" t="s">
        <v>1</v>
      </c>
      <c r="B1" s="23" t="s">
        <v>29</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3" customFormat="1" ht="15.75" thickBot="1" x14ac:dyDescent="0.3">
      <c r="A2" s="52"/>
      <c r="B2" s="23"/>
      <c r="C2" s="25">
        <v>2026</v>
      </c>
      <c r="D2" s="25" t="s">
        <v>16</v>
      </c>
      <c r="E2" s="26"/>
      <c r="F2" s="26"/>
      <c r="G2" s="26"/>
      <c r="H2" s="26"/>
      <c r="I2" s="26"/>
      <c r="J2" s="26"/>
      <c r="K2" s="26"/>
      <c r="L2" s="26"/>
      <c r="M2" s="26"/>
      <c r="N2" s="26"/>
      <c r="O2" s="26"/>
      <c r="P2" s="26"/>
    </row>
    <row r="3" spans="1:16" ht="81" customHeight="1" x14ac:dyDescent="0.25">
      <c r="A3" s="43" t="s">
        <v>18</v>
      </c>
      <c r="B3" s="4" t="s">
        <v>17</v>
      </c>
      <c r="C3" s="28">
        <v>2</v>
      </c>
      <c r="D3" s="29">
        <f t="shared" ref="D3:D5" si="0">SUM(E3:P3)</f>
        <v>0</v>
      </c>
      <c r="E3" s="30"/>
      <c r="F3" s="30"/>
      <c r="G3" s="30"/>
      <c r="H3" s="30"/>
      <c r="I3" s="30"/>
      <c r="J3" s="30"/>
      <c r="K3" s="30"/>
      <c r="L3" s="30"/>
      <c r="M3" s="30"/>
      <c r="N3" s="30"/>
      <c r="O3" s="30"/>
      <c r="P3" s="30"/>
    </row>
    <row r="4" spans="1:16" ht="81" customHeight="1" x14ac:dyDescent="0.25">
      <c r="A4" s="44" t="s">
        <v>20</v>
      </c>
      <c r="B4" s="5" t="s">
        <v>19</v>
      </c>
      <c r="C4" s="32">
        <v>2</v>
      </c>
      <c r="D4" s="29">
        <f t="shared" si="0"/>
        <v>0</v>
      </c>
      <c r="E4" s="30">
        <v>0</v>
      </c>
      <c r="F4" s="30">
        <v>0</v>
      </c>
      <c r="G4" s="30">
        <v>0</v>
      </c>
      <c r="H4" s="30">
        <v>0</v>
      </c>
      <c r="I4" s="30"/>
      <c r="J4" s="30"/>
      <c r="K4" s="30"/>
      <c r="L4" s="30"/>
      <c r="M4" s="30"/>
      <c r="N4" s="30"/>
      <c r="O4" s="30"/>
      <c r="P4" s="30"/>
    </row>
    <row r="5" spans="1:16" ht="81" customHeight="1" x14ac:dyDescent="0.25">
      <c r="A5" s="45" t="s">
        <v>22</v>
      </c>
      <c r="B5" s="6" t="s">
        <v>21</v>
      </c>
      <c r="C5" s="33">
        <v>2</v>
      </c>
      <c r="D5" s="29">
        <f t="shared" si="0"/>
        <v>1</v>
      </c>
      <c r="E5" s="30">
        <v>0</v>
      </c>
      <c r="F5" s="30">
        <v>0</v>
      </c>
      <c r="G5" s="30">
        <v>0</v>
      </c>
      <c r="H5" s="30">
        <v>1</v>
      </c>
      <c r="I5" s="30"/>
      <c r="J5" s="30"/>
      <c r="K5" s="30"/>
      <c r="L5" s="30"/>
      <c r="M5" s="30"/>
      <c r="N5" s="30"/>
      <c r="O5" s="30"/>
      <c r="P5" s="30"/>
    </row>
    <row r="6" spans="1:16" ht="28.5" customHeight="1" x14ac:dyDescent="0.25">
      <c r="A6" s="53" t="s">
        <v>70</v>
      </c>
      <c r="B6" s="36" t="s">
        <v>71</v>
      </c>
      <c r="C6" s="35">
        <v>3</v>
      </c>
      <c r="D6" s="29">
        <f t="shared" ref="D6:D33" si="1">SUM(E6:O6)</f>
        <v>0</v>
      </c>
      <c r="E6" s="30"/>
      <c r="F6" s="30"/>
      <c r="G6" s="30"/>
      <c r="H6" s="30"/>
      <c r="I6" s="30"/>
      <c r="J6" s="30"/>
      <c r="K6" s="30"/>
      <c r="L6" s="30"/>
      <c r="M6" s="30"/>
      <c r="N6" s="30"/>
      <c r="O6" s="30"/>
      <c r="P6" s="37"/>
    </row>
    <row r="7" spans="1:16" ht="28.5" customHeight="1" x14ac:dyDescent="0.25">
      <c r="A7" s="54"/>
      <c r="B7" s="36" t="s">
        <v>72</v>
      </c>
      <c r="C7" s="35">
        <v>3</v>
      </c>
      <c r="D7" s="29">
        <f t="shared" si="1"/>
        <v>0</v>
      </c>
      <c r="E7" s="30"/>
      <c r="F7" s="30"/>
      <c r="G7" s="30"/>
      <c r="H7" s="30"/>
      <c r="I7" s="30"/>
      <c r="J7" s="30"/>
      <c r="K7" s="30"/>
      <c r="L7" s="30"/>
      <c r="M7" s="30"/>
      <c r="N7" s="30"/>
      <c r="O7" s="30"/>
      <c r="P7" s="37"/>
    </row>
    <row r="8" spans="1:16" ht="28.5" customHeight="1" x14ac:dyDescent="0.25">
      <c r="A8" s="54"/>
      <c r="B8" s="36" t="s">
        <v>73</v>
      </c>
      <c r="C8" s="35">
        <v>84</v>
      </c>
      <c r="D8" s="29">
        <f t="shared" si="1"/>
        <v>31</v>
      </c>
      <c r="E8" s="30">
        <v>3</v>
      </c>
      <c r="F8" s="30">
        <v>8</v>
      </c>
      <c r="G8" s="30">
        <v>9</v>
      </c>
      <c r="H8" s="30">
        <v>6</v>
      </c>
      <c r="I8" s="30">
        <v>3</v>
      </c>
      <c r="J8" s="30">
        <v>2</v>
      </c>
      <c r="K8" s="30"/>
      <c r="L8" s="30"/>
      <c r="M8" s="30"/>
      <c r="N8" s="30"/>
      <c r="O8" s="30"/>
      <c r="P8" s="37"/>
    </row>
    <row r="9" spans="1:16" ht="28.5" customHeight="1" x14ac:dyDescent="0.25">
      <c r="A9" s="54"/>
      <c r="B9" s="36" t="s">
        <v>74</v>
      </c>
      <c r="C9" s="35">
        <v>56</v>
      </c>
      <c r="D9" s="29">
        <f t="shared" si="1"/>
        <v>27</v>
      </c>
      <c r="E9" s="30"/>
      <c r="F9" s="30"/>
      <c r="G9" s="30">
        <v>7</v>
      </c>
      <c r="H9" s="30">
        <v>18</v>
      </c>
      <c r="I9" s="30"/>
      <c r="J9" s="30">
        <v>2</v>
      </c>
      <c r="K9" s="30"/>
      <c r="L9" s="30"/>
      <c r="M9" s="30"/>
      <c r="N9" s="30"/>
      <c r="O9" s="30"/>
      <c r="P9" s="37"/>
    </row>
    <row r="10" spans="1:16" ht="28.5" customHeight="1" x14ac:dyDescent="0.25">
      <c r="A10" s="54"/>
      <c r="B10" s="36" t="s">
        <v>75</v>
      </c>
      <c r="C10" s="35">
        <v>0</v>
      </c>
      <c r="D10" s="29">
        <f t="shared" si="1"/>
        <v>0</v>
      </c>
      <c r="E10" s="30"/>
      <c r="F10" s="30"/>
      <c r="G10" s="30"/>
      <c r="H10" s="30"/>
      <c r="I10" s="30"/>
      <c r="J10" s="30"/>
      <c r="K10" s="30"/>
      <c r="L10" s="30"/>
      <c r="M10" s="30"/>
      <c r="N10" s="30"/>
      <c r="O10" s="30"/>
      <c r="P10" s="37"/>
    </row>
    <row r="11" spans="1:16" ht="28.5" customHeight="1" x14ac:dyDescent="0.25">
      <c r="A11" s="54"/>
      <c r="B11" s="36" t="s">
        <v>76</v>
      </c>
      <c r="C11" s="35">
        <v>9</v>
      </c>
      <c r="D11" s="29">
        <f t="shared" si="1"/>
        <v>1</v>
      </c>
      <c r="E11" s="30"/>
      <c r="F11" s="30"/>
      <c r="G11" s="30"/>
      <c r="H11" s="30"/>
      <c r="I11" s="30">
        <v>1</v>
      </c>
      <c r="J11" s="30"/>
      <c r="K11" s="30"/>
      <c r="L11" s="30"/>
      <c r="M11" s="30"/>
      <c r="N11" s="30"/>
      <c r="O11" s="30"/>
      <c r="P11" s="37"/>
    </row>
    <row r="12" spans="1:16" ht="28.5" customHeight="1" x14ac:dyDescent="0.25">
      <c r="A12" s="54"/>
      <c r="B12" s="36" t="s">
        <v>77</v>
      </c>
      <c r="C12" s="35">
        <v>0</v>
      </c>
      <c r="D12" s="29">
        <f t="shared" si="1"/>
        <v>0</v>
      </c>
      <c r="E12" s="30"/>
      <c r="F12" s="30"/>
      <c r="G12" s="30"/>
      <c r="H12" s="30"/>
      <c r="I12" s="30"/>
      <c r="J12" s="30"/>
      <c r="K12" s="30"/>
      <c r="L12" s="30"/>
      <c r="M12" s="30"/>
      <c r="N12" s="30"/>
      <c r="O12" s="30"/>
      <c r="P12" s="37"/>
    </row>
    <row r="13" spans="1:16" ht="28.5" customHeight="1" x14ac:dyDescent="0.25">
      <c r="A13" s="54"/>
      <c r="B13" s="36" t="s">
        <v>78</v>
      </c>
      <c r="C13" s="35">
        <v>0</v>
      </c>
      <c r="D13" s="29">
        <f t="shared" si="1"/>
        <v>0</v>
      </c>
      <c r="E13" s="30"/>
      <c r="F13" s="30"/>
      <c r="G13" s="30"/>
      <c r="H13" s="30"/>
      <c r="I13" s="30"/>
      <c r="J13" s="30"/>
      <c r="K13" s="30"/>
      <c r="L13" s="30"/>
      <c r="M13" s="30"/>
      <c r="N13" s="30"/>
      <c r="O13" s="30"/>
      <c r="P13" s="37"/>
    </row>
    <row r="14" spans="1:16" ht="28.5" customHeight="1" x14ac:dyDescent="0.25">
      <c r="A14" s="54"/>
      <c r="B14" s="36" t="s">
        <v>79</v>
      </c>
      <c r="C14" s="35">
        <v>0</v>
      </c>
      <c r="D14" s="29">
        <f t="shared" si="1"/>
        <v>0</v>
      </c>
      <c r="E14" s="30"/>
      <c r="F14" s="30"/>
      <c r="G14" s="30"/>
      <c r="H14" s="30"/>
      <c r="I14" s="30"/>
      <c r="J14" s="30"/>
      <c r="K14" s="30"/>
      <c r="L14" s="30"/>
      <c r="M14" s="30"/>
      <c r="N14" s="30"/>
      <c r="O14" s="30"/>
      <c r="P14" s="37"/>
    </row>
    <row r="15" spans="1:16" ht="28.5" customHeight="1" x14ac:dyDescent="0.25">
      <c r="A15" s="54"/>
      <c r="B15" s="36" t="s">
        <v>80</v>
      </c>
      <c r="C15" s="35">
        <v>0</v>
      </c>
      <c r="D15" s="29">
        <f t="shared" si="1"/>
        <v>0</v>
      </c>
      <c r="E15" s="30"/>
      <c r="F15" s="30"/>
      <c r="G15" s="30"/>
      <c r="H15" s="30"/>
      <c r="I15" s="30"/>
      <c r="J15" s="30"/>
      <c r="K15" s="30"/>
      <c r="L15" s="30"/>
      <c r="M15" s="30"/>
      <c r="N15" s="30"/>
      <c r="O15" s="30"/>
      <c r="P15" s="37"/>
    </row>
    <row r="16" spans="1:16" ht="28.5" customHeight="1" x14ac:dyDescent="0.25">
      <c r="A16" s="54"/>
      <c r="B16" s="36" t="s">
        <v>81</v>
      </c>
      <c r="C16" s="35">
        <v>0</v>
      </c>
      <c r="D16" s="29">
        <f t="shared" si="1"/>
        <v>0</v>
      </c>
      <c r="E16" s="30"/>
      <c r="F16" s="30"/>
      <c r="G16" s="30"/>
      <c r="H16" s="30"/>
      <c r="I16" s="30"/>
      <c r="J16" s="30"/>
      <c r="K16" s="30"/>
      <c r="L16" s="30"/>
      <c r="M16" s="30"/>
      <c r="N16" s="30"/>
      <c r="O16" s="30"/>
      <c r="P16" s="37"/>
    </row>
    <row r="17" spans="1:16" ht="28.5" customHeight="1" x14ac:dyDescent="0.25">
      <c r="A17" s="54"/>
      <c r="B17" s="36" t="s">
        <v>82</v>
      </c>
      <c r="C17" s="35">
        <v>0</v>
      </c>
      <c r="D17" s="29">
        <f t="shared" si="1"/>
        <v>0</v>
      </c>
      <c r="E17" s="30"/>
      <c r="F17" s="30"/>
      <c r="G17" s="30"/>
      <c r="H17" s="30"/>
      <c r="I17" s="30"/>
      <c r="J17" s="30"/>
      <c r="K17" s="30"/>
      <c r="L17" s="30"/>
      <c r="M17" s="30"/>
      <c r="N17" s="30"/>
      <c r="O17" s="30"/>
      <c r="P17" s="37"/>
    </row>
    <row r="18" spans="1:16" ht="28.5" customHeight="1" x14ac:dyDescent="0.25">
      <c r="A18" s="54"/>
      <c r="B18" s="36" t="s">
        <v>83</v>
      </c>
      <c r="C18" s="35">
        <v>0</v>
      </c>
      <c r="D18" s="29">
        <f t="shared" si="1"/>
        <v>0</v>
      </c>
      <c r="E18" s="30"/>
      <c r="F18" s="30"/>
      <c r="G18" s="30"/>
      <c r="H18" s="30"/>
      <c r="I18" s="30"/>
      <c r="J18" s="30"/>
      <c r="K18" s="30"/>
      <c r="L18" s="30"/>
      <c r="M18" s="30"/>
      <c r="N18" s="30"/>
      <c r="O18" s="30"/>
      <c r="P18" s="37"/>
    </row>
    <row r="19" spans="1:16" ht="28.5" customHeight="1" x14ac:dyDescent="0.25">
      <c r="A19" s="54"/>
      <c r="B19" s="36" t="s">
        <v>84</v>
      </c>
      <c r="C19" s="35">
        <v>0</v>
      </c>
      <c r="D19" s="29">
        <f t="shared" si="1"/>
        <v>0</v>
      </c>
      <c r="E19" s="30"/>
      <c r="F19" s="30"/>
      <c r="G19" s="30"/>
      <c r="H19" s="30"/>
      <c r="I19" s="30"/>
      <c r="J19" s="30"/>
      <c r="K19" s="30"/>
      <c r="L19" s="30"/>
      <c r="M19" s="30"/>
      <c r="N19" s="30"/>
      <c r="O19" s="30"/>
      <c r="P19" s="37"/>
    </row>
    <row r="20" spans="1:16" ht="28.5" customHeight="1" x14ac:dyDescent="0.25">
      <c r="A20" s="54"/>
      <c r="B20" s="36" t="s">
        <v>85</v>
      </c>
      <c r="C20" s="35">
        <v>56</v>
      </c>
      <c r="D20" s="29">
        <f t="shared" si="1"/>
        <v>21</v>
      </c>
      <c r="E20" s="30">
        <v>8</v>
      </c>
      <c r="F20" s="30"/>
      <c r="G20" s="30">
        <v>7</v>
      </c>
      <c r="H20" s="30">
        <v>6</v>
      </c>
      <c r="I20" s="30"/>
      <c r="J20" s="30"/>
      <c r="K20" s="30"/>
      <c r="L20" s="30"/>
      <c r="M20" s="30"/>
      <c r="N20" s="30"/>
      <c r="O20" s="30"/>
      <c r="P20" s="37"/>
    </row>
    <row r="21" spans="1:16" ht="28.5" customHeight="1" x14ac:dyDescent="0.25">
      <c r="A21" s="54"/>
      <c r="B21" s="36" t="s">
        <v>86</v>
      </c>
      <c r="C21" s="35">
        <v>0</v>
      </c>
      <c r="D21" s="29">
        <f t="shared" si="1"/>
        <v>0</v>
      </c>
      <c r="E21" s="30"/>
      <c r="F21" s="30"/>
      <c r="G21" s="30"/>
      <c r="H21" s="30"/>
      <c r="I21" s="30"/>
      <c r="J21" s="30"/>
      <c r="K21" s="30"/>
      <c r="L21" s="30"/>
      <c r="M21" s="30"/>
      <c r="N21" s="30"/>
      <c r="O21" s="30"/>
      <c r="P21" s="37"/>
    </row>
    <row r="22" spans="1:16" ht="24" customHeight="1" x14ac:dyDescent="0.25">
      <c r="A22" s="54"/>
      <c r="B22" s="38" t="s">
        <v>87</v>
      </c>
      <c r="C22" s="35">
        <v>5</v>
      </c>
      <c r="D22" s="29">
        <f t="shared" si="1"/>
        <v>5</v>
      </c>
      <c r="E22" s="30"/>
      <c r="F22" s="30">
        <v>4</v>
      </c>
      <c r="G22" s="30">
        <v>1</v>
      </c>
      <c r="H22" s="30"/>
      <c r="I22" s="30"/>
      <c r="J22" s="30"/>
      <c r="K22" s="30"/>
      <c r="L22" s="30"/>
      <c r="M22" s="30"/>
      <c r="N22" s="30"/>
      <c r="O22" s="30"/>
      <c r="P22" s="37"/>
    </row>
    <row r="23" spans="1:16" ht="24" customHeight="1" x14ac:dyDescent="0.25">
      <c r="A23" s="54"/>
      <c r="B23" s="38" t="s">
        <v>88</v>
      </c>
      <c r="C23" s="35">
        <v>5</v>
      </c>
      <c r="D23" s="29">
        <f t="shared" si="1"/>
        <v>4</v>
      </c>
      <c r="E23" s="30"/>
      <c r="F23" s="30"/>
      <c r="G23" s="30"/>
      <c r="H23" s="30">
        <v>4</v>
      </c>
      <c r="I23" s="30"/>
      <c r="J23" s="30"/>
      <c r="K23" s="30"/>
      <c r="L23" s="30"/>
      <c r="M23" s="30"/>
      <c r="N23" s="30"/>
      <c r="O23" s="30"/>
      <c r="P23" s="37"/>
    </row>
    <row r="24" spans="1:16" ht="24" customHeight="1" x14ac:dyDescent="0.25">
      <c r="A24" s="54"/>
      <c r="B24" s="38" t="s">
        <v>89</v>
      </c>
      <c r="C24" s="35">
        <v>5</v>
      </c>
      <c r="D24" s="29">
        <f t="shared" si="1"/>
        <v>4</v>
      </c>
      <c r="E24" s="30"/>
      <c r="F24" s="30"/>
      <c r="G24" s="30"/>
      <c r="H24" s="30"/>
      <c r="I24" s="30">
        <v>4</v>
      </c>
      <c r="J24" s="30"/>
      <c r="K24" s="30"/>
      <c r="L24" s="30"/>
      <c r="M24" s="30"/>
      <c r="N24" s="30"/>
      <c r="O24" s="30"/>
      <c r="P24" s="37"/>
    </row>
    <row r="25" spans="1:16" ht="24" customHeight="1" x14ac:dyDescent="0.25">
      <c r="A25" s="54"/>
      <c r="B25" s="38" t="s">
        <v>90</v>
      </c>
      <c r="C25" s="35">
        <v>5</v>
      </c>
      <c r="D25" s="29">
        <f t="shared" si="1"/>
        <v>0</v>
      </c>
      <c r="E25" s="30"/>
      <c r="F25" s="30"/>
      <c r="G25" s="30"/>
      <c r="H25" s="30"/>
      <c r="I25" s="30"/>
      <c r="J25" s="30"/>
      <c r="K25" s="30"/>
      <c r="L25" s="30"/>
      <c r="M25" s="30"/>
      <c r="N25" s="30"/>
      <c r="O25" s="30"/>
      <c r="P25" s="37"/>
    </row>
    <row r="26" spans="1:16" ht="24" customHeight="1" x14ac:dyDescent="0.25">
      <c r="A26" s="54"/>
      <c r="B26" s="38" t="s">
        <v>91</v>
      </c>
      <c r="C26" s="35">
        <v>5</v>
      </c>
      <c r="D26" s="29">
        <f t="shared" si="1"/>
        <v>0</v>
      </c>
      <c r="E26" s="30"/>
      <c r="F26" s="30"/>
      <c r="G26" s="30"/>
      <c r="H26" s="30"/>
      <c r="I26" s="30"/>
      <c r="J26" s="30"/>
      <c r="K26" s="30"/>
      <c r="L26" s="30"/>
      <c r="M26" s="30"/>
      <c r="N26" s="30"/>
      <c r="O26" s="30"/>
      <c r="P26" s="37"/>
    </row>
    <row r="27" spans="1:16" ht="24" customHeight="1" x14ac:dyDescent="0.25">
      <c r="A27" s="54"/>
      <c r="B27" s="38" t="s">
        <v>92</v>
      </c>
      <c r="C27" s="35">
        <v>1</v>
      </c>
      <c r="D27" s="29">
        <f t="shared" si="1"/>
        <v>0</v>
      </c>
      <c r="E27" s="30"/>
      <c r="F27" s="30"/>
      <c r="G27" s="30"/>
      <c r="H27" s="30"/>
      <c r="I27" s="30"/>
      <c r="J27" s="30"/>
      <c r="K27" s="30"/>
      <c r="L27" s="30"/>
      <c r="M27" s="30"/>
      <c r="N27" s="30"/>
      <c r="O27" s="30"/>
      <c r="P27" s="37"/>
    </row>
    <row r="28" spans="1:16" ht="24" customHeight="1" x14ac:dyDescent="0.25">
      <c r="A28" s="54"/>
      <c r="B28" s="38" t="s">
        <v>93</v>
      </c>
      <c r="C28" s="35">
        <v>1</v>
      </c>
      <c r="D28" s="29">
        <f t="shared" si="1"/>
        <v>0</v>
      </c>
      <c r="E28" s="30"/>
      <c r="F28" s="30"/>
      <c r="G28" s="30"/>
      <c r="H28" s="30"/>
      <c r="I28" s="30"/>
      <c r="J28" s="30"/>
      <c r="K28" s="30"/>
      <c r="L28" s="30"/>
      <c r="M28" s="30"/>
      <c r="N28" s="30"/>
      <c r="O28" s="30"/>
      <c r="P28" s="37"/>
    </row>
    <row r="29" spans="1:16" ht="24" customHeight="1" x14ac:dyDescent="0.25">
      <c r="A29" s="54"/>
      <c r="B29" s="38" t="s">
        <v>94</v>
      </c>
      <c r="C29" s="35">
        <v>1</v>
      </c>
      <c r="D29" s="29">
        <f t="shared" si="1"/>
        <v>0</v>
      </c>
      <c r="E29" s="30"/>
      <c r="F29" s="30"/>
      <c r="G29" s="30"/>
      <c r="H29" s="30"/>
      <c r="I29" s="30"/>
      <c r="J29" s="30"/>
      <c r="K29" s="30"/>
      <c r="L29" s="30"/>
      <c r="M29" s="30"/>
      <c r="N29" s="30"/>
      <c r="O29" s="30"/>
      <c r="P29" s="37"/>
    </row>
    <row r="30" spans="1:16" ht="24" customHeight="1" x14ac:dyDescent="0.25">
      <c r="A30" s="54"/>
      <c r="B30" s="38" t="s">
        <v>95</v>
      </c>
      <c r="C30" s="35">
        <v>1</v>
      </c>
      <c r="D30" s="29">
        <f t="shared" si="1"/>
        <v>0</v>
      </c>
      <c r="E30" s="30"/>
      <c r="F30" s="30"/>
      <c r="G30" s="30"/>
      <c r="H30" s="30"/>
      <c r="I30" s="30"/>
      <c r="J30" s="30"/>
      <c r="K30" s="30"/>
      <c r="L30" s="30"/>
      <c r="M30" s="30"/>
      <c r="N30" s="30"/>
      <c r="O30" s="30"/>
      <c r="P30" s="37"/>
    </row>
    <row r="31" spans="1:16" ht="24" customHeight="1" x14ac:dyDescent="0.25">
      <c r="A31" s="54"/>
      <c r="B31" s="38" t="s">
        <v>96</v>
      </c>
      <c r="C31" s="35">
        <v>1</v>
      </c>
      <c r="D31" s="29">
        <f t="shared" si="1"/>
        <v>0</v>
      </c>
      <c r="E31" s="30"/>
      <c r="F31" s="30"/>
      <c r="G31" s="30"/>
      <c r="H31" s="30"/>
      <c r="I31" s="30"/>
      <c r="J31" s="30"/>
      <c r="K31" s="30"/>
      <c r="L31" s="30"/>
      <c r="M31" s="30"/>
      <c r="N31" s="30"/>
      <c r="O31" s="30"/>
      <c r="P31" s="37"/>
    </row>
    <row r="32" spans="1:16" ht="24" customHeight="1" x14ac:dyDescent="0.25">
      <c r="A32" s="54"/>
      <c r="B32" s="38" t="s">
        <v>97</v>
      </c>
      <c r="C32" s="35">
        <v>1</v>
      </c>
      <c r="D32" s="29">
        <f t="shared" si="1"/>
        <v>0</v>
      </c>
      <c r="E32" s="30"/>
      <c r="F32" s="30"/>
      <c r="G32" s="30"/>
      <c r="H32" s="30"/>
      <c r="I32" s="30"/>
      <c r="J32" s="30"/>
      <c r="K32" s="30"/>
      <c r="L32" s="30"/>
      <c r="M32" s="30"/>
      <c r="N32" s="30"/>
      <c r="O32" s="30"/>
      <c r="P32" s="37"/>
    </row>
    <row r="33" spans="1:16" ht="24" customHeight="1" thickBot="1" x14ac:dyDescent="0.3">
      <c r="A33" s="55"/>
      <c r="B33" s="39" t="s">
        <v>98</v>
      </c>
      <c r="C33" s="35">
        <v>1</v>
      </c>
      <c r="D33" s="29">
        <f t="shared" si="1"/>
        <v>0</v>
      </c>
      <c r="E33" s="30"/>
      <c r="F33" s="30"/>
      <c r="G33" s="30"/>
      <c r="H33" s="30"/>
      <c r="I33" s="30"/>
      <c r="J33" s="30"/>
      <c r="K33" s="30"/>
      <c r="L33" s="30"/>
      <c r="M33" s="30"/>
      <c r="N33" s="30"/>
      <c r="O33" s="30"/>
      <c r="P33" s="37"/>
    </row>
    <row r="34" spans="1:16" x14ac:dyDescent="0.25">
      <c r="C34" s="40">
        <f>SUM(C3:C33)</f>
        <v>249</v>
      </c>
      <c r="D34" s="41">
        <f>SUM(D3:D33)</f>
        <v>94</v>
      </c>
    </row>
    <row r="35" spans="1:16" x14ac:dyDescent="0.25">
      <c r="C35" s="8"/>
      <c r="D35" s="42">
        <f>D34/C34</f>
        <v>0.37751004016064255</v>
      </c>
    </row>
  </sheetData>
  <sheetProtection algorithmName="SHA-512" hashValue="+OtU9R5KMLXQ6qhnpURFvWFIq+YN3ldNeUW39J+4zvQ/T5iuxpWKRgduSebeddwF+20QpB+kRELVh8fO3D4e9A==" saltValue="XNLcI8/MOtZ5pux2ZaK34A==" spinCount="100000" sheet="1" objects="1" scenarios="1" autoFilter="0"/>
  <mergeCells count="2">
    <mergeCell ref="A1:A2"/>
    <mergeCell ref="A6:A33"/>
  </mergeCells>
  <conditionalFormatting sqref="C3:D3 D4:D5">
    <cfRule type="dataBar" priority="47">
      <dataBar>
        <cfvo type="min"/>
        <cfvo type="max"/>
        <color rgb="FF008AEF"/>
      </dataBar>
      <extLst>
        <ext xmlns:x14="http://schemas.microsoft.com/office/spreadsheetml/2009/9/main" uri="{B025F937-C7B1-47D3-B67F-A62EFF666E3E}">
          <x14:id>{87C72AB1-F7D5-4302-9FEA-FD46B84ADCB9}</x14:id>
        </ext>
      </extLst>
    </cfRule>
  </conditionalFormatting>
  <conditionalFormatting sqref="C4:D4">
    <cfRule type="dataBar" priority="4">
      <dataBar>
        <cfvo type="min"/>
        <cfvo type="max"/>
        <color rgb="FF008AEF"/>
      </dataBar>
      <extLst>
        <ext xmlns:x14="http://schemas.microsoft.com/office/spreadsheetml/2009/9/main" uri="{B025F937-C7B1-47D3-B67F-A62EFF666E3E}">
          <x14:id>{B35F8D7B-AF49-449C-A793-81E1F36DF691}</x14:id>
        </ext>
      </extLst>
    </cfRule>
  </conditionalFormatting>
  <conditionalFormatting sqref="C5:D5">
    <cfRule type="dataBar" priority="5">
      <dataBar>
        <cfvo type="min"/>
        <cfvo type="max"/>
        <color rgb="FF008AEF"/>
      </dataBar>
      <extLst>
        <ext xmlns:x14="http://schemas.microsoft.com/office/spreadsheetml/2009/9/main" uri="{B025F937-C7B1-47D3-B67F-A62EFF666E3E}">
          <x14:id>{42E5FF28-A44C-4432-88B2-C6CAC025B7E0}</x14:id>
        </ext>
      </extLst>
    </cfRule>
  </conditionalFormatting>
  <conditionalFormatting sqref="C6:D6">
    <cfRule type="dataBar" priority="12">
      <dataBar>
        <cfvo type="min"/>
        <cfvo type="max"/>
        <color rgb="FF008AEF"/>
      </dataBar>
      <extLst>
        <ext xmlns:x14="http://schemas.microsoft.com/office/spreadsheetml/2009/9/main" uri="{B025F937-C7B1-47D3-B67F-A62EFF666E3E}">
          <x14:id>{D22622DC-8B98-49B3-8282-384EB4EDDD91}</x14:id>
        </ext>
      </extLst>
    </cfRule>
  </conditionalFormatting>
  <conditionalFormatting sqref="C7:D7">
    <cfRule type="dataBar" priority="39">
      <dataBar>
        <cfvo type="min"/>
        <cfvo type="max"/>
        <color rgb="FF008AEF"/>
      </dataBar>
      <extLst>
        <ext xmlns:x14="http://schemas.microsoft.com/office/spreadsheetml/2009/9/main" uri="{B025F937-C7B1-47D3-B67F-A62EFF666E3E}">
          <x14:id>{5001BEF6-6F2E-4CF7-9838-CC806E236460}</x14:id>
        </ext>
      </extLst>
    </cfRule>
  </conditionalFormatting>
  <conditionalFormatting sqref="C8:D8">
    <cfRule type="dataBar" priority="38">
      <dataBar>
        <cfvo type="min"/>
        <cfvo type="max"/>
        <color rgb="FF008AEF"/>
      </dataBar>
      <extLst>
        <ext xmlns:x14="http://schemas.microsoft.com/office/spreadsheetml/2009/9/main" uri="{B025F937-C7B1-47D3-B67F-A62EFF666E3E}">
          <x14:id>{60ADF757-8925-425E-9EA6-3FD949F38617}</x14:id>
        </ext>
      </extLst>
    </cfRule>
  </conditionalFormatting>
  <conditionalFormatting sqref="C9:D9">
    <cfRule type="dataBar" priority="37">
      <dataBar>
        <cfvo type="min"/>
        <cfvo type="max"/>
        <color rgb="FF008AEF"/>
      </dataBar>
      <extLst>
        <ext xmlns:x14="http://schemas.microsoft.com/office/spreadsheetml/2009/9/main" uri="{B025F937-C7B1-47D3-B67F-A62EFF666E3E}">
          <x14:id>{3E565360-A9C2-4D85-BD26-0B62055F4CC6}</x14:id>
        </ext>
      </extLst>
    </cfRule>
  </conditionalFormatting>
  <conditionalFormatting sqref="C10:D10">
    <cfRule type="dataBar" priority="36">
      <dataBar>
        <cfvo type="min"/>
        <cfvo type="max"/>
        <color rgb="FF008AEF"/>
      </dataBar>
      <extLst>
        <ext xmlns:x14="http://schemas.microsoft.com/office/spreadsheetml/2009/9/main" uri="{B025F937-C7B1-47D3-B67F-A62EFF666E3E}">
          <x14:id>{1F67D125-CF1C-415C-B01F-2BDB31284B93}</x14:id>
        </ext>
      </extLst>
    </cfRule>
  </conditionalFormatting>
  <conditionalFormatting sqref="C11:D11">
    <cfRule type="dataBar" priority="35">
      <dataBar>
        <cfvo type="min"/>
        <cfvo type="max"/>
        <color rgb="FF008AEF"/>
      </dataBar>
      <extLst>
        <ext xmlns:x14="http://schemas.microsoft.com/office/spreadsheetml/2009/9/main" uri="{B025F937-C7B1-47D3-B67F-A62EFF666E3E}">
          <x14:id>{032F5118-842A-4603-86E8-EC9E37584181}</x14:id>
        </ext>
      </extLst>
    </cfRule>
  </conditionalFormatting>
  <conditionalFormatting sqref="C12:D12">
    <cfRule type="dataBar" priority="34">
      <dataBar>
        <cfvo type="min"/>
        <cfvo type="max"/>
        <color rgb="FF008AEF"/>
      </dataBar>
      <extLst>
        <ext xmlns:x14="http://schemas.microsoft.com/office/spreadsheetml/2009/9/main" uri="{B025F937-C7B1-47D3-B67F-A62EFF666E3E}">
          <x14:id>{43F8C7D9-7B53-483B-B987-273CA079B6DC}</x14:id>
        </ext>
      </extLst>
    </cfRule>
  </conditionalFormatting>
  <conditionalFormatting sqref="C13:D13">
    <cfRule type="dataBar" priority="33">
      <dataBar>
        <cfvo type="min"/>
        <cfvo type="max"/>
        <color rgb="FF008AEF"/>
      </dataBar>
      <extLst>
        <ext xmlns:x14="http://schemas.microsoft.com/office/spreadsheetml/2009/9/main" uri="{B025F937-C7B1-47D3-B67F-A62EFF666E3E}">
          <x14:id>{D5AD237C-C186-4C37-9090-E9D304A16526}</x14:id>
        </ext>
      </extLst>
    </cfRule>
  </conditionalFormatting>
  <conditionalFormatting sqref="C14:D14">
    <cfRule type="dataBar" priority="32">
      <dataBar>
        <cfvo type="min"/>
        <cfvo type="max"/>
        <color rgb="FF008AEF"/>
      </dataBar>
      <extLst>
        <ext xmlns:x14="http://schemas.microsoft.com/office/spreadsheetml/2009/9/main" uri="{B025F937-C7B1-47D3-B67F-A62EFF666E3E}">
          <x14:id>{21F9FB82-5C1D-44A8-BD53-3A22CA12F4A3}</x14:id>
        </ext>
      </extLst>
    </cfRule>
  </conditionalFormatting>
  <conditionalFormatting sqref="C15:D15">
    <cfRule type="dataBar" priority="31">
      <dataBar>
        <cfvo type="min"/>
        <cfvo type="max"/>
        <color rgb="FF008AEF"/>
      </dataBar>
      <extLst>
        <ext xmlns:x14="http://schemas.microsoft.com/office/spreadsheetml/2009/9/main" uri="{B025F937-C7B1-47D3-B67F-A62EFF666E3E}">
          <x14:id>{BC78673B-AAB2-4665-BDD9-DF9B6190DA39}</x14:id>
        </ext>
      </extLst>
    </cfRule>
  </conditionalFormatting>
  <conditionalFormatting sqref="C16:D16">
    <cfRule type="dataBar" priority="30">
      <dataBar>
        <cfvo type="min"/>
        <cfvo type="max"/>
        <color rgb="FF008AEF"/>
      </dataBar>
      <extLst>
        <ext xmlns:x14="http://schemas.microsoft.com/office/spreadsheetml/2009/9/main" uri="{B025F937-C7B1-47D3-B67F-A62EFF666E3E}">
          <x14:id>{BA758CC2-85F4-476A-BA77-49F0F1E10F7C}</x14:id>
        </ext>
      </extLst>
    </cfRule>
  </conditionalFormatting>
  <conditionalFormatting sqref="C17:D17">
    <cfRule type="dataBar" priority="29">
      <dataBar>
        <cfvo type="min"/>
        <cfvo type="max"/>
        <color rgb="FF008AEF"/>
      </dataBar>
      <extLst>
        <ext xmlns:x14="http://schemas.microsoft.com/office/spreadsheetml/2009/9/main" uri="{B025F937-C7B1-47D3-B67F-A62EFF666E3E}">
          <x14:id>{E1E57071-DB5B-4D7C-B3F9-9CBF433E5DA0}</x14:id>
        </ext>
      </extLst>
    </cfRule>
  </conditionalFormatting>
  <conditionalFormatting sqref="C18:D18">
    <cfRule type="dataBar" priority="28">
      <dataBar>
        <cfvo type="min"/>
        <cfvo type="max"/>
        <color rgb="FF008AEF"/>
      </dataBar>
      <extLst>
        <ext xmlns:x14="http://schemas.microsoft.com/office/spreadsheetml/2009/9/main" uri="{B025F937-C7B1-47D3-B67F-A62EFF666E3E}">
          <x14:id>{6ECCE0EA-2D25-4146-A767-3FECD21F79C8}</x14:id>
        </ext>
      </extLst>
    </cfRule>
  </conditionalFormatting>
  <conditionalFormatting sqref="C19:D19">
    <cfRule type="dataBar" priority="27">
      <dataBar>
        <cfvo type="min"/>
        <cfvo type="max"/>
        <color rgb="FF008AEF"/>
      </dataBar>
      <extLst>
        <ext xmlns:x14="http://schemas.microsoft.com/office/spreadsheetml/2009/9/main" uri="{B025F937-C7B1-47D3-B67F-A62EFF666E3E}">
          <x14:id>{FB57A88D-EE90-4A50-B14D-A3F0D13747D2}</x14:id>
        </ext>
      </extLst>
    </cfRule>
  </conditionalFormatting>
  <conditionalFormatting sqref="C20:D20">
    <cfRule type="dataBar" priority="26">
      <dataBar>
        <cfvo type="min"/>
        <cfvo type="max"/>
        <color rgb="FF008AEF"/>
      </dataBar>
      <extLst>
        <ext xmlns:x14="http://schemas.microsoft.com/office/spreadsheetml/2009/9/main" uri="{B025F937-C7B1-47D3-B67F-A62EFF666E3E}">
          <x14:id>{DCEFCE80-A48D-4731-9CCC-5C5CB51EE4FC}</x14:id>
        </ext>
      </extLst>
    </cfRule>
  </conditionalFormatting>
  <conditionalFormatting sqref="C21:D21">
    <cfRule type="dataBar" priority="25">
      <dataBar>
        <cfvo type="min"/>
        <cfvo type="max"/>
        <color rgb="FF008AEF"/>
      </dataBar>
      <extLst>
        <ext xmlns:x14="http://schemas.microsoft.com/office/spreadsheetml/2009/9/main" uri="{B025F937-C7B1-47D3-B67F-A62EFF666E3E}">
          <x14:id>{C4E28D1A-4CFD-4CC9-AB8B-0BC75D4EAD6F}</x14:id>
        </ext>
      </extLst>
    </cfRule>
  </conditionalFormatting>
  <conditionalFormatting sqref="C22:D22">
    <cfRule type="dataBar" priority="24">
      <dataBar>
        <cfvo type="min"/>
        <cfvo type="max"/>
        <color rgb="FF008AEF"/>
      </dataBar>
      <extLst>
        <ext xmlns:x14="http://schemas.microsoft.com/office/spreadsheetml/2009/9/main" uri="{B025F937-C7B1-47D3-B67F-A62EFF666E3E}">
          <x14:id>{16C90A79-3AAB-4BF3-9281-4BBAEC122EC5}</x14:id>
        </ext>
      </extLst>
    </cfRule>
  </conditionalFormatting>
  <conditionalFormatting sqref="C23:D23">
    <cfRule type="dataBar" priority="23">
      <dataBar>
        <cfvo type="min"/>
        <cfvo type="max"/>
        <color rgb="FF008AEF"/>
      </dataBar>
      <extLst>
        <ext xmlns:x14="http://schemas.microsoft.com/office/spreadsheetml/2009/9/main" uri="{B025F937-C7B1-47D3-B67F-A62EFF666E3E}">
          <x14:id>{AC4A0A6B-B2FC-45A1-9041-BA0275F60CF8}</x14:id>
        </ext>
      </extLst>
    </cfRule>
  </conditionalFormatting>
  <conditionalFormatting sqref="C24:D24">
    <cfRule type="dataBar" priority="22">
      <dataBar>
        <cfvo type="min"/>
        <cfvo type="max"/>
        <color rgb="FF008AEF"/>
      </dataBar>
      <extLst>
        <ext xmlns:x14="http://schemas.microsoft.com/office/spreadsheetml/2009/9/main" uri="{B025F937-C7B1-47D3-B67F-A62EFF666E3E}">
          <x14:id>{699B272D-13F1-43EB-94E0-8A1C61DCBC2D}</x14:id>
        </ext>
      </extLst>
    </cfRule>
  </conditionalFormatting>
  <conditionalFormatting sqref="C25:D25">
    <cfRule type="dataBar" priority="21">
      <dataBar>
        <cfvo type="min"/>
        <cfvo type="max"/>
        <color rgb="FF008AEF"/>
      </dataBar>
      <extLst>
        <ext xmlns:x14="http://schemas.microsoft.com/office/spreadsheetml/2009/9/main" uri="{B025F937-C7B1-47D3-B67F-A62EFF666E3E}">
          <x14:id>{DA518ED9-0DEF-47A0-8728-A268FFC35BF9}</x14:id>
        </ext>
      </extLst>
    </cfRule>
  </conditionalFormatting>
  <conditionalFormatting sqref="C26:D26">
    <cfRule type="dataBar" priority="20">
      <dataBar>
        <cfvo type="min"/>
        <cfvo type="max"/>
        <color rgb="FF008AEF"/>
      </dataBar>
      <extLst>
        <ext xmlns:x14="http://schemas.microsoft.com/office/spreadsheetml/2009/9/main" uri="{B025F937-C7B1-47D3-B67F-A62EFF666E3E}">
          <x14:id>{F393E1BA-BD85-4B76-9591-B7EAC3EC70BC}</x14:id>
        </ext>
      </extLst>
    </cfRule>
  </conditionalFormatting>
  <conditionalFormatting sqref="C27:D27">
    <cfRule type="dataBar" priority="19">
      <dataBar>
        <cfvo type="min"/>
        <cfvo type="max"/>
        <color rgb="FF008AEF"/>
      </dataBar>
      <extLst>
        <ext xmlns:x14="http://schemas.microsoft.com/office/spreadsheetml/2009/9/main" uri="{B025F937-C7B1-47D3-B67F-A62EFF666E3E}">
          <x14:id>{DD427A91-ADAD-44DA-A581-C12039DE5853}</x14:id>
        </ext>
      </extLst>
    </cfRule>
  </conditionalFormatting>
  <conditionalFormatting sqref="C28:D28">
    <cfRule type="dataBar" priority="18">
      <dataBar>
        <cfvo type="min"/>
        <cfvo type="max"/>
        <color rgb="FF008AEF"/>
      </dataBar>
      <extLst>
        <ext xmlns:x14="http://schemas.microsoft.com/office/spreadsheetml/2009/9/main" uri="{B025F937-C7B1-47D3-B67F-A62EFF666E3E}">
          <x14:id>{8D574D8A-FC30-4F4C-BA10-3D81EFBC5010}</x14:id>
        </ext>
      </extLst>
    </cfRule>
  </conditionalFormatting>
  <conditionalFormatting sqref="C29:D29">
    <cfRule type="dataBar" priority="17">
      <dataBar>
        <cfvo type="min"/>
        <cfvo type="max"/>
        <color rgb="FF008AEF"/>
      </dataBar>
      <extLst>
        <ext xmlns:x14="http://schemas.microsoft.com/office/spreadsheetml/2009/9/main" uri="{B025F937-C7B1-47D3-B67F-A62EFF666E3E}">
          <x14:id>{EF830EE4-F82B-41E6-8E31-72A4E1559196}</x14:id>
        </ext>
      </extLst>
    </cfRule>
  </conditionalFormatting>
  <conditionalFormatting sqref="C30:D30">
    <cfRule type="dataBar" priority="16">
      <dataBar>
        <cfvo type="min"/>
        <cfvo type="max"/>
        <color rgb="FF008AEF"/>
      </dataBar>
      <extLst>
        <ext xmlns:x14="http://schemas.microsoft.com/office/spreadsheetml/2009/9/main" uri="{B025F937-C7B1-47D3-B67F-A62EFF666E3E}">
          <x14:id>{7F23F9D3-5445-4D3A-80E9-B6B5A134F506}</x14:id>
        </ext>
      </extLst>
    </cfRule>
  </conditionalFormatting>
  <conditionalFormatting sqref="C31:D31">
    <cfRule type="dataBar" priority="15">
      <dataBar>
        <cfvo type="min"/>
        <cfvo type="max"/>
        <color rgb="FF008AEF"/>
      </dataBar>
      <extLst>
        <ext xmlns:x14="http://schemas.microsoft.com/office/spreadsheetml/2009/9/main" uri="{B025F937-C7B1-47D3-B67F-A62EFF666E3E}">
          <x14:id>{A93B3A93-33CF-42EB-8CF3-AC0E02037C1E}</x14:id>
        </ext>
      </extLst>
    </cfRule>
  </conditionalFormatting>
  <conditionalFormatting sqref="C32:D32">
    <cfRule type="dataBar" priority="14">
      <dataBar>
        <cfvo type="min"/>
        <cfvo type="max"/>
        <color rgb="FF008AEF"/>
      </dataBar>
      <extLst>
        <ext xmlns:x14="http://schemas.microsoft.com/office/spreadsheetml/2009/9/main" uri="{B025F937-C7B1-47D3-B67F-A62EFF666E3E}">
          <x14:id>{B632DB32-C89B-4832-A140-BD781637933E}</x14:id>
        </ext>
      </extLst>
    </cfRule>
  </conditionalFormatting>
  <conditionalFormatting sqref="C33:D33">
    <cfRule type="dataBar" priority="13">
      <dataBar>
        <cfvo type="min"/>
        <cfvo type="max"/>
        <color rgb="FF008AEF"/>
      </dataBar>
      <extLst>
        <ext xmlns:x14="http://schemas.microsoft.com/office/spreadsheetml/2009/9/main" uri="{B025F937-C7B1-47D3-B67F-A62EFF666E3E}">
          <x14:id>{5BFA77C6-786D-42E6-B181-B8E019E3645E}</x14:id>
        </ext>
      </extLst>
    </cfRule>
  </conditionalFormatting>
  <conditionalFormatting sqref="E3:F29 E30:O33">
    <cfRule type="cellIs" dxfId="23" priority="1" operator="greaterThan">
      <formula>0</formula>
    </cfRule>
  </conditionalFormatting>
  <conditionalFormatting sqref="G6:O29">
    <cfRule type="cellIs" dxfId="22" priority="11" operator="greaterThan">
      <formula>0</formula>
    </cfRule>
  </conditionalFormatting>
  <conditionalFormatting sqref="G3:P5">
    <cfRule type="cellIs" dxfId="21" priority="2" operator="greaterThan">
      <formula>0</formula>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87C72AB1-F7D5-4302-9FEA-FD46B84ADCB9}">
            <x14:dataBar minLength="0" maxLength="100" gradient="0">
              <x14:cfvo type="autoMin"/>
              <x14:cfvo type="autoMax"/>
              <x14:negativeFillColor rgb="FFFF0000"/>
              <x14:axisColor rgb="FF000000"/>
            </x14:dataBar>
          </x14:cfRule>
          <xm:sqref>C3:D3 D4:D5</xm:sqref>
        </x14:conditionalFormatting>
        <x14:conditionalFormatting xmlns:xm="http://schemas.microsoft.com/office/excel/2006/main">
          <x14:cfRule type="dataBar" id="{B35F8D7B-AF49-449C-A793-81E1F36DF691}">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42E5FF28-A44C-4432-88B2-C6CAC025B7E0}">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D22622DC-8B98-49B3-8282-384EB4EDDD91}">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5001BEF6-6F2E-4CF7-9838-CC806E236460}">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60ADF757-8925-425E-9EA6-3FD949F38617}">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3E565360-A9C2-4D85-BD26-0B62055F4CC6}">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1F67D125-CF1C-415C-B01F-2BDB31284B93}">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032F5118-842A-4603-86E8-EC9E37584181}">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43F8C7D9-7B53-483B-B987-273CA079B6DC}">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D5AD237C-C186-4C37-9090-E9D304A16526}">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21F9FB82-5C1D-44A8-BD53-3A22CA12F4A3}">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BC78673B-AAB2-4665-BDD9-DF9B6190DA39}">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BA758CC2-85F4-476A-BA77-49F0F1E10F7C}">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E1E57071-DB5B-4D7C-B3F9-9CBF433E5DA0}">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6ECCE0EA-2D25-4146-A767-3FECD21F79C8}">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FB57A88D-EE90-4A50-B14D-A3F0D13747D2}">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DCEFCE80-A48D-4731-9CCC-5C5CB51EE4FC}">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C4E28D1A-4CFD-4CC9-AB8B-0BC75D4EAD6F}">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16C90A79-3AAB-4BF3-9281-4BBAEC122EC5}">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AC4A0A6B-B2FC-45A1-9041-BA0275F60CF8}">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699B272D-13F1-43EB-94E0-8A1C61DCBC2D}">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DA518ED9-0DEF-47A0-8728-A268FFC35BF9}">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F393E1BA-BD85-4B76-9591-B7EAC3EC70BC}">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DD427A91-ADAD-44DA-A581-C12039DE5853}">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8D574D8A-FC30-4F4C-BA10-3D81EFBC5010}">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EF830EE4-F82B-41E6-8E31-72A4E1559196}">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7F23F9D3-5445-4D3A-80E9-B6B5A134F506}">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A93B3A93-33CF-42EB-8CF3-AC0E02037C1E}">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B632DB32-C89B-4832-A140-BD781637933E}">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5BFA77C6-786D-42E6-B181-B8E019E3645E}">
            <x14:dataBar minLength="0" maxLength="100" gradient="0">
              <x14:cfvo type="autoMin"/>
              <x14:cfvo type="autoMax"/>
              <x14:negativeFillColor rgb="FFFF0000"/>
              <x14:axisColor rgb="FF000000"/>
            </x14:dataBar>
          </x14:cfRule>
          <xm:sqref>C33:D33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P37"/>
  <sheetViews>
    <sheetView topLeftCell="B10" zoomScale="80" zoomScaleNormal="80" workbookViewId="0">
      <selection activeCell="M21" sqref="M21"/>
    </sheetView>
  </sheetViews>
  <sheetFormatPr baseColWidth="10" defaultColWidth="11.42578125" defaultRowHeight="15" x14ac:dyDescent="0.25"/>
  <cols>
    <col min="1" max="1" width="7.140625" style="2" customWidth="1"/>
    <col min="2" max="2" width="90.42578125" style="2" customWidth="1"/>
    <col min="3" max="3" width="11.42578125" style="2"/>
    <col min="4" max="4" width="22.42578125" style="2" customWidth="1"/>
    <col min="5" max="9" width="17.28515625" style="2" customWidth="1"/>
    <col min="10" max="16384" width="11.42578125" style="2"/>
  </cols>
  <sheetData>
    <row r="1" spans="1:16" ht="61.5" customHeight="1" x14ac:dyDescent="0.25">
      <c r="A1" s="51" t="s">
        <v>1</v>
      </c>
      <c r="B1" s="23" t="s">
        <v>30</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3" customFormat="1" ht="15.75" thickBot="1" x14ac:dyDescent="0.3">
      <c r="A2" s="52"/>
      <c r="B2" s="23"/>
      <c r="C2" s="25">
        <v>2026</v>
      </c>
      <c r="D2" s="25" t="s">
        <v>16</v>
      </c>
      <c r="E2" s="26"/>
      <c r="F2" s="26"/>
      <c r="G2" s="26"/>
      <c r="H2" s="26"/>
      <c r="I2" s="26"/>
      <c r="J2" s="26"/>
      <c r="K2" s="26"/>
      <c r="L2" s="26"/>
      <c r="M2" s="26"/>
      <c r="N2" s="26"/>
      <c r="O2" s="26"/>
      <c r="P2" s="26"/>
    </row>
    <row r="3" spans="1:16" ht="81" customHeight="1" x14ac:dyDescent="0.25">
      <c r="A3" s="43" t="s">
        <v>18</v>
      </c>
      <c r="B3" s="4" t="s">
        <v>17</v>
      </c>
      <c r="C3" s="28">
        <v>2</v>
      </c>
      <c r="D3" s="29">
        <f t="shared" ref="D3:D7" si="0">SUM(E3:P3)</f>
        <v>0</v>
      </c>
      <c r="E3" s="30"/>
      <c r="F3" s="30"/>
      <c r="G3" s="30"/>
      <c r="H3" s="30"/>
      <c r="I3" s="30"/>
      <c r="J3" s="30"/>
      <c r="K3" s="30"/>
      <c r="L3" s="30"/>
      <c r="M3" s="30"/>
      <c r="N3" s="30"/>
      <c r="O3" s="30"/>
      <c r="P3" s="30"/>
    </row>
    <row r="4" spans="1:16" ht="81" customHeight="1" x14ac:dyDescent="0.25">
      <c r="A4" s="44" t="s">
        <v>20</v>
      </c>
      <c r="B4" s="5" t="s">
        <v>19</v>
      </c>
      <c r="C4" s="32">
        <v>2</v>
      </c>
      <c r="D4" s="29">
        <f t="shared" si="0"/>
        <v>0</v>
      </c>
      <c r="E4" s="30">
        <v>0</v>
      </c>
      <c r="F4" s="30">
        <v>0</v>
      </c>
      <c r="G4" s="30">
        <v>0</v>
      </c>
      <c r="H4" s="30">
        <v>0</v>
      </c>
      <c r="I4" s="30"/>
      <c r="J4" s="30"/>
      <c r="K4" s="30"/>
      <c r="L4" s="30"/>
      <c r="M4" s="30"/>
      <c r="N4" s="30"/>
      <c r="O4" s="30"/>
      <c r="P4" s="30"/>
    </row>
    <row r="5" spans="1:16" ht="81" customHeight="1" x14ac:dyDescent="0.25">
      <c r="A5" s="45" t="s">
        <v>22</v>
      </c>
      <c r="B5" s="6" t="s">
        <v>21</v>
      </c>
      <c r="C5" s="33">
        <v>2</v>
      </c>
      <c r="D5" s="29">
        <f t="shared" si="0"/>
        <v>1</v>
      </c>
      <c r="E5" s="30">
        <v>0</v>
      </c>
      <c r="F5" s="30">
        <v>0</v>
      </c>
      <c r="G5" s="30">
        <v>0</v>
      </c>
      <c r="H5" s="30">
        <v>1</v>
      </c>
      <c r="I5" s="30"/>
      <c r="J5" s="30"/>
      <c r="K5" s="30"/>
      <c r="L5" s="30"/>
      <c r="M5" s="30"/>
      <c r="N5" s="30"/>
      <c r="O5" s="30"/>
      <c r="P5" s="30"/>
    </row>
    <row r="6" spans="1:16" ht="81" customHeight="1" x14ac:dyDescent="0.25">
      <c r="A6" s="43" t="s">
        <v>18</v>
      </c>
      <c r="B6" s="4" t="s">
        <v>23</v>
      </c>
      <c r="C6" s="35">
        <v>2</v>
      </c>
      <c r="D6" s="29">
        <f t="shared" si="0"/>
        <v>0</v>
      </c>
      <c r="E6" s="30"/>
      <c r="F6" s="30"/>
      <c r="G6" s="30"/>
      <c r="H6" s="30"/>
      <c r="I6" s="30"/>
      <c r="J6" s="30"/>
      <c r="K6" s="30"/>
      <c r="L6" s="30"/>
      <c r="M6" s="30"/>
      <c r="N6" s="30"/>
      <c r="O6" s="30"/>
      <c r="P6" s="30"/>
    </row>
    <row r="7" spans="1:16" ht="81" customHeight="1" x14ac:dyDescent="0.25">
      <c r="A7" s="43" t="s">
        <v>18</v>
      </c>
      <c r="B7" s="4" t="s">
        <v>24</v>
      </c>
      <c r="C7" s="35">
        <v>1</v>
      </c>
      <c r="D7" s="29">
        <f t="shared" si="0"/>
        <v>0</v>
      </c>
      <c r="E7" s="30"/>
      <c r="F7" s="30"/>
      <c r="G7" s="30"/>
      <c r="H7" s="30"/>
      <c r="I7" s="30"/>
      <c r="J7" s="30"/>
      <c r="K7" s="30"/>
      <c r="L7" s="30"/>
      <c r="M7" s="30"/>
      <c r="N7" s="30"/>
      <c r="O7" s="30"/>
      <c r="P7" s="30"/>
    </row>
    <row r="8" spans="1:16" ht="28.5" customHeight="1" x14ac:dyDescent="0.25">
      <c r="A8" s="53" t="s">
        <v>70</v>
      </c>
      <c r="B8" s="36" t="s">
        <v>71</v>
      </c>
      <c r="C8" s="35">
        <v>1</v>
      </c>
      <c r="D8" s="29">
        <f t="shared" ref="D8:D35" si="1">SUM(E8:O8)</f>
        <v>0</v>
      </c>
      <c r="E8" s="30"/>
      <c r="F8" s="30"/>
      <c r="G8" s="30"/>
      <c r="H8" s="30"/>
      <c r="I8" s="30"/>
      <c r="J8" s="30"/>
      <c r="K8" s="30"/>
      <c r="L8" s="30"/>
      <c r="M8" s="30"/>
      <c r="N8" s="30"/>
      <c r="O8" s="30"/>
      <c r="P8" s="37"/>
    </row>
    <row r="9" spans="1:16" ht="28.5" customHeight="1" x14ac:dyDescent="0.25">
      <c r="A9" s="54"/>
      <c r="B9" s="36" t="s">
        <v>72</v>
      </c>
      <c r="C9" s="35">
        <v>1</v>
      </c>
      <c r="D9" s="29">
        <f t="shared" si="1"/>
        <v>0</v>
      </c>
      <c r="E9" s="30"/>
      <c r="F9" s="30"/>
      <c r="G9" s="30"/>
      <c r="H9" s="30"/>
      <c r="I9" s="30"/>
      <c r="J9" s="30"/>
      <c r="K9" s="30"/>
      <c r="L9" s="30"/>
      <c r="M9" s="30"/>
      <c r="N9" s="30"/>
      <c r="O9" s="30"/>
      <c r="P9" s="37"/>
    </row>
    <row r="10" spans="1:16" ht="28.5" customHeight="1" x14ac:dyDescent="0.25">
      <c r="A10" s="54"/>
      <c r="B10" s="36" t="s">
        <v>73</v>
      </c>
      <c r="C10" s="35">
        <v>76</v>
      </c>
      <c r="D10" s="29">
        <f t="shared" si="1"/>
        <v>27</v>
      </c>
      <c r="E10" s="30">
        <v>5</v>
      </c>
      <c r="F10" s="30">
        <v>6</v>
      </c>
      <c r="G10" s="30"/>
      <c r="H10" s="30">
        <v>6</v>
      </c>
      <c r="I10" s="30">
        <v>6</v>
      </c>
      <c r="J10" s="30">
        <v>4</v>
      </c>
      <c r="K10" s="30"/>
      <c r="L10" s="30"/>
      <c r="M10" s="30"/>
      <c r="N10" s="30"/>
      <c r="O10" s="30"/>
      <c r="P10" s="37"/>
    </row>
    <row r="11" spans="1:16" ht="28.5" customHeight="1" x14ac:dyDescent="0.25">
      <c r="A11" s="54"/>
      <c r="B11" s="36" t="s">
        <v>74</v>
      </c>
      <c r="C11" s="35">
        <v>37</v>
      </c>
      <c r="D11" s="29">
        <f t="shared" si="1"/>
        <v>13</v>
      </c>
      <c r="E11" s="30">
        <v>7</v>
      </c>
      <c r="F11" s="30">
        <v>6</v>
      </c>
      <c r="G11" s="30"/>
      <c r="H11" s="30"/>
      <c r="I11" s="30"/>
      <c r="J11" s="30"/>
      <c r="K11" s="30"/>
      <c r="L11" s="30"/>
      <c r="M11" s="30"/>
      <c r="N11" s="30"/>
      <c r="O11" s="30"/>
      <c r="P11" s="37"/>
    </row>
    <row r="12" spans="1:16" ht="28.5" customHeight="1" x14ac:dyDescent="0.25">
      <c r="A12" s="54"/>
      <c r="B12" s="36" t="s">
        <v>75</v>
      </c>
      <c r="C12" s="35">
        <v>0</v>
      </c>
      <c r="D12" s="29">
        <f t="shared" si="1"/>
        <v>0</v>
      </c>
      <c r="E12" s="30"/>
      <c r="F12" s="30"/>
      <c r="G12" s="30"/>
      <c r="H12" s="30"/>
      <c r="I12" s="30"/>
      <c r="J12" s="30"/>
      <c r="K12" s="30"/>
      <c r="L12" s="30"/>
      <c r="M12" s="30"/>
      <c r="N12" s="30"/>
      <c r="O12" s="30"/>
      <c r="P12" s="37"/>
    </row>
    <row r="13" spans="1:16" ht="28.5" customHeight="1" x14ac:dyDescent="0.25">
      <c r="A13" s="54"/>
      <c r="B13" s="36" t="s">
        <v>76</v>
      </c>
      <c r="C13" s="35">
        <v>2</v>
      </c>
      <c r="D13" s="29">
        <f t="shared" si="1"/>
        <v>1</v>
      </c>
      <c r="E13" s="30"/>
      <c r="F13" s="30"/>
      <c r="G13" s="30"/>
      <c r="H13" s="30"/>
      <c r="I13" s="30"/>
      <c r="J13" s="30">
        <v>1</v>
      </c>
      <c r="K13" s="30"/>
      <c r="L13" s="30"/>
      <c r="M13" s="30"/>
      <c r="N13" s="30"/>
      <c r="O13" s="30"/>
      <c r="P13" s="37"/>
    </row>
    <row r="14" spans="1:16" ht="28.5" customHeight="1" x14ac:dyDescent="0.25">
      <c r="A14" s="54"/>
      <c r="B14" s="36" t="s">
        <v>77</v>
      </c>
      <c r="C14" s="35">
        <v>0</v>
      </c>
      <c r="D14" s="29">
        <f t="shared" si="1"/>
        <v>0</v>
      </c>
      <c r="E14" s="30"/>
      <c r="F14" s="30"/>
      <c r="G14" s="30"/>
      <c r="H14" s="30"/>
      <c r="I14" s="30"/>
      <c r="J14" s="30"/>
      <c r="K14" s="30"/>
      <c r="L14" s="30"/>
      <c r="M14" s="30"/>
      <c r="N14" s="30"/>
      <c r="O14" s="30"/>
      <c r="P14" s="37"/>
    </row>
    <row r="15" spans="1:16" ht="28.5" customHeight="1" x14ac:dyDescent="0.25">
      <c r="A15" s="54"/>
      <c r="B15" s="36" t="s">
        <v>78</v>
      </c>
      <c r="C15" s="35">
        <v>19</v>
      </c>
      <c r="D15" s="29">
        <f t="shared" si="1"/>
        <v>19</v>
      </c>
      <c r="E15" s="30"/>
      <c r="F15" s="30"/>
      <c r="G15" s="30"/>
      <c r="H15" s="30">
        <v>6</v>
      </c>
      <c r="I15" s="30">
        <v>6</v>
      </c>
      <c r="J15" s="30">
        <v>7</v>
      </c>
      <c r="K15" s="30"/>
      <c r="L15" s="30"/>
      <c r="M15" s="30"/>
      <c r="N15" s="30"/>
      <c r="O15" s="30"/>
      <c r="P15" s="37"/>
    </row>
    <row r="16" spans="1:16" ht="28.5" customHeight="1" x14ac:dyDescent="0.25">
      <c r="A16" s="54"/>
      <c r="B16" s="36" t="s">
        <v>79</v>
      </c>
      <c r="C16" s="35">
        <v>0</v>
      </c>
      <c r="D16" s="29">
        <f t="shared" si="1"/>
        <v>0</v>
      </c>
      <c r="E16" s="30"/>
      <c r="F16" s="30"/>
      <c r="G16" s="30"/>
      <c r="H16" s="30"/>
      <c r="I16" s="30"/>
      <c r="J16" s="30"/>
      <c r="K16" s="30"/>
      <c r="L16" s="30"/>
      <c r="M16" s="30"/>
      <c r="N16" s="30"/>
      <c r="O16" s="30"/>
      <c r="P16" s="37"/>
    </row>
    <row r="17" spans="1:16" ht="28.5" customHeight="1" x14ac:dyDescent="0.25">
      <c r="A17" s="54"/>
      <c r="B17" s="36" t="s">
        <v>80</v>
      </c>
      <c r="C17" s="35">
        <v>1</v>
      </c>
      <c r="D17" s="29">
        <f t="shared" si="1"/>
        <v>0</v>
      </c>
      <c r="E17" s="30"/>
      <c r="F17" s="30"/>
      <c r="G17" s="30"/>
      <c r="H17" s="30"/>
      <c r="I17" s="30"/>
      <c r="J17" s="30"/>
      <c r="K17" s="30"/>
      <c r="L17" s="30"/>
      <c r="M17" s="30"/>
      <c r="N17" s="30"/>
      <c r="O17" s="30"/>
      <c r="P17" s="37"/>
    </row>
    <row r="18" spans="1:16" ht="28.5" customHeight="1" x14ac:dyDescent="0.25">
      <c r="A18" s="54"/>
      <c r="B18" s="36" t="s">
        <v>81</v>
      </c>
      <c r="C18" s="35">
        <v>1</v>
      </c>
      <c r="D18" s="29">
        <f t="shared" si="1"/>
        <v>0</v>
      </c>
      <c r="E18" s="30"/>
      <c r="F18" s="30"/>
      <c r="G18" s="30"/>
      <c r="H18" s="30"/>
      <c r="I18" s="30"/>
      <c r="J18" s="30"/>
      <c r="K18" s="30"/>
      <c r="L18" s="30"/>
      <c r="M18" s="30"/>
      <c r="N18" s="30"/>
      <c r="O18" s="30"/>
      <c r="P18" s="37"/>
    </row>
    <row r="19" spans="1:16" ht="28.5" customHeight="1" x14ac:dyDescent="0.25">
      <c r="A19" s="54"/>
      <c r="B19" s="36" t="s">
        <v>82</v>
      </c>
      <c r="C19" s="35">
        <v>0</v>
      </c>
      <c r="D19" s="29">
        <f t="shared" si="1"/>
        <v>0</v>
      </c>
      <c r="E19" s="30"/>
      <c r="F19" s="30"/>
      <c r="G19" s="30"/>
      <c r="H19" s="30"/>
      <c r="I19" s="30"/>
      <c r="J19" s="30"/>
      <c r="K19" s="30"/>
      <c r="L19" s="30"/>
      <c r="M19" s="30"/>
      <c r="N19" s="30"/>
      <c r="O19" s="30"/>
      <c r="P19" s="37"/>
    </row>
    <row r="20" spans="1:16" ht="28.5" customHeight="1" x14ac:dyDescent="0.25">
      <c r="A20" s="54"/>
      <c r="B20" s="36" t="s">
        <v>83</v>
      </c>
      <c r="C20" s="35">
        <v>0</v>
      </c>
      <c r="D20" s="29">
        <f t="shared" si="1"/>
        <v>0</v>
      </c>
      <c r="E20" s="30"/>
      <c r="F20" s="30"/>
      <c r="G20" s="30"/>
      <c r="H20" s="30"/>
      <c r="I20" s="30"/>
      <c r="J20" s="30"/>
      <c r="K20" s="30"/>
      <c r="L20" s="30"/>
      <c r="M20" s="30"/>
      <c r="N20" s="30"/>
      <c r="O20" s="30"/>
      <c r="P20" s="37"/>
    </row>
    <row r="21" spans="1:16" ht="28.5" customHeight="1" x14ac:dyDescent="0.25">
      <c r="A21" s="54"/>
      <c r="B21" s="36" t="s">
        <v>84</v>
      </c>
      <c r="C21" s="35">
        <v>1</v>
      </c>
      <c r="D21" s="29">
        <f t="shared" si="1"/>
        <v>1</v>
      </c>
      <c r="E21" s="30"/>
      <c r="F21" s="30"/>
      <c r="G21" s="30"/>
      <c r="H21" s="30">
        <v>1</v>
      </c>
      <c r="I21" s="30"/>
      <c r="J21" s="30"/>
      <c r="K21" s="30"/>
      <c r="L21" s="30"/>
      <c r="M21" s="30"/>
      <c r="N21" s="30"/>
      <c r="O21" s="30"/>
      <c r="P21" s="37"/>
    </row>
    <row r="22" spans="1:16" ht="28.5" customHeight="1" x14ac:dyDescent="0.25">
      <c r="A22" s="54"/>
      <c r="B22" s="36" t="s">
        <v>85</v>
      </c>
      <c r="C22" s="35">
        <v>110</v>
      </c>
      <c r="D22" s="29">
        <f t="shared" si="1"/>
        <v>24</v>
      </c>
      <c r="E22" s="30">
        <v>6</v>
      </c>
      <c r="F22" s="30">
        <v>6</v>
      </c>
      <c r="G22" s="30"/>
      <c r="H22" s="30">
        <v>6</v>
      </c>
      <c r="I22" s="30">
        <v>6</v>
      </c>
      <c r="J22" s="30"/>
      <c r="K22" s="30"/>
      <c r="L22" s="30"/>
      <c r="M22" s="30"/>
      <c r="N22" s="30"/>
      <c r="O22" s="30"/>
      <c r="P22" s="37"/>
    </row>
    <row r="23" spans="1:16" ht="28.5" customHeight="1" x14ac:dyDescent="0.25">
      <c r="A23" s="54"/>
      <c r="B23" s="36" t="s">
        <v>86</v>
      </c>
      <c r="C23" s="35">
        <v>1</v>
      </c>
      <c r="D23" s="29">
        <f t="shared" si="1"/>
        <v>1</v>
      </c>
      <c r="E23" s="30"/>
      <c r="F23" s="30"/>
      <c r="G23" s="30"/>
      <c r="H23" s="30">
        <v>1</v>
      </c>
      <c r="I23" s="30"/>
      <c r="J23" s="30"/>
      <c r="K23" s="30"/>
      <c r="L23" s="30"/>
      <c r="M23" s="30"/>
      <c r="N23" s="30"/>
      <c r="O23" s="30"/>
      <c r="P23" s="37"/>
    </row>
    <row r="24" spans="1:16" ht="24" customHeight="1" x14ac:dyDescent="0.25">
      <c r="A24" s="54"/>
      <c r="B24" s="38" t="s">
        <v>87</v>
      </c>
      <c r="C24" s="35">
        <v>4</v>
      </c>
      <c r="D24" s="29">
        <f t="shared" si="1"/>
        <v>4</v>
      </c>
      <c r="E24" s="30"/>
      <c r="F24" s="30"/>
      <c r="G24" s="30">
        <v>4</v>
      </c>
      <c r="H24" s="30"/>
      <c r="I24" s="30"/>
      <c r="J24" s="30"/>
      <c r="K24" s="30"/>
      <c r="L24" s="30"/>
      <c r="M24" s="30"/>
      <c r="N24" s="30"/>
      <c r="O24" s="30"/>
      <c r="P24" s="37"/>
    </row>
    <row r="25" spans="1:16" ht="24" customHeight="1" x14ac:dyDescent="0.25">
      <c r="A25" s="54"/>
      <c r="B25" s="38" t="s">
        <v>88</v>
      </c>
      <c r="C25" s="35">
        <v>4</v>
      </c>
      <c r="D25" s="29">
        <f t="shared" si="1"/>
        <v>4</v>
      </c>
      <c r="E25" s="30"/>
      <c r="F25" s="30"/>
      <c r="G25" s="30"/>
      <c r="H25" s="30">
        <v>4</v>
      </c>
      <c r="I25" s="30"/>
      <c r="J25" s="30"/>
      <c r="K25" s="30"/>
      <c r="L25" s="30"/>
      <c r="M25" s="30"/>
      <c r="N25" s="30"/>
      <c r="O25" s="30"/>
      <c r="P25" s="37"/>
    </row>
    <row r="26" spans="1:16" ht="24" customHeight="1" x14ac:dyDescent="0.25">
      <c r="A26" s="54"/>
      <c r="B26" s="38" t="s">
        <v>89</v>
      </c>
      <c r="C26" s="35">
        <v>4</v>
      </c>
      <c r="D26" s="29">
        <f t="shared" si="1"/>
        <v>3</v>
      </c>
      <c r="E26" s="30"/>
      <c r="F26" s="30"/>
      <c r="G26" s="30"/>
      <c r="H26" s="30"/>
      <c r="I26" s="30">
        <v>1</v>
      </c>
      <c r="J26" s="30">
        <v>2</v>
      </c>
      <c r="K26" s="30"/>
      <c r="L26" s="30"/>
      <c r="M26" s="30"/>
      <c r="N26" s="30"/>
      <c r="O26" s="30"/>
      <c r="P26" s="37"/>
    </row>
    <row r="27" spans="1:16" ht="24" customHeight="1" x14ac:dyDescent="0.25">
      <c r="A27" s="54"/>
      <c r="B27" s="38" t="s">
        <v>90</v>
      </c>
      <c r="C27" s="35">
        <v>4</v>
      </c>
      <c r="D27" s="29">
        <f t="shared" si="1"/>
        <v>0</v>
      </c>
      <c r="E27" s="30"/>
      <c r="F27" s="30"/>
      <c r="G27" s="30"/>
      <c r="H27" s="30"/>
      <c r="I27" s="30"/>
      <c r="J27" s="30"/>
      <c r="K27" s="30"/>
      <c r="L27" s="30"/>
      <c r="M27" s="30"/>
      <c r="N27" s="30"/>
      <c r="O27" s="30"/>
      <c r="P27" s="37"/>
    </row>
    <row r="28" spans="1:16" ht="24" customHeight="1" x14ac:dyDescent="0.25">
      <c r="A28" s="54"/>
      <c r="B28" s="38" t="s">
        <v>91</v>
      </c>
      <c r="C28" s="35">
        <v>4</v>
      </c>
      <c r="D28" s="29">
        <f t="shared" si="1"/>
        <v>0</v>
      </c>
      <c r="E28" s="30"/>
      <c r="F28" s="30"/>
      <c r="G28" s="30"/>
      <c r="H28" s="30"/>
      <c r="I28" s="30"/>
      <c r="J28" s="30"/>
      <c r="K28" s="30"/>
      <c r="L28" s="30"/>
      <c r="M28" s="30"/>
      <c r="N28" s="30"/>
      <c r="O28" s="30"/>
      <c r="P28" s="37"/>
    </row>
    <row r="29" spans="1:16" ht="24" customHeight="1" x14ac:dyDescent="0.25">
      <c r="A29" s="54"/>
      <c r="B29" s="38" t="s">
        <v>92</v>
      </c>
      <c r="C29" s="35">
        <v>1</v>
      </c>
      <c r="D29" s="29">
        <f t="shared" si="1"/>
        <v>0</v>
      </c>
      <c r="E29" s="30"/>
      <c r="F29" s="30"/>
      <c r="G29" s="30"/>
      <c r="H29" s="30"/>
      <c r="I29" s="30"/>
      <c r="J29" s="30"/>
      <c r="K29" s="30"/>
      <c r="L29" s="30"/>
      <c r="M29" s="30"/>
      <c r="N29" s="30"/>
      <c r="O29" s="30"/>
      <c r="P29" s="37"/>
    </row>
    <row r="30" spans="1:16" ht="24" customHeight="1" x14ac:dyDescent="0.25">
      <c r="A30" s="54"/>
      <c r="B30" s="38" t="s">
        <v>93</v>
      </c>
      <c r="C30" s="35">
        <v>1</v>
      </c>
      <c r="D30" s="29">
        <f t="shared" si="1"/>
        <v>0</v>
      </c>
      <c r="E30" s="30"/>
      <c r="F30" s="30"/>
      <c r="G30" s="30"/>
      <c r="H30" s="30"/>
      <c r="I30" s="30"/>
      <c r="J30" s="30"/>
      <c r="K30" s="30"/>
      <c r="L30" s="30"/>
      <c r="M30" s="30"/>
      <c r="N30" s="30"/>
      <c r="O30" s="30"/>
      <c r="P30" s="37"/>
    </row>
    <row r="31" spans="1:16" ht="24" customHeight="1" x14ac:dyDescent="0.25">
      <c r="A31" s="54"/>
      <c r="B31" s="38" t="s">
        <v>94</v>
      </c>
      <c r="C31" s="35">
        <v>1</v>
      </c>
      <c r="D31" s="29">
        <f t="shared" si="1"/>
        <v>0</v>
      </c>
      <c r="E31" s="30"/>
      <c r="F31" s="30"/>
      <c r="G31" s="30"/>
      <c r="H31" s="30"/>
      <c r="I31" s="30"/>
      <c r="J31" s="30"/>
      <c r="K31" s="30"/>
      <c r="L31" s="30"/>
      <c r="M31" s="30"/>
      <c r="N31" s="30"/>
      <c r="O31" s="30"/>
      <c r="P31" s="37"/>
    </row>
    <row r="32" spans="1:16" ht="24" customHeight="1" x14ac:dyDescent="0.25">
      <c r="A32" s="54"/>
      <c r="B32" s="38" t="s">
        <v>95</v>
      </c>
      <c r="C32" s="35">
        <v>1</v>
      </c>
      <c r="D32" s="29">
        <f t="shared" si="1"/>
        <v>0</v>
      </c>
      <c r="E32" s="30"/>
      <c r="F32" s="30"/>
      <c r="G32" s="30"/>
      <c r="H32" s="30"/>
      <c r="I32" s="30"/>
      <c r="J32" s="30"/>
      <c r="K32" s="30"/>
      <c r="L32" s="30"/>
      <c r="M32" s="30"/>
      <c r="N32" s="30"/>
      <c r="O32" s="30"/>
      <c r="P32" s="37"/>
    </row>
    <row r="33" spans="1:16" ht="24" customHeight="1" x14ac:dyDescent="0.25">
      <c r="A33" s="54"/>
      <c r="B33" s="38" t="s">
        <v>96</v>
      </c>
      <c r="C33" s="35">
        <v>1</v>
      </c>
      <c r="D33" s="29">
        <f t="shared" si="1"/>
        <v>0</v>
      </c>
      <c r="E33" s="30"/>
      <c r="F33" s="30"/>
      <c r="G33" s="30"/>
      <c r="H33" s="30"/>
      <c r="I33" s="30"/>
      <c r="J33" s="30"/>
      <c r="K33" s="30"/>
      <c r="L33" s="30"/>
      <c r="M33" s="30"/>
      <c r="N33" s="30"/>
      <c r="O33" s="30"/>
      <c r="P33" s="37"/>
    </row>
    <row r="34" spans="1:16" ht="24" customHeight="1" x14ac:dyDescent="0.25">
      <c r="A34" s="54"/>
      <c r="B34" s="38" t="s">
        <v>97</v>
      </c>
      <c r="C34" s="35">
        <v>1</v>
      </c>
      <c r="D34" s="29">
        <f t="shared" si="1"/>
        <v>0</v>
      </c>
      <c r="E34" s="30"/>
      <c r="F34" s="30"/>
      <c r="G34" s="30"/>
      <c r="H34" s="30"/>
      <c r="I34" s="30"/>
      <c r="J34" s="30"/>
      <c r="K34" s="30"/>
      <c r="L34" s="30"/>
      <c r="M34" s="30"/>
      <c r="N34" s="30"/>
      <c r="O34" s="30"/>
      <c r="P34" s="37"/>
    </row>
    <row r="35" spans="1:16" ht="24" customHeight="1" thickBot="1" x14ac:dyDescent="0.3">
      <c r="A35" s="55"/>
      <c r="B35" s="39" t="s">
        <v>98</v>
      </c>
      <c r="C35" s="35">
        <v>1</v>
      </c>
      <c r="D35" s="29">
        <f t="shared" si="1"/>
        <v>0</v>
      </c>
      <c r="E35" s="30"/>
      <c r="F35" s="30"/>
      <c r="G35" s="30"/>
      <c r="H35" s="30"/>
      <c r="I35" s="30"/>
      <c r="J35" s="30"/>
      <c r="K35" s="30"/>
      <c r="L35" s="30"/>
      <c r="M35" s="30"/>
      <c r="N35" s="30"/>
      <c r="O35" s="30"/>
      <c r="P35" s="37"/>
    </row>
    <row r="36" spans="1:16" x14ac:dyDescent="0.25">
      <c r="C36" s="40">
        <f>SUM(C3:C35)</f>
        <v>286</v>
      </c>
      <c r="D36" s="41">
        <f>SUM(D3:D35)</f>
        <v>98</v>
      </c>
    </row>
    <row r="37" spans="1:16" x14ac:dyDescent="0.25">
      <c r="C37" s="8"/>
      <c r="D37" s="42">
        <f>D36/C36</f>
        <v>0.34265734265734266</v>
      </c>
    </row>
  </sheetData>
  <sheetProtection algorithmName="SHA-512" hashValue="+/+DmmdQE227iofv7EunXirT2/TAMYAPG09BblgLigPjgxzyWKSIFT+0UGzbp510mMxkGCcV14nHj7bOw3mAwQ==" saltValue="14mJ3m0o0SOKOe7iivo/EQ==" spinCount="100000" sheet="1" objects="1" scenarios="1" autoFilter="0"/>
  <mergeCells count="2">
    <mergeCell ref="A1:A2"/>
    <mergeCell ref="A8:A35"/>
  </mergeCells>
  <conditionalFormatting sqref="C3:D3 D4:D7">
    <cfRule type="dataBar" priority="48">
      <dataBar>
        <cfvo type="min"/>
        <cfvo type="max"/>
        <color rgb="FF008AEF"/>
      </dataBar>
      <extLst>
        <ext xmlns:x14="http://schemas.microsoft.com/office/spreadsheetml/2009/9/main" uri="{B025F937-C7B1-47D3-B67F-A62EFF666E3E}">
          <x14:id>{C36E221E-EEA7-4810-9CE7-43C87718CE29}</x14:id>
        </ext>
      </extLst>
    </cfRule>
  </conditionalFormatting>
  <conditionalFormatting sqref="C4:D4">
    <cfRule type="dataBar" priority="4">
      <dataBar>
        <cfvo type="min"/>
        <cfvo type="max"/>
        <color rgb="FF008AEF"/>
      </dataBar>
      <extLst>
        <ext xmlns:x14="http://schemas.microsoft.com/office/spreadsheetml/2009/9/main" uri="{B025F937-C7B1-47D3-B67F-A62EFF666E3E}">
          <x14:id>{C52484EE-24F1-4F39-B6AD-BC665C1BC5BA}</x14:id>
        </ext>
      </extLst>
    </cfRule>
  </conditionalFormatting>
  <conditionalFormatting sqref="C5:D5">
    <cfRule type="dataBar" priority="5">
      <dataBar>
        <cfvo type="min"/>
        <cfvo type="max"/>
        <color rgb="FF008AEF"/>
      </dataBar>
      <extLst>
        <ext xmlns:x14="http://schemas.microsoft.com/office/spreadsheetml/2009/9/main" uri="{B025F937-C7B1-47D3-B67F-A62EFF666E3E}">
          <x14:id>{E53A5F19-E2B9-41DA-B1B5-8D160AEF23C1}</x14:id>
        </ext>
      </extLst>
    </cfRule>
  </conditionalFormatting>
  <conditionalFormatting sqref="C6:D6">
    <cfRule type="dataBar" priority="6">
      <dataBar>
        <cfvo type="min"/>
        <cfvo type="max"/>
        <color rgb="FF008AEF"/>
      </dataBar>
      <extLst>
        <ext xmlns:x14="http://schemas.microsoft.com/office/spreadsheetml/2009/9/main" uri="{B025F937-C7B1-47D3-B67F-A62EFF666E3E}">
          <x14:id>{AE7BD00C-BE19-404E-8C81-CB9CE2470F6F}</x14:id>
        </ext>
      </extLst>
    </cfRule>
  </conditionalFormatting>
  <conditionalFormatting sqref="C7:D7">
    <cfRule type="dataBar" priority="7">
      <dataBar>
        <cfvo type="min"/>
        <cfvo type="max"/>
        <color rgb="FF008AEF"/>
      </dataBar>
      <extLst>
        <ext xmlns:x14="http://schemas.microsoft.com/office/spreadsheetml/2009/9/main" uri="{B025F937-C7B1-47D3-B67F-A62EFF666E3E}">
          <x14:id>{E5655008-A7CD-4AC0-9D79-F368B0CF53DA}</x14:id>
        </ext>
      </extLst>
    </cfRule>
  </conditionalFormatting>
  <conditionalFormatting sqref="C8:D8">
    <cfRule type="dataBar" priority="12">
      <dataBar>
        <cfvo type="min"/>
        <cfvo type="max"/>
        <color rgb="FF008AEF"/>
      </dataBar>
      <extLst>
        <ext xmlns:x14="http://schemas.microsoft.com/office/spreadsheetml/2009/9/main" uri="{B025F937-C7B1-47D3-B67F-A62EFF666E3E}">
          <x14:id>{54DC78A7-9E43-4C79-AC08-606561E8EEE3}</x14:id>
        </ext>
      </extLst>
    </cfRule>
  </conditionalFormatting>
  <conditionalFormatting sqref="C9:D9">
    <cfRule type="dataBar" priority="39">
      <dataBar>
        <cfvo type="min"/>
        <cfvo type="max"/>
        <color rgb="FF008AEF"/>
      </dataBar>
      <extLst>
        <ext xmlns:x14="http://schemas.microsoft.com/office/spreadsheetml/2009/9/main" uri="{B025F937-C7B1-47D3-B67F-A62EFF666E3E}">
          <x14:id>{369F69D6-328E-4456-9CEA-9E6B3329796E}</x14:id>
        </ext>
      </extLst>
    </cfRule>
  </conditionalFormatting>
  <conditionalFormatting sqref="C10:D10">
    <cfRule type="dataBar" priority="38">
      <dataBar>
        <cfvo type="min"/>
        <cfvo type="max"/>
        <color rgb="FF008AEF"/>
      </dataBar>
      <extLst>
        <ext xmlns:x14="http://schemas.microsoft.com/office/spreadsheetml/2009/9/main" uri="{B025F937-C7B1-47D3-B67F-A62EFF666E3E}">
          <x14:id>{1FB89C37-1D5A-4BB4-84C7-3AF95D64671F}</x14:id>
        </ext>
      </extLst>
    </cfRule>
  </conditionalFormatting>
  <conditionalFormatting sqref="C11:D11">
    <cfRule type="dataBar" priority="37">
      <dataBar>
        <cfvo type="min"/>
        <cfvo type="max"/>
        <color rgb="FF008AEF"/>
      </dataBar>
      <extLst>
        <ext xmlns:x14="http://schemas.microsoft.com/office/spreadsheetml/2009/9/main" uri="{B025F937-C7B1-47D3-B67F-A62EFF666E3E}">
          <x14:id>{AD1DC45C-063A-4904-9251-88F4355F3163}</x14:id>
        </ext>
      </extLst>
    </cfRule>
  </conditionalFormatting>
  <conditionalFormatting sqref="C12:D12">
    <cfRule type="dataBar" priority="36">
      <dataBar>
        <cfvo type="min"/>
        <cfvo type="max"/>
        <color rgb="FF008AEF"/>
      </dataBar>
      <extLst>
        <ext xmlns:x14="http://schemas.microsoft.com/office/spreadsheetml/2009/9/main" uri="{B025F937-C7B1-47D3-B67F-A62EFF666E3E}">
          <x14:id>{36A2B95E-C099-4D62-B69A-C3BD32026B84}</x14:id>
        </ext>
      </extLst>
    </cfRule>
  </conditionalFormatting>
  <conditionalFormatting sqref="C13:D13">
    <cfRule type="dataBar" priority="35">
      <dataBar>
        <cfvo type="min"/>
        <cfvo type="max"/>
        <color rgb="FF008AEF"/>
      </dataBar>
      <extLst>
        <ext xmlns:x14="http://schemas.microsoft.com/office/spreadsheetml/2009/9/main" uri="{B025F937-C7B1-47D3-B67F-A62EFF666E3E}">
          <x14:id>{38C3B204-432A-4464-BE54-C61B4F304DCF}</x14:id>
        </ext>
      </extLst>
    </cfRule>
  </conditionalFormatting>
  <conditionalFormatting sqref="C14:D14">
    <cfRule type="dataBar" priority="34">
      <dataBar>
        <cfvo type="min"/>
        <cfvo type="max"/>
        <color rgb="FF008AEF"/>
      </dataBar>
      <extLst>
        <ext xmlns:x14="http://schemas.microsoft.com/office/spreadsheetml/2009/9/main" uri="{B025F937-C7B1-47D3-B67F-A62EFF666E3E}">
          <x14:id>{59AB4D1D-524D-44F3-ABCD-5EB4414AE11A}</x14:id>
        </ext>
      </extLst>
    </cfRule>
  </conditionalFormatting>
  <conditionalFormatting sqref="C15:D15">
    <cfRule type="dataBar" priority="33">
      <dataBar>
        <cfvo type="min"/>
        <cfvo type="max"/>
        <color rgb="FF008AEF"/>
      </dataBar>
      <extLst>
        <ext xmlns:x14="http://schemas.microsoft.com/office/spreadsheetml/2009/9/main" uri="{B025F937-C7B1-47D3-B67F-A62EFF666E3E}">
          <x14:id>{440B1725-AA65-4A20-A2F1-3DB047EEC8C4}</x14:id>
        </ext>
      </extLst>
    </cfRule>
  </conditionalFormatting>
  <conditionalFormatting sqref="C16:D16">
    <cfRule type="dataBar" priority="32">
      <dataBar>
        <cfvo type="min"/>
        <cfvo type="max"/>
        <color rgb="FF008AEF"/>
      </dataBar>
      <extLst>
        <ext xmlns:x14="http://schemas.microsoft.com/office/spreadsheetml/2009/9/main" uri="{B025F937-C7B1-47D3-B67F-A62EFF666E3E}">
          <x14:id>{35BBE95A-7A60-4382-9879-9C94163B257E}</x14:id>
        </ext>
      </extLst>
    </cfRule>
  </conditionalFormatting>
  <conditionalFormatting sqref="C17:D17">
    <cfRule type="dataBar" priority="31">
      <dataBar>
        <cfvo type="min"/>
        <cfvo type="max"/>
        <color rgb="FF008AEF"/>
      </dataBar>
      <extLst>
        <ext xmlns:x14="http://schemas.microsoft.com/office/spreadsheetml/2009/9/main" uri="{B025F937-C7B1-47D3-B67F-A62EFF666E3E}">
          <x14:id>{947C94C2-EBA6-4D3B-8A19-4549D396737E}</x14:id>
        </ext>
      </extLst>
    </cfRule>
  </conditionalFormatting>
  <conditionalFormatting sqref="C18:D18">
    <cfRule type="dataBar" priority="30">
      <dataBar>
        <cfvo type="min"/>
        <cfvo type="max"/>
        <color rgb="FF008AEF"/>
      </dataBar>
      <extLst>
        <ext xmlns:x14="http://schemas.microsoft.com/office/spreadsheetml/2009/9/main" uri="{B025F937-C7B1-47D3-B67F-A62EFF666E3E}">
          <x14:id>{E0E8DE9D-522B-40AF-A262-14C0B7FC3714}</x14:id>
        </ext>
      </extLst>
    </cfRule>
  </conditionalFormatting>
  <conditionalFormatting sqref="C19:D19">
    <cfRule type="dataBar" priority="29">
      <dataBar>
        <cfvo type="min"/>
        <cfvo type="max"/>
        <color rgb="FF008AEF"/>
      </dataBar>
      <extLst>
        <ext xmlns:x14="http://schemas.microsoft.com/office/spreadsheetml/2009/9/main" uri="{B025F937-C7B1-47D3-B67F-A62EFF666E3E}">
          <x14:id>{03B1DB45-0C2E-4142-BAB0-098FDB320256}</x14:id>
        </ext>
      </extLst>
    </cfRule>
  </conditionalFormatting>
  <conditionalFormatting sqref="C20:D20">
    <cfRule type="dataBar" priority="28">
      <dataBar>
        <cfvo type="min"/>
        <cfvo type="max"/>
        <color rgb="FF008AEF"/>
      </dataBar>
      <extLst>
        <ext xmlns:x14="http://schemas.microsoft.com/office/spreadsheetml/2009/9/main" uri="{B025F937-C7B1-47D3-B67F-A62EFF666E3E}">
          <x14:id>{C0F06726-2F72-4AD3-9577-9A212325510D}</x14:id>
        </ext>
      </extLst>
    </cfRule>
  </conditionalFormatting>
  <conditionalFormatting sqref="C21:D21">
    <cfRule type="dataBar" priority="27">
      <dataBar>
        <cfvo type="min"/>
        <cfvo type="max"/>
        <color rgb="FF008AEF"/>
      </dataBar>
      <extLst>
        <ext xmlns:x14="http://schemas.microsoft.com/office/spreadsheetml/2009/9/main" uri="{B025F937-C7B1-47D3-B67F-A62EFF666E3E}">
          <x14:id>{7FA393E9-27D6-4167-95B2-4461639D1294}</x14:id>
        </ext>
      </extLst>
    </cfRule>
  </conditionalFormatting>
  <conditionalFormatting sqref="C22:D22">
    <cfRule type="dataBar" priority="26">
      <dataBar>
        <cfvo type="min"/>
        <cfvo type="max"/>
        <color rgb="FF008AEF"/>
      </dataBar>
      <extLst>
        <ext xmlns:x14="http://schemas.microsoft.com/office/spreadsheetml/2009/9/main" uri="{B025F937-C7B1-47D3-B67F-A62EFF666E3E}">
          <x14:id>{3E9B8046-6CDB-4CD6-8FA5-F847CBB8E690}</x14:id>
        </ext>
      </extLst>
    </cfRule>
  </conditionalFormatting>
  <conditionalFormatting sqref="C23:D23">
    <cfRule type="dataBar" priority="25">
      <dataBar>
        <cfvo type="min"/>
        <cfvo type="max"/>
        <color rgb="FF008AEF"/>
      </dataBar>
      <extLst>
        <ext xmlns:x14="http://schemas.microsoft.com/office/spreadsheetml/2009/9/main" uri="{B025F937-C7B1-47D3-B67F-A62EFF666E3E}">
          <x14:id>{1584B541-3E5D-4274-ACE4-AD8EDDA808BD}</x14:id>
        </ext>
      </extLst>
    </cfRule>
  </conditionalFormatting>
  <conditionalFormatting sqref="C24:D24">
    <cfRule type="dataBar" priority="24">
      <dataBar>
        <cfvo type="min"/>
        <cfvo type="max"/>
        <color rgb="FF008AEF"/>
      </dataBar>
      <extLst>
        <ext xmlns:x14="http://schemas.microsoft.com/office/spreadsheetml/2009/9/main" uri="{B025F937-C7B1-47D3-B67F-A62EFF666E3E}">
          <x14:id>{2E111B6E-B967-417D-B162-5195270E95B9}</x14:id>
        </ext>
      </extLst>
    </cfRule>
  </conditionalFormatting>
  <conditionalFormatting sqref="C25:D25">
    <cfRule type="dataBar" priority="23">
      <dataBar>
        <cfvo type="min"/>
        <cfvo type="max"/>
        <color rgb="FF008AEF"/>
      </dataBar>
      <extLst>
        <ext xmlns:x14="http://schemas.microsoft.com/office/spreadsheetml/2009/9/main" uri="{B025F937-C7B1-47D3-B67F-A62EFF666E3E}">
          <x14:id>{B0D17955-8001-472E-B3DF-B9099CB0931F}</x14:id>
        </ext>
      </extLst>
    </cfRule>
  </conditionalFormatting>
  <conditionalFormatting sqref="C26:D26">
    <cfRule type="dataBar" priority="22">
      <dataBar>
        <cfvo type="min"/>
        <cfvo type="max"/>
        <color rgb="FF008AEF"/>
      </dataBar>
      <extLst>
        <ext xmlns:x14="http://schemas.microsoft.com/office/spreadsheetml/2009/9/main" uri="{B025F937-C7B1-47D3-B67F-A62EFF666E3E}">
          <x14:id>{7746FF5E-43A9-4981-B668-7A5A703EC03A}</x14:id>
        </ext>
      </extLst>
    </cfRule>
  </conditionalFormatting>
  <conditionalFormatting sqref="C27:D27">
    <cfRule type="dataBar" priority="21">
      <dataBar>
        <cfvo type="min"/>
        <cfvo type="max"/>
        <color rgb="FF008AEF"/>
      </dataBar>
      <extLst>
        <ext xmlns:x14="http://schemas.microsoft.com/office/spreadsheetml/2009/9/main" uri="{B025F937-C7B1-47D3-B67F-A62EFF666E3E}">
          <x14:id>{90C182CC-A1D6-4EB5-836F-F6D1BCFEBFEC}</x14:id>
        </ext>
      </extLst>
    </cfRule>
  </conditionalFormatting>
  <conditionalFormatting sqref="C28:D28">
    <cfRule type="dataBar" priority="20">
      <dataBar>
        <cfvo type="min"/>
        <cfvo type="max"/>
        <color rgb="FF008AEF"/>
      </dataBar>
      <extLst>
        <ext xmlns:x14="http://schemas.microsoft.com/office/spreadsheetml/2009/9/main" uri="{B025F937-C7B1-47D3-B67F-A62EFF666E3E}">
          <x14:id>{CCC89A69-D44B-4B35-9A71-F1C27EAB449D}</x14:id>
        </ext>
      </extLst>
    </cfRule>
  </conditionalFormatting>
  <conditionalFormatting sqref="C29:D29">
    <cfRule type="dataBar" priority="19">
      <dataBar>
        <cfvo type="min"/>
        <cfvo type="max"/>
        <color rgb="FF008AEF"/>
      </dataBar>
      <extLst>
        <ext xmlns:x14="http://schemas.microsoft.com/office/spreadsheetml/2009/9/main" uri="{B025F937-C7B1-47D3-B67F-A62EFF666E3E}">
          <x14:id>{E494BACB-2B7A-422E-A431-78F06D201282}</x14:id>
        </ext>
      </extLst>
    </cfRule>
  </conditionalFormatting>
  <conditionalFormatting sqref="C30:D30">
    <cfRule type="dataBar" priority="18">
      <dataBar>
        <cfvo type="min"/>
        <cfvo type="max"/>
        <color rgb="FF008AEF"/>
      </dataBar>
      <extLst>
        <ext xmlns:x14="http://schemas.microsoft.com/office/spreadsheetml/2009/9/main" uri="{B025F937-C7B1-47D3-B67F-A62EFF666E3E}">
          <x14:id>{D32BD9A9-3E6A-4A84-9AC9-9E04636E893C}</x14:id>
        </ext>
      </extLst>
    </cfRule>
  </conditionalFormatting>
  <conditionalFormatting sqref="C31:D31">
    <cfRule type="dataBar" priority="17">
      <dataBar>
        <cfvo type="min"/>
        <cfvo type="max"/>
        <color rgb="FF008AEF"/>
      </dataBar>
      <extLst>
        <ext xmlns:x14="http://schemas.microsoft.com/office/spreadsheetml/2009/9/main" uri="{B025F937-C7B1-47D3-B67F-A62EFF666E3E}">
          <x14:id>{7461A969-A42A-4DA8-A86D-B98019CCDD9D}</x14:id>
        </ext>
      </extLst>
    </cfRule>
  </conditionalFormatting>
  <conditionalFormatting sqref="C32:D32">
    <cfRule type="dataBar" priority="16">
      <dataBar>
        <cfvo type="min"/>
        <cfvo type="max"/>
        <color rgb="FF008AEF"/>
      </dataBar>
      <extLst>
        <ext xmlns:x14="http://schemas.microsoft.com/office/spreadsheetml/2009/9/main" uri="{B025F937-C7B1-47D3-B67F-A62EFF666E3E}">
          <x14:id>{E6FEE40C-BDFD-49B8-90B3-03611A668E4D}</x14:id>
        </ext>
      </extLst>
    </cfRule>
  </conditionalFormatting>
  <conditionalFormatting sqref="C33:D33">
    <cfRule type="dataBar" priority="15">
      <dataBar>
        <cfvo type="min"/>
        <cfvo type="max"/>
        <color rgb="FF008AEF"/>
      </dataBar>
      <extLst>
        <ext xmlns:x14="http://schemas.microsoft.com/office/spreadsheetml/2009/9/main" uri="{B025F937-C7B1-47D3-B67F-A62EFF666E3E}">
          <x14:id>{08B52D05-7B19-4E8A-8555-71E0B79D4E2E}</x14:id>
        </ext>
      </extLst>
    </cfRule>
  </conditionalFormatting>
  <conditionalFormatting sqref="C34:D34">
    <cfRule type="dataBar" priority="14">
      <dataBar>
        <cfvo type="min"/>
        <cfvo type="max"/>
        <color rgb="FF008AEF"/>
      </dataBar>
      <extLst>
        <ext xmlns:x14="http://schemas.microsoft.com/office/spreadsheetml/2009/9/main" uri="{B025F937-C7B1-47D3-B67F-A62EFF666E3E}">
          <x14:id>{55B283F3-61FD-4200-AB01-6358D43B5722}</x14:id>
        </ext>
      </extLst>
    </cfRule>
  </conditionalFormatting>
  <conditionalFormatting sqref="C35:D35">
    <cfRule type="dataBar" priority="13">
      <dataBar>
        <cfvo type="min"/>
        <cfvo type="max"/>
        <color rgb="FF008AEF"/>
      </dataBar>
      <extLst>
        <ext xmlns:x14="http://schemas.microsoft.com/office/spreadsheetml/2009/9/main" uri="{B025F937-C7B1-47D3-B67F-A62EFF666E3E}">
          <x14:id>{6CE72D80-0B10-4E1F-A430-4308F151F0A7}</x14:id>
        </ext>
      </extLst>
    </cfRule>
  </conditionalFormatting>
  <conditionalFormatting sqref="E3:F31 E32:O35">
    <cfRule type="cellIs" dxfId="20" priority="1" operator="greaterThan">
      <formula>0</formula>
    </cfRule>
  </conditionalFormatting>
  <conditionalFormatting sqref="G8:O31">
    <cfRule type="cellIs" dxfId="19" priority="11" operator="greaterThan">
      <formula>0</formula>
    </cfRule>
  </conditionalFormatting>
  <conditionalFormatting sqref="G3:P7">
    <cfRule type="cellIs" dxfId="18" priority="2" operator="greaterThan">
      <formula>0</formula>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C36E221E-EEA7-4810-9CE7-43C87718CE29}">
            <x14:dataBar minLength="0" maxLength="100" gradient="0">
              <x14:cfvo type="autoMin"/>
              <x14:cfvo type="autoMax"/>
              <x14:negativeFillColor rgb="FFFF0000"/>
              <x14:axisColor rgb="FF000000"/>
            </x14:dataBar>
          </x14:cfRule>
          <xm:sqref>C3:D3 D4:D7</xm:sqref>
        </x14:conditionalFormatting>
        <x14:conditionalFormatting xmlns:xm="http://schemas.microsoft.com/office/excel/2006/main">
          <x14:cfRule type="dataBar" id="{C52484EE-24F1-4F39-B6AD-BC665C1BC5BA}">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E53A5F19-E2B9-41DA-B1B5-8D160AEF23C1}">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AE7BD00C-BE19-404E-8C81-CB9CE2470F6F}">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E5655008-A7CD-4AC0-9D79-F368B0CF53DA}">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54DC78A7-9E43-4C79-AC08-606561E8EEE3}">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369F69D6-328E-4456-9CEA-9E6B3329796E}">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1FB89C37-1D5A-4BB4-84C7-3AF95D64671F}">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AD1DC45C-063A-4904-9251-88F4355F3163}">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36A2B95E-C099-4D62-B69A-C3BD32026B84}">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38C3B204-432A-4464-BE54-C61B4F304DCF}">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59AB4D1D-524D-44F3-ABCD-5EB4414AE11A}">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440B1725-AA65-4A20-A2F1-3DB047EEC8C4}">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35BBE95A-7A60-4382-9879-9C94163B257E}">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947C94C2-EBA6-4D3B-8A19-4549D396737E}">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E0E8DE9D-522B-40AF-A262-14C0B7FC3714}">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03B1DB45-0C2E-4142-BAB0-098FDB320256}">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C0F06726-2F72-4AD3-9577-9A212325510D}">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7FA393E9-27D6-4167-95B2-4461639D1294}">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3E9B8046-6CDB-4CD6-8FA5-F847CBB8E690}">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1584B541-3E5D-4274-ACE4-AD8EDDA808BD}">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2E111B6E-B967-417D-B162-5195270E95B9}">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B0D17955-8001-472E-B3DF-B9099CB0931F}">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7746FF5E-43A9-4981-B668-7A5A703EC03A}">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90C182CC-A1D6-4EB5-836F-F6D1BCFEBFEC}">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CCC89A69-D44B-4B35-9A71-F1C27EAB449D}">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E494BACB-2B7A-422E-A431-78F06D201282}">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D32BD9A9-3E6A-4A84-9AC9-9E04636E893C}">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7461A969-A42A-4DA8-A86D-B98019CCDD9D}">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E6FEE40C-BDFD-49B8-90B3-03611A668E4D}">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08B52D05-7B19-4E8A-8555-71E0B79D4E2E}">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55B283F3-61FD-4200-AB01-6358D43B5722}">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6CE72D80-0B10-4E1F-A430-4308F151F0A7}">
            <x14:dataBar minLength="0" maxLength="100" gradient="0">
              <x14:cfvo type="autoMin"/>
              <x14:cfvo type="autoMax"/>
              <x14:negativeFillColor rgb="FFFF0000"/>
              <x14:axisColor rgb="FF000000"/>
            </x14:dataBar>
          </x14:cfRule>
          <xm:sqref>C35:D35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P35"/>
  <sheetViews>
    <sheetView topLeftCell="A8" zoomScale="70" zoomScaleNormal="70" workbookViewId="0">
      <selection activeCell="L31" sqref="L31"/>
    </sheetView>
  </sheetViews>
  <sheetFormatPr baseColWidth="10" defaultColWidth="11.28515625" defaultRowHeight="15" x14ac:dyDescent="0.25"/>
  <cols>
    <col min="1" max="1" width="10.140625" style="2" customWidth="1"/>
    <col min="2" max="2" width="89.85546875" style="2" customWidth="1"/>
    <col min="3" max="3" width="11.28515625" style="2"/>
    <col min="4" max="4" width="22.28515625" style="2" customWidth="1"/>
    <col min="5" max="9" width="17.28515625" style="2" customWidth="1"/>
    <col min="10" max="16384" width="11.28515625" style="2"/>
  </cols>
  <sheetData>
    <row r="1" spans="1:16" ht="61.5" customHeight="1" x14ac:dyDescent="0.25">
      <c r="A1" s="51" t="s">
        <v>1</v>
      </c>
      <c r="B1" s="23" t="s">
        <v>31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3" customFormat="1" ht="15.75" thickBot="1" x14ac:dyDescent="0.3">
      <c r="A2" s="52"/>
      <c r="B2" s="23"/>
      <c r="C2" s="25">
        <v>2026</v>
      </c>
      <c r="D2" s="25" t="s">
        <v>16</v>
      </c>
      <c r="E2" s="26"/>
      <c r="F2" s="26"/>
      <c r="G2" s="26"/>
      <c r="H2" s="26"/>
      <c r="I2" s="26"/>
      <c r="J2" s="26"/>
      <c r="K2" s="26"/>
      <c r="L2" s="26"/>
      <c r="M2" s="26"/>
      <c r="N2" s="26"/>
      <c r="O2" s="26"/>
      <c r="P2" s="26"/>
    </row>
    <row r="3" spans="1:16" ht="81" customHeight="1" x14ac:dyDescent="0.25">
      <c r="A3" s="9" t="s">
        <v>18</v>
      </c>
      <c r="B3" s="4" t="s">
        <v>17</v>
      </c>
      <c r="C3" s="28">
        <v>2</v>
      </c>
      <c r="D3" s="29">
        <f t="shared" ref="D3:D5" si="0">SUM(E3:P3)</f>
        <v>0</v>
      </c>
      <c r="E3" s="30"/>
      <c r="F3" s="30"/>
      <c r="G3" s="30"/>
      <c r="H3" s="30"/>
      <c r="I3" s="30"/>
      <c r="J3" s="30"/>
      <c r="K3" s="30"/>
      <c r="L3" s="30"/>
      <c r="M3" s="30"/>
      <c r="N3" s="30"/>
      <c r="O3" s="30"/>
      <c r="P3" s="30"/>
    </row>
    <row r="4" spans="1:16" ht="81" customHeight="1" x14ac:dyDescent="0.25">
      <c r="A4" s="10" t="s">
        <v>20</v>
      </c>
      <c r="B4" s="5" t="s">
        <v>19</v>
      </c>
      <c r="C4" s="32">
        <v>2</v>
      </c>
      <c r="D4" s="29">
        <f t="shared" si="0"/>
        <v>0</v>
      </c>
      <c r="E4" s="30">
        <v>0</v>
      </c>
      <c r="F4" s="30">
        <v>0</v>
      </c>
      <c r="G4" s="30">
        <v>0</v>
      </c>
      <c r="H4" s="30">
        <v>0</v>
      </c>
      <c r="I4" s="30"/>
      <c r="J4" s="30"/>
      <c r="K4" s="30"/>
      <c r="L4" s="30"/>
      <c r="M4" s="30"/>
      <c r="N4" s="30"/>
      <c r="O4" s="30"/>
      <c r="P4" s="30"/>
    </row>
    <row r="5" spans="1:16" ht="81" customHeight="1" x14ac:dyDescent="0.25">
      <c r="A5" s="11" t="s">
        <v>22</v>
      </c>
      <c r="B5" s="6" t="s">
        <v>32</v>
      </c>
      <c r="C5" s="33">
        <v>1</v>
      </c>
      <c r="D5" s="29">
        <f t="shared" si="0"/>
        <v>1</v>
      </c>
      <c r="E5" s="30">
        <v>0</v>
      </c>
      <c r="F5" s="30">
        <v>0</v>
      </c>
      <c r="G5" s="30">
        <v>0</v>
      </c>
      <c r="H5" s="30">
        <v>1</v>
      </c>
      <c r="I5" s="30"/>
      <c r="J5" s="30"/>
      <c r="K5" s="30"/>
      <c r="L5" s="30"/>
      <c r="M5" s="30"/>
      <c r="N5" s="30"/>
      <c r="O5" s="30"/>
      <c r="P5" s="30"/>
    </row>
    <row r="6" spans="1:16" ht="28.5" customHeight="1" x14ac:dyDescent="0.25">
      <c r="A6" s="53" t="s">
        <v>70</v>
      </c>
      <c r="B6" s="36" t="s">
        <v>71</v>
      </c>
      <c r="C6" s="35">
        <v>3</v>
      </c>
      <c r="D6" s="29">
        <f t="shared" ref="D6:D33" si="1">SUM(E6:O6)</f>
        <v>3</v>
      </c>
      <c r="E6" s="30"/>
      <c r="F6" s="30"/>
      <c r="G6" s="30"/>
      <c r="H6" s="30"/>
      <c r="I6" s="30">
        <v>3</v>
      </c>
      <c r="J6" s="30"/>
      <c r="K6" s="30"/>
      <c r="L6" s="30"/>
      <c r="M6" s="30"/>
      <c r="N6" s="30"/>
      <c r="O6" s="30"/>
      <c r="P6" s="37"/>
    </row>
    <row r="7" spans="1:16" ht="28.5" customHeight="1" x14ac:dyDescent="0.25">
      <c r="A7" s="54"/>
      <c r="B7" s="36" t="s">
        <v>72</v>
      </c>
      <c r="C7" s="35">
        <v>3</v>
      </c>
      <c r="D7" s="29">
        <f t="shared" si="1"/>
        <v>0</v>
      </c>
      <c r="E7" s="30"/>
      <c r="F7" s="30"/>
      <c r="G7" s="30"/>
      <c r="H7" s="30"/>
      <c r="I7" s="30"/>
      <c r="J7" s="30"/>
      <c r="K7" s="30"/>
      <c r="L7" s="30"/>
      <c r="M7" s="30"/>
      <c r="N7" s="30"/>
      <c r="O7" s="30"/>
      <c r="P7" s="37"/>
    </row>
    <row r="8" spans="1:16" ht="28.5" customHeight="1" x14ac:dyDescent="0.25">
      <c r="A8" s="54"/>
      <c r="B8" s="36" t="s">
        <v>73</v>
      </c>
      <c r="C8" s="35">
        <v>80</v>
      </c>
      <c r="D8" s="29">
        <f t="shared" si="1"/>
        <v>27</v>
      </c>
      <c r="E8" s="30">
        <v>9</v>
      </c>
      <c r="F8" s="30">
        <v>7</v>
      </c>
      <c r="G8" s="30">
        <v>1</v>
      </c>
      <c r="H8" s="30">
        <v>7</v>
      </c>
      <c r="I8" s="30">
        <v>3</v>
      </c>
      <c r="J8" s="30"/>
      <c r="K8" s="30"/>
      <c r="L8" s="30"/>
      <c r="M8" s="30"/>
      <c r="N8" s="30"/>
      <c r="O8" s="30"/>
      <c r="P8" s="37"/>
    </row>
    <row r="9" spans="1:16" ht="28.5" customHeight="1" x14ac:dyDescent="0.25">
      <c r="A9" s="54"/>
      <c r="B9" s="36" t="s">
        <v>74</v>
      </c>
      <c r="C9" s="35">
        <v>80</v>
      </c>
      <c r="D9" s="29">
        <f t="shared" si="1"/>
        <v>28</v>
      </c>
      <c r="E9" s="30"/>
      <c r="F9" s="30"/>
      <c r="G9" s="30">
        <v>16</v>
      </c>
      <c r="H9" s="30">
        <v>12</v>
      </c>
      <c r="I9" s="30"/>
      <c r="J9" s="30"/>
      <c r="K9" s="30"/>
      <c r="L9" s="30"/>
      <c r="M9" s="30"/>
      <c r="N9" s="30"/>
      <c r="O9" s="30"/>
      <c r="P9" s="37"/>
    </row>
    <row r="10" spans="1:16" ht="28.5" customHeight="1" x14ac:dyDescent="0.25">
      <c r="A10" s="54"/>
      <c r="B10" s="36" t="s">
        <v>75</v>
      </c>
      <c r="C10" s="35">
        <v>2</v>
      </c>
      <c r="D10" s="29">
        <f t="shared" si="1"/>
        <v>0</v>
      </c>
      <c r="E10" s="30"/>
      <c r="F10" s="30"/>
      <c r="G10" s="30"/>
      <c r="H10" s="30"/>
      <c r="I10" s="30"/>
      <c r="J10" s="30"/>
      <c r="K10" s="30"/>
      <c r="L10" s="30"/>
      <c r="M10" s="30"/>
      <c r="N10" s="30"/>
      <c r="O10" s="30"/>
      <c r="P10" s="37"/>
    </row>
    <row r="11" spans="1:16" ht="28.5" customHeight="1" x14ac:dyDescent="0.25">
      <c r="A11" s="54"/>
      <c r="B11" s="36" t="s">
        <v>76</v>
      </c>
      <c r="C11" s="35">
        <v>12</v>
      </c>
      <c r="D11" s="29">
        <f t="shared" si="1"/>
        <v>0</v>
      </c>
      <c r="E11" s="30"/>
      <c r="F11" s="30"/>
      <c r="G11" s="30"/>
      <c r="H11" s="30"/>
      <c r="I11" s="30"/>
      <c r="J11" s="30"/>
      <c r="K11" s="30"/>
      <c r="L11" s="30"/>
      <c r="M11" s="30"/>
      <c r="N11" s="30"/>
      <c r="O11" s="30"/>
      <c r="P11" s="37"/>
    </row>
    <row r="12" spans="1:16" ht="28.5" customHeight="1" x14ac:dyDescent="0.25">
      <c r="A12" s="54"/>
      <c r="B12" s="36" t="s">
        <v>77</v>
      </c>
      <c r="C12" s="35">
        <v>0</v>
      </c>
      <c r="D12" s="29">
        <f t="shared" si="1"/>
        <v>0</v>
      </c>
      <c r="E12" s="30"/>
      <c r="F12" s="30"/>
      <c r="G12" s="30"/>
      <c r="H12" s="30"/>
      <c r="I12" s="30"/>
      <c r="J12" s="30"/>
      <c r="K12" s="30"/>
      <c r="L12" s="30"/>
      <c r="M12" s="30"/>
      <c r="N12" s="30"/>
      <c r="O12" s="30"/>
      <c r="P12" s="37"/>
    </row>
    <row r="13" spans="1:16" ht="28.5" customHeight="1" x14ac:dyDescent="0.25">
      <c r="A13" s="54"/>
      <c r="B13" s="36" t="s">
        <v>78</v>
      </c>
      <c r="C13" s="35">
        <v>56</v>
      </c>
      <c r="D13" s="29">
        <f t="shared" si="1"/>
        <v>29</v>
      </c>
      <c r="E13" s="30"/>
      <c r="F13" s="30"/>
      <c r="G13" s="30">
        <v>7</v>
      </c>
      <c r="H13" s="30">
        <v>14</v>
      </c>
      <c r="I13" s="30">
        <v>8</v>
      </c>
      <c r="J13" s="30"/>
      <c r="K13" s="30"/>
      <c r="L13" s="30"/>
      <c r="M13" s="30"/>
      <c r="N13" s="30"/>
      <c r="O13" s="30"/>
      <c r="P13" s="37"/>
    </row>
    <row r="14" spans="1:16" ht="28.5" customHeight="1" x14ac:dyDescent="0.25">
      <c r="A14" s="54"/>
      <c r="B14" s="36" t="s">
        <v>79</v>
      </c>
      <c r="C14" s="35">
        <v>0</v>
      </c>
      <c r="D14" s="29">
        <f t="shared" si="1"/>
        <v>0</v>
      </c>
      <c r="E14" s="30"/>
      <c r="F14" s="30"/>
      <c r="G14" s="30"/>
      <c r="H14" s="30"/>
      <c r="I14" s="30"/>
      <c r="J14" s="30"/>
      <c r="K14" s="30"/>
      <c r="L14" s="30"/>
      <c r="M14" s="30"/>
      <c r="N14" s="30"/>
      <c r="O14" s="30"/>
      <c r="P14" s="37"/>
    </row>
    <row r="15" spans="1:16" ht="28.5" customHeight="1" x14ac:dyDescent="0.25">
      <c r="A15" s="54"/>
      <c r="B15" s="36" t="s">
        <v>80</v>
      </c>
      <c r="C15" s="35">
        <v>0</v>
      </c>
      <c r="D15" s="29">
        <f t="shared" si="1"/>
        <v>0</v>
      </c>
      <c r="E15" s="30"/>
      <c r="F15" s="30"/>
      <c r="G15" s="30"/>
      <c r="H15" s="30"/>
      <c r="I15" s="30"/>
      <c r="J15" s="30"/>
      <c r="K15" s="30"/>
      <c r="L15" s="30"/>
      <c r="M15" s="30"/>
      <c r="N15" s="30"/>
      <c r="O15" s="30"/>
      <c r="P15" s="37"/>
    </row>
    <row r="16" spans="1:16" ht="28.5" customHeight="1" x14ac:dyDescent="0.25">
      <c r="A16" s="54"/>
      <c r="B16" s="36" t="s">
        <v>81</v>
      </c>
      <c r="C16" s="35">
        <v>0</v>
      </c>
      <c r="D16" s="29">
        <f t="shared" si="1"/>
        <v>0</v>
      </c>
      <c r="E16" s="30"/>
      <c r="F16" s="30"/>
      <c r="G16" s="30"/>
      <c r="H16" s="30"/>
      <c r="I16" s="30"/>
      <c r="J16" s="30"/>
      <c r="K16" s="30"/>
      <c r="L16" s="30"/>
      <c r="M16" s="30"/>
      <c r="N16" s="30"/>
      <c r="O16" s="30"/>
      <c r="P16" s="37"/>
    </row>
    <row r="17" spans="1:16" ht="28.5" customHeight="1" x14ac:dyDescent="0.25">
      <c r="A17" s="54"/>
      <c r="B17" s="36" t="s">
        <v>82</v>
      </c>
      <c r="C17" s="35">
        <v>0</v>
      </c>
      <c r="D17" s="29">
        <f t="shared" si="1"/>
        <v>0</v>
      </c>
      <c r="E17" s="30"/>
      <c r="F17" s="30"/>
      <c r="G17" s="30"/>
      <c r="H17" s="30"/>
      <c r="I17" s="30"/>
      <c r="J17" s="30"/>
      <c r="K17" s="30"/>
      <c r="L17" s="30"/>
      <c r="M17" s="30"/>
      <c r="N17" s="30"/>
      <c r="O17" s="30"/>
      <c r="P17" s="37"/>
    </row>
    <row r="18" spans="1:16" ht="28.5" customHeight="1" x14ac:dyDescent="0.25">
      <c r="A18" s="54"/>
      <c r="B18" s="36" t="s">
        <v>83</v>
      </c>
      <c r="C18" s="35">
        <v>0</v>
      </c>
      <c r="D18" s="29">
        <f t="shared" si="1"/>
        <v>0</v>
      </c>
      <c r="E18" s="30"/>
      <c r="F18" s="30"/>
      <c r="G18" s="30"/>
      <c r="H18" s="30"/>
      <c r="I18" s="30"/>
      <c r="J18" s="30"/>
      <c r="K18" s="30"/>
      <c r="L18" s="30"/>
      <c r="M18" s="30"/>
      <c r="N18" s="30"/>
      <c r="O18" s="30"/>
      <c r="P18" s="37"/>
    </row>
    <row r="19" spans="1:16" ht="28.5" customHeight="1" x14ac:dyDescent="0.25">
      <c r="A19" s="54"/>
      <c r="B19" s="36" t="s">
        <v>84</v>
      </c>
      <c r="C19" s="35">
        <v>3</v>
      </c>
      <c r="D19" s="29">
        <f t="shared" si="1"/>
        <v>1</v>
      </c>
      <c r="E19" s="30"/>
      <c r="F19" s="30"/>
      <c r="G19" s="30"/>
      <c r="H19" s="30"/>
      <c r="I19" s="30">
        <v>1</v>
      </c>
      <c r="J19" s="30"/>
      <c r="K19" s="30"/>
      <c r="L19" s="30"/>
      <c r="M19" s="30"/>
      <c r="N19" s="30"/>
      <c r="O19" s="30"/>
      <c r="P19" s="37"/>
    </row>
    <row r="20" spans="1:16" ht="28.5" customHeight="1" x14ac:dyDescent="0.25">
      <c r="A20" s="54"/>
      <c r="B20" s="36" t="s">
        <v>85</v>
      </c>
      <c r="C20" s="35">
        <v>212</v>
      </c>
      <c r="D20" s="29">
        <f t="shared" si="1"/>
        <v>62</v>
      </c>
      <c r="E20" s="30">
        <v>1</v>
      </c>
      <c r="F20" s="30">
        <v>7</v>
      </c>
      <c r="G20" s="30">
        <v>15</v>
      </c>
      <c r="H20" s="30">
        <v>17</v>
      </c>
      <c r="I20" s="30">
        <v>7</v>
      </c>
      <c r="J20" s="30">
        <v>15</v>
      </c>
      <c r="K20" s="30"/>
      <c r="L20" s="30"/>
      <c r="M20" s="30"/>
      <c r="N20" s="30"/>
      <c r="O20" s="30"/>
      <c r="P20" s="37"/>
    </row>
    <row r="21" spans="1:16" ht="28.5" customHeight="1" x14ac:dyDescent="0.25">
      <c r="A21" s="54"/>
      <c r="B21" s="36" t="s">
        <v>86</v>
      </c>
      <c r="C21" s="35">
        <v>3</v>
      </c>
      <c r="D21" s="29">
        <f t="shared" si="1"/>
        <v>2</v>
      </c>
      <c r="E21" s="30"/>
      <c r="F21" s="30"/>
      <c r="G21" s="30">
        <v>1</v>
      </c>
      <c r="H21" s="30">
        <v>1</v>
      </c>
      <c r="I21" s="30"/>
      <c r="J21" s="30"/>
      <c r="K21" s="30"/>
      <c r="L21" s="30"/>
      <c r="M21" s="30"/>
      <c r="N21" s="30"/>
      <c r="O21" s="30"/>
      <c r="P21" s="37"/>
    </row>
    <row r="22" spans="1:16" ht="24" customHeight="1" x14ac:dyDescent="0.25">
      <c r="A22" s="54"/>
      <c r="B22" s="38" t="s">
        <v>87</v>
      </c>
      <c r="C22" s="35">
        <v>5</v>
      </c>
      <c r="D22" s="29">
        <f t="shared" si="1"/>
        <v>3</v>
      </c>
      <c r="E22" s="30"/>
      <c r="F22" s="30"/>
      <c r="G22" s="30">
        <v>3</v>
      </c>
      <c r="H22" s="30"/>
      <c r="I22" s="30"/>
      <c r="J22" s="30"/>
      <c r="K22" s="30"/>
      <c r="L22" s="30"/>
      <c r="M22" s="30"/>
      <c r="N22" s="30"/>
      <c r="O22" s="30"/>
      <c r="P22" s="37"/>
    </row>
    <row r="23" spans="1:16" ht="24" customHeight="1" x14ac:dyDescent="0.25">
      <c r="A23" s="54"/>
      <c r="B23" s="38" t="s">
        <v>88</v>
      </c>
      <c r="C23" s="35">
        <v>5</v>
      </c>
      <c r="D23" s="29">
        <f t="shared" si="1"/>
        <v>5</v>
      </c>
      <c r="E23" s="30"/>
      <c r="F23" s="30"/>
      <c r="G23" s="30"/>
      <c r="H23" s="30">
        <v>5</v>
      </c>
      <c r="I23" s="30"/>
      <c r="J23" s="30"/>
      <c r="K23" s="30"/>
      <c r="L23" s="30"/>
      <c r="M23" s="30"/>
      <c r="N23" s="30"/>
      <c r="O23" s="30"/>
      <c r="P23" s="37"/>
    </row>
    <row r="24" spans="1:16" ht="24" customHeight="1" x14ac:dyDescent="0.25">
      <c r="A24" s="54"/>
      <c r="B24" s="38" t="s">
        <v>89</v>
      </c>
      <c r="C24" s="35">
        <v>5</v>
      </c>
      <c r="D24" s="29">
        <f t="shared" si="1"/>
        <v>5</v>
      </c>
      <c r="E24" s="30"/>
      <c r="F24" s="30"/>
      <c r="G24" s="30"/>
      <c r="H24" s="30"/>
      <c r="I24" s="30">
        <v>5</v>
      </c>
      <c r="J24" s="30"/>
      <c r="K24" s="30"/>
      <c r="L24" s="30"/>
      <c r="M24" s="30"/>
      <c r="N24" s="30"/>
      <c r="O24" s="30"/>
      <c r="P24" s="37"/>
    </row>
    <row r="25" spans="1:16" ht="24" customHeight="1" x14ac:dyDescent="0.25">
      <c r="A25" s="54"/>
      <c r="B25" s="38" t="s">
        <v>90</v>
      </c>
      <c r="C25" s="35">
        <v>5</v>
      </c>
      <c r="D25" s="29">
        <f t="shared" si="1"/>
        <v>0</v>
      </c>
      <c r="E25" s="30"/>
      <c r="F25" s="30"/>
      <c r="G25" s="30"/>
      <c r="H25" s="30"/>
      <c r="I25" s="30"/>
      <c r="J25" s="30"/>
      <c r="K25" s="30"/>
      <c r="L25" s="30"/>
      <c r="M25" s="30"/>
      <c r="N25" s="30"/>
      <c r="O25" s="30"/>
      <c r="P25" s="37"/>
    </row>
    <row r="26" spans="1:16" ht="24" customHeight="1" x14ac:dyDescent="0.25">
      <c r="A26" s="54"/>
      <c r="B26" s="38" t="s">
        <v>91</v>
      </c>
      <c r="C26" s="35">
        <v>5</v>
      </c>
      <c r="D26" s="29">
        <f t="shared" si="1"/>
        <v>0</v>
      </c>
      <c r="E26" s="30"/>
      <c r="F26" s="30"/>
      <c r="G26" s="30"/>
      <c r="H26" s="30"/>
      <c r="I26" s="30"/>
      <c r="J26" s="30"/>
      <c r="K26" s="30"/>
      <c r="L26" s="30"/>
      <c r="M26" s="30"/>
      <c r="N26" s="30"/>
      <c r="O26" s="30"/>
      <c r="P26" s="37"/>
    </row>
    <row r="27" spans="1:16" ht="24" customHeight="1" x14ac:dyDescent="0.25">
      <c r="A27" s="54"/>
      <c r="B27" s="38" t="s">
        <v>92</v>
      </c>
      <c r="C27" s="35">
        <v>1</v>
      </c>
      <c r="D27" s="29">
        <f t="shared" si="1"/>
        <v>0</v>
      </c>
      <c r="E27" s="30"/>
      <c r="F27" s="30"/>
      <c r="G27" s="30"/>
      <c r="H27" s="30"/>
      <c r="I27" s="30"/>
      <c r="J27" s="30"/>
      <c r="K27" s="30"/>
      <c r="L27" s="30"/>
      <c r="M27" s="30"/>
      <c r="N27" s="30"/>
      <c r="O27" s="30"/>
      <c r="P27" s="37"/>
    </row>
    <row r="28" spans="1:16" ht="24" customHeight="1" x14ac:dyDescent="0.25">
      <c r="A28" s="54"/>
      <c r="B28" s="38" t="s">
        <v>93</v>
      </c>
      <c r="C28" s="35">
        <v>1</v>
      </c>
      <c r="D28" s="29">
        <f t="shared" si="1"/>
        <v>0</v>
      </c>
      <c r="E28" s="30"/>
      <c r="F28" s="30"/>
      <c r="G28" s="30"/>
      <c r="H28" s="30"/>
      <c r="I28" s="30"/>
      <c r="J28" s="30"/>
      <c r="K28" s="30"/>
      <c r="L28" s="30"/>
      <c r="M28" s="30"/>
      <c r="N28" s="30"/>
      <c r="O28" s="30"/>
      <c r="P28" s="37"/>
    </row>
    <row r="29" spans="1:16" ht="24" customHeight="1" x14ac:dyDescent="0.25">
      <c r="A29" s="54"/>
      <c r="B29" s="38" t="s">
        <v>94</v>
      </c>
      <c r="C29" s="35">
        <v>1</v>
      </c>
      <c r="D29" s="29">
        <f t="shared" si="1"/>
        <v>0</v>
      </c>
      <c r="E29" s="30"/>
      <c r="F29" s="30"/>
      <c r="G29" s="30"/>
      <c r="H29" s="30"/>
      <c r="I29" s="30"/>
      <c r="J29" s="30"/>
      <c r="K29" s="30"/>
      <c r="L29" s="30"/>
      <c r="M29" s="30"/>
      <c r="N29" s="30"/>
      <c r="O29" s="30"/>
      <c r="P29" s="37"/>
    </row>
    <row r="30" spans="1:16" ht="24" customHeight="1" x14ac:dyDescent="0.25">
      <c r="A30" s="54"/>
      <c r="B30" s="38" t="s">
        <v>95</v>
      </c>
      <c r="C30" s="35">
        <v>1</v>
      </c>
      <c r="D30" s="29">
        <f t="shared" si="1"/>
        <v>0</v>
      </c>
      <c r="E30" s="30"/>
      <c r="F30" s="30"/>
      <c r="G30" s="30"/>
      <c r="H30" s="30"/>
      <c r="I30" s="30"/>
      <c r="J30" s="30"/>
      <c r="K30" s="30"/>
      <c r="L30" s="30"/>
      <c r="M30" s="30"/>
      <c r="N30" s="30"/>
      <c r="O30" s="30"/>
      <c r="P30" s="37"/>
    </row>
    <row r="31" spans="1:16" ht="24" customHeight="1" x14ac:dyDescent="0.25">
      <c r="A31" s="54"/>
      <c r="B31" s="38" t="s">
        <v>96</v>
      </c>
      <c r="C31" s="35">
        <v>1</v>
      </c>
      <c r="D31" s="29">
        <f t="shared" si="1"/>
        <v>0</v>
      </c>
      <c r="E31" s="30"/>
      <c r="F31" s="30"/>
      <c r="G31" s="30"/>
      <c r="H31" s="30"/>
      <c r="I31" s="30"/>
      <c r="J31" s="30"/>
      <c r="K31" s="30"/>
      <c r="L31" s="30"/>
      <c r="M31" s="30"/>
      <c r="N31" s="30"/>
      <c r="O31" s="30"/>
      <c r="P31" s="37"/>
    </row>
    <row r="32" spans="1:16" ht="24" customHeight="1" x14ac:dyDescent="0.25">
      <c r="A32" s="54"/>
      <c r="B32" s="38" t="s">
        <v>97</v>
      </c>
      <c r="C32" s="35">
        <v>1</v>
      </c>
      <c r="D32" s="29">
        <f t="shared" si="1"/>
        <v>0</v>
      </c>
      <c r="E32" s="30"/>
      <c r="F32" s="30"/>
      <c r="G32" s="30"/>
      <c r="H32" s="30"/>
      <c r="I32" s="30"/>
      <c r="J32" s="30"/>
      <c r="K32" s="30"/>
      <c r="L32" s="30"/>
      <c r="M32" s="30"/>
      <c r="N32" s="30"/>
      <c r="O32" s="30"/>
      <c r="P32" s="37"/>
    </row>
    <row r="33" spans="1:16" ht="24" customHeight="1" thickBot="1" x14ac:dyDescent="0.3">
      <c r="A33" s="55"/>
      <c r="B33" s="39" t="s">
        <v>98</v>
      </c>
      <c r="C33" s="35">
        <v>1</v>
      </c>
      <c r="D33" s="29">
        <f t="shared" si="1"/>
        <v>0</v>
      </c>
      <c r="E33" s="30"/>
      <c r="F33" s="30"/>
      <c r="G33" s="30"/>
      <c r="H33" s="30"/>
      <c r="I33" s="30"/>
      <c r="J33" s="30"/>
      <c r="K33" s="30"/>
      <c r="L33" s="30"/>
      <c r="M33" s="30"/>
      <c r="N33" s="30"/>
      <c r="O33" s="30"/>
      <c r="P33" s="37"/>
    </row>
    <row r="34" spans="1:16" x14ac:dyDescent="0.25">
      <c r="C34" s="40">
        <f>SUM(C3:C33)</f>
        <v>491</v>
      </c>
      <c r="D34" s="41">
        <f>SUM(D3:D33)</f>
        <v>166</v>
      </c>
    </row>
    <row r="35" spans="1:16" x14ac:dyDescent="0.25">
      <c r="C35" s="8"/>
      <c r="D35" s="42">
        <f>D34/C34</f>
        <v>0.3380855397148676</v>
      </c>
    </row>
  </sheetData>
  <sheetProtection algorithmName="SHA-512" hashValue="PP7SqNbQo/rkyXub2paFbwY5ePtHl20ee9vFJaqztIQvtkizIjWT/pyTGcg5VXyEg+ptyZa2H2D/XzUS26XHdw==" saltValue="7WYiQmmhk3rDd/Qrp5mFhA==" spinCount="100000" sheet="1" objects="1" scenarios="1" autoFilter="0"/>
  <mergeCells count="2">
    <mergeCell ref="A1:A2"/>
    <mergeCell ref="A6:A33"/>
  </mergeCells>
  <conditionalFormatting sqref="C3:D3 D4:D5">
    <cfRule type="dataBar" priority="49">
      <dataBar>
        <cfvo type="min"/>
        <cfvo type="max"/>
        <color rgb="FF008AEF"/>
      </dataBar>
      <extLst>
        <ext xmlns:x14="http://schemas.microsoft.com/office/spreadsheetml/2009/9/main" uri="{B025F937-C7B1-47D3-B67F-A62EFF666E3E}">
          <x14:id>{0104B5A5-DBC3-4E37-B5DF-77A28EADD2EF}</x14:id>
        </ext>
      </extLst>
    </cfRule>
  </conditionalFormatting>
  <conditionalFormatting sqref="C4:D4">
    <cfRule type="dataBar" priority="4">
      <dataBar>
        <cfvo type="min"/>
        <cfvo type="max"/>
        <color rgb="FF008AEF"/>
      </dataBar>
      <extLst>
        <ext xmlns:x14="http://schemas.microsoft.com/office/spreadsheetml/2009/9/main" uri="{B025F937-C7B1-47D3-B67F-A62EFF666E3E}">
          <x14:id>{03DDDA72-1E18-4743-ABAC-FA2390A2E8D3}</x14:id>
        </ext>
      </extLst>
    </cfRule>
  </conditionalFormatting>
  <conditionalFormatting sqref="C5:D5">
    <cfRule type="dataBar" priority="5">
      <dataBar>
        <cfvo type="min"/>
        <cfvo type="max"/>
        <color rgb="FF008AEF"/>
      </dataBar>
      <extLst>
        <ext xmlns:x14="http://schemas.microsoft.com/office/spreadsheetml/2009/9/main" uri="{B025F937-C7B1-47D3-B67F-A62EFF666E3E}">
          <x14:id>{1FBE474B-D64E-4D79-801B-EAC3F38486E1}</x14:id>
        </ext>
      </extLst>
    </cfRule>
  </conditionalFormatting>
  <conditionalFormatting sqref="C6:D6">
    <cfRule type="dataBar" priority="12">
      <dataBar>
        <cfvo type="min"/>
        <cfvo type="max"/>
        <color rgb="FF008AEF"/>
      </dataBar>
      <extLst>
        <ext xmlns:x14="http://schemas.microsoft.com/office/spreadsheetml/2009/9/main" uri="{B025F937-C7B1-47D3-B67F-A62EFF666E3E}">
          <x14:id>{5F50404F-1DE8-455D-911F-46DA0FBBB813}</x14:id>
        </ext>
      </extLst>
    </cfRule>
  </conditionalFormatting>
  <conditionalFormatting sqref="C7:D7">
    <cfRule type="dataBar" priority="39">
      <dataBar>
        <cfvo type="min"/>
        <cfvo type="max"/>
        <color rgb="FF008AEF"/>
      </dataBar>
      <extLst>
        <ext xmlns:x14="http://schemas.microsoft.com/office/spreadsheetml/2009/9/main" uri="{B025F937-C7B1-47D3-B67F-A62EFF666E3E}">
          <x14:id>{8972701D-E271-40CA-AB0F-7DED1E995AEF}</x14:id>
        </ext>
      </extLst>
    </cfRule>
  </conditionalFormatting>
  <conditionalFormatting sqref="C8:D8">
    <cfRule type="dataBar" priority="38">
      <dataBar>
        <cfvo type="min"/>
        <cfvo type="max"/>
        <color rgb="FF008AEF"/>
      </dataBar>
      <extLst>
        <ext xmlns:x14="http://schemas.microsoft.com/office/spreadsheetml/2009/9/main" uri="{B025F937-C7B1-47D3-B67F-A62EFF666E3E}">
          <x14:id>{5836DF86-AE8A-4FEE-94B1-26A53E2D79AD}</x14:id>
        </ext>
      </extLst>
    </cfRule>
  </conditionalFormatting>
  <conditionalFormatting sqref="C9:D9">
    <cfRule type="dataBar" priority="37">
      <dataBar>
        <cfvo type="min"/>
        <cfvo type="max"/>
        <color rgb="FF008AEF"/>
      </dataBar>
      <extLst>
        <ext xmlns:x14="http://schemas.microsoft.com/office/spreadsheetml/2009/9/main" uri="{B025F937-C7B1-47D3-B67F-A62EFF666E3E}">
          <x14:id>{0E480CDF-5581-4267-B535-61FAB6A57AEE}</x14:id>
        </ext>
      </extLst>
    </cfRule>
  </conditionalFormatting>
  <conditionalFormatting sqref="C10:D10">
    <cfRule type="dataBar" priority="36">
      <dataBar>
        <cfvo type="min"/>
        <cfvo type="max"/>
        <color rgb="FF008AEF"/>
      </dataBar>
      <extLst>
        <ext xmlns:x14="http://schemas.microsoft.com/office/spreadsheetml/2009/9/main" uri="{B025F937-C7B1-47D3-B67F-A62EFF666E3E}">
          <x14:id>{81CF5085-2627-4A11-8FE8-969DB0E6E796}</x14:id>
        </ext>
      </extLst>
    </cfRule>
  </conditionalFormatting>
  <conditionalFormatting sqref="C11:D11">
    <cfRule type="dataBar" priority="35">
      <dataBar>
        <cfvo type="min"/>
        <cfvo type="max"/>
        <color rgb="FF008AEF"/>
      </dataBar>
      <extLst>
        <ext xmlns:x14="http://schemas.microsoft.com/office/spreadsheetml/2009/9/main" uri="{B025F937-C7B1-47D3-B67F-A62EFF666E3E}">
          <x14:id>{A87DFBE2-9BBF-4ED3-82DB-E864CDA3B41F}</x14:id>
        </ext>
      </extLst>
    </cfRule>
  </conditionalFormatting>
  <conditionalFormatting sqref="C12:D12">
    <cfRule type="dataBar" priority="34">
      <dataBar>
        <cfvo type="min"/>
        <cfvo type="max"/>
        <color rgb="FF008AEF"/>
      </dataBar>
      <extLst>
        <ext xmlns:x14="http://schemas.microsoft.com/office/spreadsheetml/2009/9/main" uri="{B025F937-C7B1-47D3-B67F-A62EFF666E3E}">
          <x14:id>{9D60C5F8-5EAF-4D74-B16F-06532BFE033D}</x14:id>
        </ext>
      </extLst>
    </cfRule>
  </conditionalFormatting>
  <conditionalFormatting sqref="C13:D13">
    <cfRule type="dataBar" priority="33">
      <dataBar>
        <cfvo type="min"/>
        <cfvo type="max"/>
        <color rgb="FF008AEF"/>
      </dataBar>
      <extLst>
        <ext xmlns:x14="http://schemas.microsoft.com/office/spreadsheetml/2009/9/main" uri="{B025F937-C7B1-47D3-B67F-A62EFF666E3E}">
          <x14:id>{E55884EE-052D-4E98-BC45-FF494B5F5E3F}</x14:id>
        </ext>
      </extLst>
    </cfRule>
  </conditionalFormatting>
  <conditionalFormatting sqref="C14:D14">
    <cfRule type="dataBar" priority="32">
      <dataBar>
        <cfvo type="min"/>
        <cfvo type="max"/>
        <color rgb="FF008AEF"/>
      </dataBar>
      <extLst>
        <ext xmlns:x14="http://schemas.microsoft.com/office/spreadsheetml/2009/9/main" uri="{B025F937-C7B1-47D3-B67F-A62EFF666E3E}">
          <x14:id>{39DFA337-4C9C-4035-A49B-1AC8AAF03082}</x14:id>
        </ext>
      </extLst>
    </cfRule>
  </conditionalFormatting>
  <conditionalFormatting sqref="C15:D15">
    <cfRule type="dataBar" priority="31">
      <dataBar>
        <cfvo type="min"/>
        <cfvo type="max"/>
        <color rgb="FF008AEF"/>
      </dataBar>
      <extLst>
        <ext xmlns:x14="http://schemas.microsoft.com/office/spreadsheetml/2009/9/main" uri="{B025F937-C7B1-47D3-B67F-A62EFF666E3E}">
          <x14:id>{6517D01F-39A1-4EAE-8FAD-545ACE3B2F0F}</x14:id>
        </ext>
      </extLst>
    </cfRule>
  </conditionalFormatting>
  <conditionalFormatting sqref="C16:D16">
    <cfRule type="dataBar" priority="30">
      <dataBar>
        <cfvo type="min"/>
        <cfvo type="max"/>
        <color rgb="FF008AEF"/>
      </dataBar>
      <extLst>
        <ext xmlns:x14="http://schemas.microsoft.com/office/spreadsheetml/2009/9/main" uri="{B025F937-C7B1-47D3-B67F-A62EFF666E3E}">
          <x14:id>{5747902E-ECB8-42A6-B658-CD18E94A62C1}</x14:id>
        </ext>
      </extLst>
    </cfRule>
  </conditionalFormatting>
  <conditionalFormatting sqref="C17:D17">
    <cfRule type="dataBar" priority="29">
      <dataBar>
        <cfvo type="min"/>
        <cfvo type="max"/>
        <color rgb="FF008AEF"/>
      </dataBar>
      <extLst>
        <ext xmlns:x14="http://schemas.microsoft.com/office/spreadsheetml/2009/9/main" uri="{B025F937-C7B1-47D3-B67F-A62EFF666E3E}">
          <x14:id>{A6FBA6E9-3BB6-48D7-9F44-842E364C809B}</x14:id>
        </ext>
      </extLst>
    </cfRule>
  </conditionalFormatting>
  <conditionalFormatting sqref="C18:D18">
    <cfRule type="dataBar" priority="28">
      <dataBar>
        <cfvo type="min"/>
        <cfvo type="max"/>
        <color rgb="FF008AEF"/>
      </dataBar>
      <extLst>
        <ext xmlns:x14="http://schemas.microsoft.com/office/spreadsheetml/2009/9/main" uri="{B025F937-C7B1-47D3-B67F-A62EFF666E3E}">
          <x14:id>{3CA520DF-EB08-42D8-B2F2-3AE369D1ADC2}</x14:id>
        </ext>
      </extLst>
    </cfRule>
  </conditionalFormatting>
  <conditionalFormatting sqref="C19:D19">
    <cfRule type="dataBar" priority="27">
      <dataBar>
        <cfvo type="min"/>
        <cfvo type="max"/>
        <color rgb="FF008AEF"/>
      </dataBar>
      <extLst>
        <ext xmlns:x14="http://schemas.microsoft.com/office/spreadsheetml/2009/9/main" uri="{B025F937-C7B1-47D3-B67F-A62EFF666E3E}">
          <x14:id>{5463DC52-50AE-46BE-895C-92ADE6657D00}</x14:id>
        </ext>
      </extLst>
    </cfRule>
  </conditionalFormatting>
  <conditionalFormatting sqref="C20:D20">
    <cfRule type="dataBar" priority="26">
      <dataBar>
        <cfvo type="min"/>
        <cfvo type="max"/>
        <color rgb="FF008AEF"/>
      </dataBar>
      <extLst>
        <ext xmlns:x14="http://schemas.microsoft.com/office/spreadsheetml/2009/9/main" uri="{B025F937-C7B1-47D3-B67F-A62EFF666E3E}">
          <x14:id>{86314BB0-DF3F-40E8-B32E-437290161296}</x14:id>
        </ext>
      </extLst>
    </cfRule>
  </conditionalFormatting>
  <conditionalFormatting sqref="C21:D21">
    <cfRule type="dataBar" priority="25">
      <dataBar>
        <cfvo type="min"/>
        <cfvo type="max"/>
        <color rgb="FF008AEF"/>
      </dataBar>
      <extLst>
        <ext xmlns:x14="http://schemas.microsoft.com/office/spreadsheetml/2009/9/main" uri="{B025F937-C7B1-47D3-B67F-A62EFF666E3E}">
          <x14:id>{C3F7073A-C6E7-45EF-889F-1B073977A17D}</x14:id>
        </ext>
      </extLst>
    </cfRule>
  </conditionalFormatting>
  <conditionalFormatting sqref="C22:D22">
    <cfRule type="dataBar" priority="24">
      <dataBar>
        <cfvo type="min"/>
        <cfvo type="max"/>
        <color rgb="FF008AEF"/>
      </dataBar>
      <extLst>
        <ext xmlns:x14="http://schemas.microsoft.com/office/spreadsheetml/2009/9/main" uri="{B025F937-C7B1-47D3-B67F-A62EFF666E3E}">
          <x14:id>{02DA09BF-ECA6-4A5C-974C-93B272157C05}</x14:id>
        </ext>
      </extLst>
    </cfRule>
  </conditionalFormatting>
  <conditionalFormatting sqref="C23:D23">
    <cfRule type="dataBar" priority="23">
      <dataBar>
        <cfvo type="min"/>
        <cfvo type="max"/>
        <color rgb="FF008AEF"/>
      </dataBar>
      <extLst>
        <ext xmlns:x14="http://schemas.microsoft.com/office/spreadsheetml/2009/9/main" uri="{B025F937-C7B1-47D3-B67F-A62EFF666E3E}">
          <x14:id>{A59CB290-F011-4F18-870D-713E0085E46F}</x14:id>
        </ext>
      </extLst>
    </cfRule>
  </conditionalFormatting>
  <conditionalFormatting sqref="C24:D24">
    <cfRule type="dataBar" priority="22">
      <dataBar>
        <cfvo type="min"/>
        <cfvo type="max"/>
        <color rgb="FF008AEF"/>
      </dataBar>
      <extLst>
        <ext xmlns:x14="http://schemas.microsoft.com/office/spreadsheetml/2009/9/main" uri="{B025F937-C7B1-47D3-B67F-A62EFF666E3E}">
          <x14:id>{C342A88F-236D-48AF-B713-C5787ABEBF86}</x14:id>
        </ext>
      </extLst>
    </cfRule>
  </conditionalFormatting>
  <conditionalFormatting sqref="C25:D25">
    <cfRule type="dataBar" priority="21">
      <dataBar>
        <cfvo type="min"/>
        <cfvo type="max"/>
        <color rgb="FF008AEF"/>
      </dataBar>
      <extLst>
        <ext xmlns:x14="http://schemas.microsoft.com/office/spreadsheetml/2009/9/main" uri="{B025F937-C7B1-47D3-B67F-A62EFF666E3E}">
          <x14:id>{C15FA5D5-87BB-49C7-962B-991662E15337}</x14:id>
        </ext>
      </extLst>
    </cfRule>
  </conditionalFormatting>
  <conditionalFormatting sqref="C26:D26">
    <cfRule type="dataBar" priority="20">
      <dataBar>
        <cfvo type="min"/>
        <cfvo type="max"/>
        <color rgb="FF008AEF"/>
      </dataBar>
      <extLst>
        <ext xmlns:x14="http://schemas.microsoft.com/office/spreadsheetml/2009/9/main" uri="{B025F937-C7B1-47D3-B67F-A62EFF666E3E}">
          <x14:id>{D11B361C-0C8A-4EE3-AE6A-4314FFE4BABC}</x14:id>
        </ext>
      </extLst>
    </cfRule>
  </conditionalFormatting>
  <conditionalFormatting sqref="C27:D27">
    <cfRule type="dataBar" priority="19">
      <dataBar>
        <cfvo type="min"/>
        <cfvo type="max"/>
        <color rgb="FF008AEF"/>
      </dataBar>
      <extLst>
        <ext xmlns:x14="http://schemas.microsoft.com/office/spreadsheetml/2009/9/main" uri="{B025F937-C7B1-47D3-B67F-A62EFF666E3E}">
          <x14:id>{8D30C640-B303-4CBC-946A-8341AB8C8696}</x14:id>
        </ext>
      </extLst>
    </cfRule>
  </conditionalFormatting>
  <conditionalFormatting sqref="C28:D28">
    <cfRule type="dataBar" priority="18">
      <dataBar>
        <cfvo type="min"/>
        <cfvo type="max"/>
        <color rgb="FF008AEF"/>
      </dataBar>
      <extLst>
        <ext xmlns:x14="http://schemas.microsoft.com/office/spreadsheetml/2009/9/main" uri="{B025F937-C7B1-47D3-B67F-A62EFF666E3E}">
          <x14:id>{DAF15970-F1C3-48AA-BD08-4C80C787360C}</x14:id>
        </ext>
      </extLst>
    </cfRule>
  </conditionalFormatting>
  <conditionalFormatting sqref="C29:D29">
    <cfRule type="dataBar" priority="17">
      <dataBar>
        <cfvo type="min"/>
        <cfvo type="max"/>
        <color rgb="FF008AEF"/>
      </dataBar>
      <extLst>
        <ext xmlns:x14="http://schemas.microsoft.com/office/spreadsheetml/2009/9/main" uri="{B025F937-C7B1-47D3-B67F-A62EFF666E3E}">
          <x14:id>{650EB183-388A-490A-BDD9-71DB3572D4D6}</x14:id>
        </ext>
      </extLst>
    </cfRule>
  </conditionalFormatting>
  <conditionalFormatting sqref="C30:D30">
    <cfRule type="dataBar" priority="16">
      <dataBar>
        <cfvo type="min"/>
        <cfvo type="max"/>
        <color rgb="FF008AEF"/>
      </dataBar>
      <extLst>
        <ext xmlns:x14="http://schemas.microsoft.com/office/spreadsheetml/2009/9/main" uri="{B025F937-C7B1-47D3-B67F-A62EFF666E3E}">
          <x14:id>{0D036E13-B382-4449-BE56-74A64D5B1889}</x14:id>
        </ext>
      </extLst>
    </cfRule>
  </conditionalFormatting>
  <conditionalFormatting sqref="C31:D31">
    <cfRule type="dataBar" priority="15">
      <dataBar>
        <cfvo type="min"/>
        <cfvo type="max"/>
        <color rgb="FF008AEF"/>
      </dataBar>
      <extLst>
        <ext xmlns:x14="http://schemas.microsoft.com/office/spreadsheetml/2009/9/main" uri="{B025F937-C7B1-47D3-B67F-A62EFF666E3E}">
          <x14:id>{13087206-7C5A-4231-95ED-A070A949E321}</x14:id>
        </ext>
      </extLst>
    </cfRule>
  </conditionalFormatting>
  <conditionalFormatting sqref="C32:D32">
    <cfRule type="dataBar" priority="14">
      <dataBar>
        <cfvo type="min"/>
        <cfvo type="max"/>
        <color rgb="FF008AEF"/>
      </dataBar>
      <extLst>
        <ext xmlns:x14="http://schemas.microsoft.com/office/spreadsheetml/2009/9/main" uri="{B025F937-C7B1-47D3-B67F-A62EFF666E3E}">
          <x14:id>{1C6A78BC-6AE7-4C1A-8424-64F61296E173}</x14:id>
        </ext>
      </extLst>
    </cfRule>
  </conditionalFormatting>
  <conditionalFormatting sqref="C33:D33">
    <cfRule type="dataBar" priority="13">
      <dataBar>
        <cfvo type="min"/>
        <cfvo type="max"/>
        <color rgb="FF008AEF"/>
      </dataBar>
      <extLst>
        <ext xmlns:x14="http://schemas.microsoft.com/office/spreadsheetml/2009/9/main" uri="{B025F937-C7B1-47D3-B67F-A62EFF666E3E}">
          <x14:id>{3464BBD3-F4AF-4448-8667-4A725B799A78}</x14:id>
        </ext>
      </extLst>
    </cfRule>
  </conditionalFormatting>
  <conditionalFormatting sqref="E3:F29 E30:O33">
    <cfRule type="cellIs" dxfId="17" priority="1" operator="greaterThan">
      <formula>0</formula>
    </cfRule>
  </conditionalFormatting>
  <conditionalFormatting sqref="G6:O29">
    <cfRule type="cellIs" dxfId="16" priority="11" operator="greaterThan">
      <formula>0</formula>
    </cfRule>
  </conditionalFormatting>
  <conditionalFormatting sqref="G3:P5">
    <cfRule type="cellIs" dxfId="15" priority="2" operator="greaterThan">
      <formula>0</formula>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0104B5A5-DBC3-4E37-B5DF-77A28EADD2EF}">
            <x14:dataBar minLength="0" maxLength="100" gradient="0">
              <x14:cfvo type="autoMin"/>
              <x14:cfvo type="autoMax"/>
              <x14:negativeFillColor rgb="FFFF0000"/>
              <x14:axisColor rgb="FF000000"/>
            </x14:dataBar>
          </x14:cfRule>
          <xm:sqref>C3:D3 D4:D5</xm:sqref>
        </x14:conditionalFormatting>
        <x14:conditionalFormatting xmlns:xm="http://schemas.microsoft.com/office/excel/2006/main">
          <x14:cfRule type="dataBar" id="{03DDDA72-1E18-4743-ABAC-FA2390A2E8D3}">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1FBE474B-D64E-4D79-801B-EAC3F38486E1}">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5F50404F-1DE8-455D-911F-46DA0FBBB813}">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8972701D-E271-40CA-AB0F-7DED1E995AEF}">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5836DF86-AE8A-4FEE-94B1-26A53E2D79AD}">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0E480CDF-5581-4267-B535-61FAB6A57AEE}">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81CF5085-2627-4A11-8FE8-969DB0E6E796}">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A87DFBE2-9BBF-4ED3-82DB-E864CDA3B41F}">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9D60C5F8-5EAF-4D74-B16F-06532BFE033D}">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E55884EE-052D-4E98-BC45-FF494B5F5E3F}">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39DFA337-4C9C-4035-A49B-1AC8AAF03082}">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6517D01F-39A1-4EAE-8FAD-545ACE3B2F0F}">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5747902E-ECB8-42A6-B658-CD18E94A62C1}">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A6FBA6E9-3BB6-48D7-9F44-842E364C809B}">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3CA520DF-EB08-42D8-B2F2-3AE369D1ADC2}">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5463DC52-50AE-46BE-895C-92ADE6657D00}">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86314BB0-DF3F-40E8-B32E-437290161296}">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C3F7073A-C6E7-45EF-889F-1B073977A17D}">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02DA09BF-ECA6-4A5C-974C-93B272157C05}">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A59CB290-F011-4F18-870D-713E0085E46F}">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C342A88F-236D-48AF-B713-C5787ABEBF86}">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C15FA5D5-87BB-49C7-962B-991662E15337}">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D11B361C-0C8A-4EE3-AE6A-4314FFE4BABC}">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8D30C640-B303-4CBC-946A-8341AB8C8696}">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DAF15970-F1C3-48AA-BD08-4C80C787360C}">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650EB183-388A-490A-BDD9-71DB3572D4D6}">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0D036E13-B382-4449-BE56-74A64D5B1889}">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13087206-7C5A-4231-95ED-A070A949E321}">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1C6A78BC-6AE7-4C1A-8424-64F61296E173}">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3464BBD3-F4AF-4448-8667-4A725B799A78}">
            <x14:dataBar minLength="0" maxLength="100" gradient="0">
              <x14:cfvo type="autoMin"/>
              <x14:cfvo type="autoMax"/>
              <x14:negativeFillColor rgb="FFFF0000"/>
              <x14:axisColor rgb="FF000000"/>
            </x14:dataBar>
          </x14:cfRule>
          <xm:sqref>C33:D33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P41"/>
  <sheetViews>
    <sheetView zoomScale="80" zoomScaleNormal="80" workbookViewId="0">
      <selection activeCell="J10" sqref="J10"/>
    </sheetView>
  </sheetViews>
  <sheetFormatPr baseColWidth="10" defaultColWidth="11.28515625" defaultRowHeight="15" x14ac:dyDescent="0.25"/>
  <cols>
    <col min="1" max="1" width="6.7109375" style="2" customWidth="1"/>
    <col min="2" max="2" width="88.7109375" style="2" customWidth="1"/>
    <col min="3" max="3" width="11.28515625" style="2"/>
    <col min="4" max="4" width="22.28515625" style="2" customWidth="1"/>
    <col min="5" max="9" width="17.28515625" style="2" customWidth="1"/>
    <col min="10" max="16384" width="11.28515625" style="2"/>
  </cols>
  <sheetData>
    <row r="1" spans="1:16" ht="61.5" customHeight="1" x14ac:dyDescent="0.25">
      <c r="A1" s="51" t="s">
        <v>1</v>
      </c>
      <c r="B1" s="23" t="s">
        <v>33</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3" customFormat="1" ht="15.75" thickBot="1" x14ac:dyDescent="0.3">
      <c r="A2" s="52"/>
      <c r="B2" s="23"/>
      <c r="C2" s="25">
        <v>2026</v>
      </c>
      <c r="D2" s="25" t="s">
        <v>16</v>
      </c>
      <c r="E2" s="26"/>
      <c r="F2" s="26"/>
      <c r="G2" s="26"/>
      <c r="H2" s="26"/>
      <c r="I2" s="26"/>
      <c r="J2" s="26"/>
      <c r="K2" s="26"/>
      <c r="L2" s="26"/>
      <c r="M2" s="26"/>
      <c r="N2" s="26"/>
      <c r="O2" s="26"/>
      <c r="P2" s="26"/>
    </row>
    <row r="3" spans="1:16" ht="81" customHeight="1" x14ac:dyDescent="0.25">
      <c r="A3" s="43" t="s">
        <v>18</v>
      </c>
      <c r="B3" s="12" t="s">
        <v>34</v>
      </c>
      <c r="C3" s="28">
        <v>1</v>
      </c>
      <c r="D3" s="29">
        <f t="shared" ref="D3:D10" si="0">SUM(E3:P3)</f>
        <v>1</v>
      </c>
      <c r="E3" s="30"/>
      <c r="F3" s="30"/>
      <c r="G3" s="30"/>
      <c r="H3" s="30"/>
      <c r="I3" s="30"/>
      <c r="J3" s="30">
        <v>1</v>
      </c>
      <c r="K3" s="30"/>
      <c r="L3" s="30"/>
      <c r="M3" s="30"/>
      <c r="N3" s="30"/>
      <c r="O3" s="30"/>
      <c r="P3" s="30"/>
    </row>
    <row r="4" spans="1:16" ht="81" customHeight="1" x14ac:dyDescent="0.25">
      <c r="A4" s="44" t="s">
        <v>20</v>
      </c>
      <c r="B4" s="13" t="s">
        <v>19</v>
      </c>
      <c r="C4" s="32">
        <v>2</v>
      </c>
      <c r="D4" s="29">
        <f t="shared" si="0"/>
        <v>0</v>
      </c>
      <c r="E4" s="30">
        <v>0</v>
      </c>
      <c r="F4" s="30">
        <v>0</v>
      </c>
      <c r="G4" s="30">
        <v>0</v>
      </c>
      <c r="H4" s="30">
        <v>0</v>
      </c>
      <c r="I4" s="30"/>
      <c r="J4" s="30"/>
      <c r="K4" s="30"/>
      <c r="L4" s="30"/>
      <c r="M4" s="30"/>
      <c r="N4" s="30"/>
      <c r="O4" s="30"/>
      <c r="P4" s="30"/>
    </row>
    <row r="5" spans="1:16" ht="81" customHeight="1" x14ac:dyDescent="0.25">
      <c r="A5" s="45" t="s">
        <v>22</v>
      </c>
      <c r="B5" s="6" t="s">
        <v>35</v>
      </c>
      <c r="C5" s="33">
        <v>2</v>
      </c>
      <c r="D5" s="29">
        <f t="shared" si="0"/>
        <v>2</v>
      </c>
      <c r="E5" s="30">
        <v>0</v>
      </c>
      <c r="F5" s="30">
        <v>0</v>
      </c>
      <c r="G5" s="30">
        <v>0</v>
      </c>
      <c r="H5" s="30">
        <v>1</v>
      </c>
      <c r="I5" s="30"/>
      <c r="J5" s="30">
        <v>1</v>
      </c>
      <c r="K5" s="30"/>
      <c r="L5" s="30"/>
      <c r="M5" s="30"/>
      <c r="N5" s="30"/>
      <c r="O5" s="30"/>
      <c r="P5" s="30"/>
    </row>
    <row r="6" spans="1:16" ht="81" customHeight="1" x14ac:dyDescent="0.25">
      <c r="A6" s="43" t="s">
        <v>18</v>
      </c>
      <c r="B6" s="12" t="s">
        <v>36</v>
      </c>
      <c r="C6" s="35">
        <v>2</v>
      </c>
      <c r="D6" s="29">
        <f t="shared" si="0"/>
        <v>2</v>
      </c>
      <c r="E6" s="30">
        <v>1</v>
      </c>
      <c r="F6" s="30"/>
      <c r="G6" s="30"/>
      <c r="H6" s="30">
        <v>1</v>
      </c>
      <c r="I6" s="30"/>
      <c r="J6" s="30"/>
      <c r="K6" s="30"/>
      <c r="L6" s="30"/>
      <c r="M6" s="30"/>
      <c r="N6" s="30"/>
      <c r="O6" s="30"/>
      <c r="P6" s="30"/>
    </row>
    <row r="7" spans="1:16" ht="81" customHeight="1" x14ac:dyDescent="0.25">
      <c r="A7" s="43" t="s">
        <v>18</v>
      </c>
      <c r="B7" s="12" t="s">
        <v>37</v>
      </c>
      <c r="C7" s="35">
        <v>2</v>
      </c>
      <c r="D7" s="29">
        <f t="shared" si="0"/>
        <v>2</v>
      </c>
      <c r="E7" s="30">
        <v>1</v>
      </c>
      <c r="F7" s="30"/>
      <c r="G7" s="30"/>
      <c r="H7" s="30">
        <v>1</v>
      </c>
      <c r="I7" s="30"/>
      <c r="J7" s="30"/>
      <c r="K7" s="30"/>
      <c r="L7" s="30"/>
      <c r="M7" s="30"/>
      <c r="N7" s="30"/>
      <c r="O7" s="30"/>
      <c r="P7" s="30"/>
    </row>
    <row r="8" spans="1:16" ht="81" customHeight="1" x14ac:dyDescent="0.25">
      <c r="A8" s="43" t="s">
        <v>18</v>
      </c>
      <c r="B8" s="12" t="s">
        <v>38</v>
      </c>
      <c r="C8" s="35">
        <v>1</v>
      </c>
      <c r="D8" s="29">
        <f t="shared" si="0"/>
        <v>1</v>
      </c>
      <c r="E8" s="30">
        <v>1</v>
      </c>
      <c r="F8" s="30"/>
      <c r="G8" s="30"/>
      <c r="H8" s="30"/>
      <c r="I8" s="30"/>
      <c r="J8" s="30"/>
      <c r="K8" s="30"/>
      <c r="L8" s="30"/>
      <c r="M8" s="30"/>
      <c r="N8" s="30"/>
      <c r="O8" s="30"/>
      <c r="P8" s="30"/>
    </row>
    <row r="9" spans="1:16" ht="81" customHeight="1" x14ac:dyDescent="0.25">
      <c r="A9" s="43" t="s">
        <v>18</v>
      </c>
      <c r="B9" s="12" t="s">
        <v>23</v>
      </c>
      <c r="C9" s="35">
        <v>2</v>
      </c>
      <c r="D9" s="29">
        <f t="shared" si="0"/>
        <v>2</v>
      </c>
      <c r="E9" s="30">
        <v>1</v>
      </c>
      <c r="F9" s="30"/>
      <c r="G9" s="30"/>
      <c r="H9" s="30">
        <v>1</v>
      </c>
      <c r="I9" s="30"/>
      <c r="J9" s="30"/>
      <c r="K9" s="30"/>
      <c r="L9" s="30"/>
      <c r="M9" s="30"/>
      <c r="N9" s="30"/>
      <c r="O9" s="30"/>
      <c r="P9" s="30"/>
    </row>
    <row r="10" spans="1:16" ht="81" customHeight="1" x14ac:dyDescent="0.25">
      <c r="A10" s="43" t="s">
        <v>18</v>
      </c>
      <c r="B10" s="12" t="s">
        <v>39</v>
      </c>
      <c r="C10" s="35">
        <v>1</v>
      </c>
      <c r="D10" s="29">
        <f t="shared" si="0"/>
        <v>2</v>
      </c>
      <c r="E10" s="30">
        <v>1</v>
      </c>
      <c r="F10" s="30"/>
      <c r="G10" s="30"/>
      <c r="H10" s="30">
        <v>1</v>
      </c>
      <c r="I10" s="30"/>
      <c r="J10" s="30"/>
      <c r="K10" s="30"/>
      <c r="L10" s="30"/>
      <c r="M10" s="30"/>
      <c r="N10" s="30"/>
      <c r="O10" s="30"/>
      <c r="P10" s="30"/>
    </row>
    <row r="11" spans="1:16" ht="81" customHeight="1" x14ac:dyDescent="0.25">
      <c r="A11" s="43" t="s">
        <v>18</v>
      </c>
      <c r="B11" s="14" t="s">
        <v>40</v>
      </c>
      <c r="C11" s="35">
        <v>1</v>
      </c>
      <c r="D11" s="29">
        <f>SUM(E11:P11)</f>
        <v>1</v>
      </c>
      <c r="E11" s="30">
        <v>1</v>
      </c>
      <c r="F11" s="30"/>
      <c r="G11" s="30"/>
      <c r="H11" s="30"/>
      <c r="I11" s="30"/>
      <c r="J11" s="30"/>
      <c r="K11" s="30"/>
      <c r="L11" s="30"/>
      <c r="M11" s="30"/>
      <c r="N11" s="30"/>
      <c r="O11" s="30"/>
      <c r="P11" s="30"/>
    </row>
    <row r="12" spans="1:16" ht="28.5" customHeight="1" x14ac:dyDescent="0.25">
      <c r="A12" s="53" t="s">
        <v>70</v>
      </c>
      <c r="B12" s="36" t="s">
        <v>71</v>
      </c>
      <c r="C12" s="35">
        <v>1</v>
      </c>
      <c r="D12" s="29">
        <f t="shared" ref="D12:D39" si="1">SUM(E12:O12)</f>
        <v>0</v>
      </c>
      <c r="E12" s="30"/>
      <c r="F12" s="30"/>
      <c r="G12" s="30"/>
      <c r="H12" s="30"/>
      <c r="I12" s="30"/>
      <c r="J12" s="30"/>
      <c r="K12" s="30"/>
      <c r="L12" s="30"/>
      <c r="M12" s="30"/>
      <c r="N12" s="30"/>
      <c r="O12" s="30"/>
      <c r="P12" s="37"/>
    </row>
    <row r="13" spans="1:16" ht="28.5" customHeight="1" x14ac:dyDescent="0.25">
      <c r="A13" s="54"/>
      <c r="B13" s="36" t="s">
        <v>72</v>
      </c>
      <c r="C13" s="35">
        <v>1</v>
      </c>
      <c r="D13" s="29">
        <f t="shared" si="1"/>
        <v>0</v>
      </c>
      <c r="E13" s="30"/>
      <c r="F13" s="30"/>
      <c r="G13" s="30"/>
      <c r="H13" s="30"/>
      <c r="I13" s="30"/>
      <c r="J13" s="30"/>
      <c r="K13" s="30"/>
      <c r="L13" s="30"/>
      <c r="M13" s="30"/>
      <c r="N13" s="30"/>
      <c r="O13" s="30"/>
      <c r="P13" s="37"/>
    </row>
    <row r="14" spans="1:16" ht="28.5" customHeight="1" x14ac:dyDescent="0.25">
      <c r="A14" s="54"/>
      <c r="B14" s="36" t="s">
        <v>73</v>
      </c>
      <c r="C14" s="35">
        <v>20</v>
      </c>
      <c r="D14" s="29">
        <f t="shared" si="1"/>
        <v>6</v>
      </c>
      <c r="E14" s="30">
        <v>1</v>
      </c>
      <c r="F14" s="30">
        <v>2</v>
      </c>
      <c r="G14" s="30"/>
      <c r="H14" s="30">
        <v>1</v>
      </c>
      <c r="I14" s="30">
        <v>2</v>
      </c>
      <c r="J14" s="30"/>
      <c r="K14" s="30"/>
      <c r="L14" s="30"/>
      <c r="M14" s="30"/>
      <c r="N14" s="30"/>
      <c r="O14" s="30"/>
      <c r="P14" s="37"/>
    </row>
    <row r="15" spans="1:16" ht="28.5" customHeight="1" x14ac:dyDescent="0.25">
      <c r="A15" s="54"/>
      <c r="B15" s="36" t="s">
        <v>74</v>
      </c>
      <c r="C15" s="35">
        <v>156</v>
      </c>
      <c r="D15" s="29">
        <f t="shared" si="1"/>
        <v>38</v>
      </c>
      <c r="E15" s="30"/>
      <c r="F15" s="30"/>
      <c r="G15" s="30">
        <v>38</v>
      </c>
      <c r="H15" s="30"/>
      <c r="I15" s="30"/>
      <c r="J15" s="30"/>
      <c r="K15" s="30"/>
      <c r="L15" s="30"/>
      <c r="M15" s="30"/>
      <c r="N15" s="30"/>
      <c r="O15" s="30"/>
      <c r="P15" s="37"/>
    </row>
    <row r="16" spans="1:16" ht="28.5" customHeight="1" x14ac:dyDescent="0.25">
      <c r="A16" s="54"/>
      <c r="B16" s="36" t="s">
        <v>75</v>
      </c>
      <c r="C16" s="35">
        <v>0</v>
      </c>
      <c r="D16" s="29">
        <f t="shared" si="1"/>
        <v>0</v>
      </c>
      <c r="E16" s="30"/>
      <c r="F16" s="30"/>
      <c r="G16" s="30"/>
      <c r="H16" s="30"/>
      <c r="I16" s="30"/>
      <c r="J16" s="30"/>
      <c r="K16" s="30"/>
      <c r="L16" s="30"/>
      <c r="M16" s="30"/>
      <c r="N16" s="30"/>
      <c r="O16" s="30"/>
      <c r="P16" s="37"/>
    </row>
    <row r="17" spans="1:16" ht="28.5" customHeight="1" x14ac:dyDescent="0.25">
      <c r="A17" s="54"/>
      <c r="B17" s="36" t="s">
        <v>76</v>
      </c>
      <c r="C17" s="35">
        <v>30</v>
      </c>
      <c r="D17" s="29">
        <f t="shared" si="1"/>
        <v>0</v>
      </c>
      <c r="E17" s="30"/>
      <c r="F17" s="30"/>
      <c r="G17" s="30"/>
      <c r="H17" s="30"/>
      <c r="I17" s="30"/>
      <c r="J17" s="30"/>
      <c r="K17" s="30"/>
      <c r="L17" s="30"/>
      <c r="M17" s="30"/>
      <c r="N17" s="30"/>
      <c r="O17" s="30"/>
      <c r="P17" s="37"/>
    </row>
    <row r="18" spans="1:16" ht="28.5" customHeight="1" x14ac:dyDescent="0.25">
      <c r="A18" s="54"/>
      <c r="B18" s="36" t="s">
        <v>77</v>
      </c>
      <c r="C18" s="35">
        <v>0</v>
      </c>
      <c r="D18" s="29">
        <f t="shared" si="1"/>
        <v>0</v>
      </c>
      <c r="E18" s="30"/>
      <c r="F18" s="30"/>
      <c r="G18" s="30"/>
      <c r="H18" s="30"/>
      <c r="I18" s="30"/>
      <c r="J18" s="30"/>
      <c r="K18" s="30"/>
      <c r="L18" s="30"/>
      <c r="M18" s="30"/>
      <c r="N18" s="30"/>
      <c r="O18" s="30"/>
      <c r="P18" s="37"/>
    </row>
    <row r="19" spans="1:16" ht="28.5" customHeight="1" x14ac:dyDescent="0.25">
      <c r="A19" s="54"/>
      <c r="B19" s="36" t="s">
        <v>78</v>
      </c>
      <c r="C19" s="35">
        <v>0</v>
      </c>
      <c r="D19" s="29">
        <f t="shared" si="1"/>
        <v>0</v>
      </c>
      <c r="E19" s="30"/>
      <c r="F19" s="30"/>
      <c r="G19" s="30"/>
      <c r="H19" s="30"/>
      <c r="I19" s="30"/>
      <c r="J19" s="30"/>
      <c r="K19" s="30"/>
      <c r="L19" s="30"/>
      <c r="M19" s="30"/>
      <c r="N19" s="30"/>
      <c r="O19" s="30"/>
      <c r="P19" s="37"/>
    </row>
    <row r="20" spans="1:16" ht="28.5" customHeight="1" x14ac:dyDescent="0.25">
      <c r="A20" s="54"/>
      <c r="B20" s="36" t="s">
        <v>79</v>
      </c>
      <c r="C20" s="35">
        <v>0</v>
      </c>
      <c r="D20" s="29">
        <f t="shared" si="1"/>
        <v>0</v>
      </c>
      <c r="E20" s="30"/>
      <c r="F20" s="30"/>
      <c r="G20" s="30"/>
      <c r="H20" s="30"/>
      <c r="I20" s="30"/>
      <c r="J20" s="30"/>
      <c r="K20" s="30"/>
      <c r="L20" s="30"/>
      <c r="M20" s="30"/>
      <c r="N20" s="30"/>
      <c r="O20" s="30"/>
      <c r="P20" s="37"/>
    </row>
    <row r="21" spans="1:16" ht="28.5" customHeight="1" x14ac:dyDescent="0.25">
      <c r="A21" s="54"/>
      <c r="B21" s="36" t="s">
        <v>80</v>
      </c>
      <c r="C21" s="35">
        <v>0</v>
      </c>
      <c r="D21" s="29">
        <f t="shared" si="1"/>
        <v>0</v>
      </c>
      <c r="E21" s="30"/>
      <c r="F21" s="30"/>
      <c r="G21" s="30"/>
      <c r="H21" s="30"/>
      <c r="I21" s="30"/>
      <c r="J21" s="30"/>
      <c r="K21" s="30"/>
      <c r="L21" s="30"/>
      <c r="M21" s="30"/>
      <c r="N21" s="30"/>
      <c r="O21" s="30"/>
      <c r="P21" s="37"/>
    </row>
    <row r="22" spans="1:16" ht="28.5" customHeight="1" x14ac:dyDescent="0.25">
      <c r="A22" s="54"/>
      <c r="B22" s="36" t="s">
        <v>81</v>
      </c>
      <c r="C22" s="35">
        <v>0</v>
      </c>
      <c r="D22" s="29">
        <f t="shared" si="1"/>
        <v>0</v>
      </c>
      <c r="E22" s="30"/>
      <c r="F22" s="30"/>
      <c r="G22" s="30"/>
      <c r="H22" s="30"/>
      <c r="I22" s="30"/>
      <c r="J22" s="30"/>
      <c r="K22" s="30"/>
      <c r="L22" s="30"/>
      <c r="M22" s="30"/>
      <c r="N22" s="30"/>
      <c r="O22" s="30"/>
      <c r="P22" s="37"/>
    </row>
    <row r="23" spans="1:16" ht="28.5" customHeight="1" x14ac:dyDescent="0.25">
      <c r="A23" s="54"/>
      <c r="B23" s="36" t="s">
        <v>82</v>
      </c>
      <c r="C23" s="35">
        <v>0</v>
      </c>
      <c r="D23" s="29">
        <f t="shared" si="1"/>
        <v>0</v>
      </c>
      <c r="E23" s="30"/>
      <c r="F23" s="30"/>
      <c r="G23" s="30"/>
      <c r="H23" s="30"/>
      <c r="I23" s="30"/>
      <c r="J23" s="30"/>
      <c r="K23" s="30"/>
      <c r="L23" s="30"/>
      <c r="M23" s="30"/>
      <c r="N23" s="30"/>
      <c r="O23" s="30"/>
      <c r="P23" s="37"/>
    </row>
    <row r="24" spans="1:16" ht="28.5" customHeight="1" x14ac:dyDescent="0.25">
      <c r="A24" s="54"/>
      <c r="B24" s="36" t="s">
        <v>83</v>
      </c>
      <c r="C24" s="35">
        <v>0</v>
      </c>
      <c r="D24" s="29">
        <f t="shared" si="1"/>
        <v>0</v>
      </c>
      <c r="E24" s="30"/>
      <c r="F24" s="30"/>
      <c r="G24" s="30"/>
      <c r="H24" s="30"/>
      <c r="I24" s="30"/>
      <c r="J24" s="30"/>
      <c r="K24" s="30"/>
      <c r="L24" s="30"/>
      <c r="M24" s="30"/>
      <c r="N24" s="30"/>
      <c r="O24" s="30"/>
      <c r="P24" s="37"/>
    </row>
    <row r="25" spans="1:16" ht="28.5" customHeight="1" x14ac:dyDescent="0.25">
      <c r="A25" s="54"/>
      <c r="B25" s="36" t="s">
        <v>84</v>
      </c>
      <c r="C25" s="35">
        <v>0</v>
      </c>
      <c r="D25" s="29">
        <f t="shared" si="1"/>
        <v>0</v>
      </c>
      <c r="E25" s="30"/>
      <c r="F25" s="30"/>
      <c r="G25" s="30"/>
      <c r="H25" s="30"/>
      <c r="I25" s="30"/>
      <c r="J25" s="30"/>
      <c r="K25" s="30"/>
      <c r="L25" s="30"/>
      <c r="M25" s="30"/>
      <c r="N25" s="30"/>
      <c r="O25" s="30"/>
      <c r="P25" s="37"/>
    </row>
    <row r="26" spans="1:16" ht="28.5" customHeight="1" x14ac:dyDescent="0.25">
      <c r="A26" s="54"/>
      <c r="B26" s="36" t="s">
        <v>85</v>
      </c>
      <c r="C26" s="35">
        <v>136</v>
      </c>
      <c r="D26" s="29">
        <f t="shared" si="1"/>
        <v>66</v>
      </c>
      <c r="E26" s="30">
        <v>33</v>
      </c>
      <c r="F26" s="30"/>
      <c r="G26" s="30"/>
      <c r="H26" s="30">
        <v>33</v>
      </c>
      <c r="I26" s="30"/>
      <c r="J26" s="30"/>
      <c r="K26" s="30"/>
      <c r="L26" s="30"/>
      <c r="M26" s="30"/>
      <c r="N26" s="30"/>
      <c r="O26" s="30"/>
      <c r="P26" s="37"/>
    </row>
    <row r="27" spans="1:16" ht="28.5" customHeight="1" x14ac:dyDescent="0.25">
      <c r="A27" s="54"/>
      <c r="B27" s="36" t="s">
        <v>86</v>
      </c>
      <c r="C27" s="35">
        <v>0</v>
      </c>
      <c r="D27" s="29">
        <f t="shared" si="1"/>
        <v>0</v>
      </c>
      <c r="E27" s="30"/>
      <c r="F27" s="30"/>
      <c r="G27" s="30"/>
      <c r="H27" s="30"/>
      <c r="I27" s="30"/>
      <c r="J27" s="30"/>
      <c r="K27" s="30"/>
      <c r="L27" s="30"/>
      <c r="M27" s="30"/>
      <c r="N27" s="30"/>
      <c r="O27" s="30"/>
      <c r="P27" s="37"/>
    </row>
    <row r="28" spans="1:16" ht="24" customHeight="1" x14ac:dyDescent="0.25">
      <c r="A28" s="54"/>
      <c r="B28" s="38" t="s">
        <v>87</v>
      </c>
      <c r="C28" s="35">
        <v>4</v>
      </c>
      <c r="D28" s="29">
        <f t="shared" si="1"/>
        <v>4</v>
      </c>
      <c r="E28" s="30"/>
      <c r="F28" s="30">
        <v>2</v>
      </c>
      <c r="G28" s="30"/>
      <c r="H28" s="30">
        <v>2</v>
      </c>
      <c r="I28" s="30"/>
      <c r="J28" s="30"/>
      <c r="K28" s="30"/>
      <c r="L28" s="30"/>
      <c r="M28" s="30"/>
      <c r="N28" s="30"/>
      <c r="O28" s="30"/>
      <c r="P28" s="37"/>
    </row>
    <row r="29" spans="1:16" ht="24" customHeight="1" x14ac:dyDescent="0.25">
      <c r="A29" s="54"/>
      <c r="B29" s="38" t="s">
        <v>88</v>
      </c>
      <c r="C29" s="35">
        <v>4</v>
      </c>
      <c r="D29" s="29">
        <f t="shared" si="1"/>
        <v>2</v>
      </c>
      <c r="E29" s="30"/>
      <c r="F29" s="30"/>
      <c r="G29" s="30"/>
      <c r="H29" s="30">
        <v>2</v>
      </c>
      <c r="I29" s="30"/>
      <c r="J29" s="30"/>
      <c r="K29" s="30"/>
      <c r="L29" s="30"/>
      <c r="M29" s="30"/>
      <c r="N29" s="30"/>
      <c r="O29" s="30"/>
      <c r="P29" s="37"/>
    </row>
    <row r="30" spans="1:16" ht="24" customHeight="1" x14ac:dyDescent="0.25">
      <c r="A30" s="54"/>
      <c r="B30" s="38" t="s">
        <v>89</v>
      </c>
      <c r="C30" s="35">
        <v>4</v>
      </c>
      <c r="D30" s="29">
        <f t="shared" si="1"/>
        <v>2</v>
      </c>
      <c r="E30" s="30"/>
      <c r="F30" s="30"/>
      <c r="G30" s="30"/>
      <c r="H30" s="30">
        <v>2</v>
      </c>
      <c r="I30" s="30"/>
      <c r="J30" s="30"/>
      <c r="K30" s="30"/>
      <c r="L30" s="30"/>
      <c r="M30" s="30"/>
      <c r="N30" s="30"/>
      <c r="O30" s="30"/>
      <c r="P30" s="37"/>
    </row>
    <row r="31" spans="1:16" ht="24" customHeight="1" x14ac:dyDescent="0.25">
      <c r="A31" s="54"/>
      <c r="B31" s="38" t="s">
        <v>90</v>
      </c>
      <c r="C31" s="35">
        <v>4</v>
      </c>
      <c r="D31" s="29">
        <f t="shared" si="1"/>
        <v>1</v>
      </c>
      <c r="E31" s="30"/>
      <c r="F31" s="30"/>
      <c r="G31" s="30"/>
      <c r="H31" s="30"/>
      <c r="I31" s="30">
        <v>1</v>
      </c>
      <c r="J31" s="30"/>
      <c r="K31" s="30"/>
      <c r="L31" s="30"/>
      <c r="M31" s="30"/>
      <c r="N31" s="30"/>
      <c r="O31" s="30"/>
      <c r="P31" s="37"/>
    </row>
    <row r="32" spans="1:16" ht="24" customHeight="1" x14ac:dyDescent="0.25">
      <c r="A32" s="54"/>
      <c r="B32" s="38" t="s">
        <v>91</v>
      </c>
      <c r="C32" s="35">
        <v>4</v>
      </c>
      <c r="D32" s="29">
        <f t="shared" si="1"/>
        <v>0</v>
      </c>
      <c r="E32" s="30"/>
      <c r="F32" s="30"/>
      <c r="G32" s="30"/>
      <c r="H32" s="30"/>
      <c r="I32" s="30"/>
      <c r="J32" s="30"/>
      <c r="K32" s="30"/>
      <c r="L32" s="30"/>
      <c r="M32" s="30"/>
      <c r="N32" s="30"/>
      <c r="O32" s="30"/>
      <c r="P32" s="37"/>
    </row>
    <row r="33" spans="1:16" ht="24" customHeight="1" x14ac:dyDescent="0.25">
      <c r="A33" s="54"/>
      <c r="B33" s="38" t="s">
        <v>92</v>
      </c>
      <c r="C33" s="35">
        <v>1</v>
      </c>
      <c r="D33" s="29">
        <f t="shared" si="1"/>
        <v>0</v>
      </c>
      <c r="E33" s="30"/>
      <c r="F33" s="30"/>
      <c r="G33" s="30"/>
      <c r="H33" s="30"/>
      <c r="I33" s="30"/>
      <c r="J33" s="30"/>
      <c r="K33" s="30"/>
      <c r="L33" s="30"/>
      <c r="M33" s="30"/>
      <c r="N33" s="30"/>
      <c r="O33" s="30"/>
      <c r="P33" s="37"/>
    </row>
    <row r="34" spans="1:16" ht="24" customHeight="1" x14ac:dyDescent="0.25">
      <c r="A34" s="54"/>
      <c r="B34" s="38" t="s">
        <v>93</v>
      </c>
      <c r="C34" s="35">
        <v>1</v>
      </c>
      <c r="D34" s="29">
        <f t="shared" si="1"/>
        <v>0</v>
      </c>
      <c r="E34" s="30"/>
      <c r="F34" s="30"/>
      <c r="G34" s="30"/>
      <c r="H34" s="30"/>
      <c r="I34" s="30"/>
      <c r="J34" s="30"/>
      <c r="K34" s="30"/>
      <c r="L34" s="30"/>
      <c r="M34" s="30"/>
      <c r="N34" s="30"/>
      <c r="O34" s="30"/>
      <c r="P34" s="37"/>
    </row>
    <row r="35" spans="1:16" ht="24" customHeight="1" x14ac:dyDescent="0.25">
      <c r="A35" s="54"/>
      <c r="B35" s="38" t="s">
        <v>94</v>
      </c>
      <c r="C35" s="35">
        <v>1</v>
      </c>
      <c r="D35" s="29">
        <f t="shared" si="1"/>
        <v>0</v>
      </c>
      <c r="E35" s="30"/>
      <c r="F35" s="30"/>
      <c r="G35" s="30"/>
      <c r="H35" s="30"/>
      <c r="I35" s="30"/>
      <c r="J35" s="30"/>
      <c r="K35" s="30"/>
      <c r="L35" s="30"/>
      <c r="M35" s="30"/>
      <c r="N35" s="30"/>
      <c r="O35" s="30"/>
      <c r="P35" s="37"/>
    </row>
    <row r="36" spans="1:16" ht="24" customHeight="1" x14ac:dyDescent="0.25">
      <c r="A36" s="54"/>
      <c r="B36" s="38" t="s">
        <v>95</v>
      </c>
      <c r="C36" s="35">
        <v>1</v>
      </c>
      <c r="D36" s="29">
        <f t="shared" si="1"/>
        <v>0</v>
      </c>
      <c r="E36" s="30"/>
      <c r="F36" s="30"/>
      <c r="G36" s="30"/>
      <c r="H36" s="30"/>
      <c r="I36" s="30"/>
      <c r="J36" s="30"/>
      <c r="K36" s="30"/>
      <c r="L36" s="30"/>
      <c r="M36" s="30"/>
      <c r="N36" s="30"/>
      <c r="O36" s="30"/>
      <c r="P36" s="37"/>
    </row>
    <row r="37" spans="1:16" ht="24" customHeight="1" x14ac:dyDescent="0.25">
      <c r="A37" s="54"/>
      <c r="B37" s="38" t="s">
        <v>96</v>
      </c>
      <c r="C37" s="35">
        <v>1</v>
      </c>
      <c r="D37" s="29">
        <f t="shared" si="1"/>
        <v>0</v>
      </c>
      <c r="E37" s="30"/>
      <c r="F37" s="30"/>
      <c r="G37" s="30"/>
      <c r="H37" s="30"/>
      <c r="I37" s="30"/>
      <c r="J37" s="30"/>
      <c r="K37" s="30"/>
      <c r="L37" s="30"/>
      <c r="M37" s="30"/>
      <c r="N37" s="30"/>
      <c r="O37" s="30"/>
      <c r="P37" s="37"/>
    </row>
    <row r="38" spans="1:16" ht="24" customHeight="1" x14ac:dyDescent="0.25">
      <c r="A38" s="54"/>
      <c r="B38" s="38" t="s">
        <v>97</v>
      </c>
      <c r="C38" s="35">
        <v>1</v>
      </c>
      <c r="D38" s="29">
        <f t="shared" si="1"/>
        <v>0</v>
      </c>
      <c r="E38" s="30"/>
      <c r="F38" s="30"/>
      <c r="G38" s="30"/>
      <c r="H38" s="30"/>
      <c r="I38" s="30"/>
      <c r="J38" s="30"/>
      <c r="K38" s="30"/>
      <c r="L38" s="30"/>
      <c r="M38" s="30"/>
      <c r="N38" s="30"/>
      <c r="O38" s="30"/>
      <c r="P38" s="37"/>
    </row>
    <row r="39" spans="1:16" ht="24" customHeight="1" thickBot="1" x14ac:dyDescent="0.3">
      <c r="A39" s="55"/>
      <c r="B39" s="39" t="s">
        <v>98</v>
      </c>
      <c r="C39" s="35">
        <v>1</v>
      </c>
      <c r="D39" s="29">
        <f t="shared" si="1"/>
        <v>0</v>
      </c>
      <c r="E39" s="30"/>
      <c r="F39" s="30"/>
      <c r="G39" s="30"/>
      <c r="H39" s="30"/>
      <c r="I39" s="30"/>
      <c r="J39" s="30"/>
      <c r="K39" s="30"/>
      <c r="L39" s="30"/>
      <c r="M39" s="30"/>
      <c r="N39" s="30"/>
      <c r="O39" s="30"/>
      <c r="P39" s="37"/>
    </row>
    <row r="40" spans="1:16" x14ac:dyDescent="0.25">
      <c r="C40" s="40">
        <f>SUM(C3:C39)</f>
        <v>385</v>
      </c>
      <c r="D40" s="41">
        <f>SUM(D3:D39)</f>
        <v>132</v>
      </c>
    </row>
    <row r="41" spans="1:16" x14ac:dyDescent="0.25">
      <c r="C41" s="8"/>
      <c r="D41" s="42">
        <f>D40/C40</f>
        <v>0.34285714285714286</v>
      </c>
    </row>
  </sheetData>
  <sheetProtection algorithmName="SHA-512" hashValue="KZJ3Uh01XBv9oqtf1NN28H/6lMfDPCna8C9y2V2btjZY0ND+3+3YdHe0eNNJMnr9ePGysZukhgODIUNcWiUcog==" saltValue="Z6gdQ3oX19kq9PGKMdiRZQ==" spinCount="100000" sheet="1" objects="1" scenarios="1" autoFilter="0"/>
  <mergeCells count="2">
    <mergeCell ref="A1:A2"/>
    <mergeCell ref="A12:A39"/>
  </mergeCells>
  <conditionalFormatting sqref="C4:D4">
    <cfRule type="dataBar" priority="8">
      <dataBar>
        <cfvo type="min"/>
        <cfvo type="max"/>
        <color rgb="FF008AEF"/>
      </dataBar>
      <extLst>
        <ext xmlns:x14="http://schemas.microsoft.com/office/spreadsheetml/2009/9/main" uri="{B025F937-C7B1-47D3-B67F-A62EFF666E3E}">
          <x14:id>{55BFF845-93C4-47A5-85FD-D9D9408AD203}</x14:id>
        </ext>
      </extLst>
    </cfRule>
  </conditionalFormatting>
  <conditionalFormatting sqref="C5:D5">
    <cfRule type="dataBar" priority="9">
      <dataBar>
        <cfvo type="min"/>
        <cfvo type="max"/>
        <color rgb="FF008AEF"/>
      </dataBar>
      <extLst>
        <ext xmlns:x14="http://schemas.microsoft.com/office/spreadsheetml/2009/9/main" uri="{B025F937-C7B1-47D3-B67F-A62EFF666E3E}">
          <x14:id>{DEDCB179-7A8A-4845-B1C9-341C80FD1F81}</x14:id>
        </ext>
      </extLst>
    </cfRule>
  </conditionalFormatting>
  <conditionalFormatting sqref="C6:D6">
    <cfRule type="dataBar" priority="10">
      <dataBar>
        <cfvo type="min"/>
        <cfvo type="max"/>
        <color rgb="FF008AEF"/>
      </dataBar>
      <extLst>
        <ext xmlns:x14="http://schemas.microsoft.com/office/spreadsheetml/2009/9/main" uri="{B025F937-C7B1-47D3-B67F-A62EFF666E3E}">
          <x14:id>{D935C207-3EDA-4B35-BB36-3F8F699B2471}</x14:id>
        </ext>
      </extLst>
    </cfRule>
  </conditionalFormatting>
  <conditionalFormatting sqref="C7:D7">
    <cfRule type="dataBar" priority="11">
      <dataBar>
        <cfvo type="min"/>
        <cfvo type="max"/>
        <color rgb="FF008AEF"/>
      </dataBar>
      <extLst>
        <ext xmlns:x14="http://schemas.microsoft.com/office/spreadsheetml/2009/9/main" uri="{B025F937-C7B1-47D3-B67F-A62EFF666E3E}">
          <x14:id>{0F5E5748-8483-43F2-B086-519FE3C324B4}</x14:id>
        </ext>
      </extLst>
    </cfRule>
  </conditionalFormatting>
  <conditionalFormatting sqref="C8:D8">
    <cfRule type="dataBar" priority="12">
      <dataBar>
        <cfvo type="min"/>
        <cfvo type="max"/>
        <color rgb="FF008AEF"/>
      </dataBar>
      <extLst>
        <ext xmlns:x14="http://schemas.microsoft.com/office/spreadsheetml/2009/9/main" uri="{B025F937-C7B1-47D3-B67F-A62EFF666E3E}">
          <x14:id>{AB352F0A-49D4-4BAA-B3F2-838927151860}</x14:id>
        </ext>
      </extLst>
    </cfRule>
  </conditionalFormatting>
  <conditionalFormatting sqref="C9:D9">
    <cfRule type="dataBar" priority="2">
      <dataBar>
        <cfvo type="min"/>
        <cfvo type="max"/>
        <color rgb="FF008AEF"/>
      </dataBar>
      <extLst>
        <ext xmlns:x14="http://schemas.microsoft.com/office/spreadsheetml/2009/9/main" uri="{B025F937-C7B1-47D3-B67F-A62EFF666E3E}">
          <x14:id>{C53471F9-DCDF-4665-8940-4B27B83FFAE2}</x14:id>
        </ext>
      </extLst>
    </cfRule>
  </conditionalFormatting>
  <conditionalFormatting sqref="C10:D10">
    <cfRule type="dataBar" priority="1">
      <dataBar>
        <cfvo type="min"/>
        <cfvo type="max"/>
        <color rgb="FF008AEF"/>
      </dataBar>
      <extLst>
        <ext xmlns:x14="http://schemas.microsoft.com/office/spreadsheetml/2009/9/main" uri="{B025F937-C7B1-47D3-B67F-A62EFF666E3E}">
          <x14:id>{195B8237-015F-4852-911D-795149D9F255}</x14:id>
        </ext>
      </extLst>
    </cfRule>
  </conditionalFormatting>
  <conditionalFormatting sqref="C11:D11">
    <cfRule type="dataBar" priority="3">
      <dataBar>
        <cfvo type="min"/>
        <cfvo type="max"/>
        <color rgb="FF008AEF"/>
      </dataBar>
      <extLst>
        <ext xmlns:x14="http://schemas.microsoft.com/office/spreadsheetml/2009/9/main" uri="{B025F937-C7B1-47D3-B67F-A62EFF666E3E}">
          <x14:id>{99B72692-8430-467F-9C9B-17BA9BC00B4C}</x14:id>
        </ext>
      </extLst>
    </cfRule>
  </conditionalFormatting>
  <conditionalFormatting sqref="C12:D12">
    <cfRule type="dataBar" priority="16">
      <dataBar>
        <cfvo type="min"/>
        <cfvo type="max"/>
        <color rgb="FF008AEF"/>
      </dataBar>
      <extLst>
        <ext xmlns:x14="http://schemas.microsoft.com/office/spreadsheetml/2009/9/main" uri="{B025F937-C7B1-47D3-B67F-A62EFF666E3E}">
          <x14:id>{1766B09E-761F-4C3E-9E51-46845BDA9DF3}</x14:id>
        </ext>
      </extLst>
    </cfRule>
  </conditionalFormatting>
  <conditionalFormatting sqref="C13:D13">
    <cfRule type="dataBar" priority="43">
      <dataBar>
        <cfvo type="min"/>
        <cfvo type="max"/>
        <color rgb="FF008AEF"/>
      </dataBar>
      <extLst>
        <ext xmlns:x14="http://schemas.microsoft.com/office/spreadsheetml/2009/9/main" uri="{B025F937-C7B1-47D3-B67F-A62EFF666E3E}">
          <x14:id>{F2FCE41C-E590-455F-AE13-F48F6B07BEB7}</x14:id>
        </ext>
      </extLst>
    </cfRule>
  </conditionalFormatting>
  <conditionalFormatting sqref="C14:D14">
    <cfRule type="dataBar" priority="42">
      <dataBar>
        <cfvo type="min"/>
        <cfvo type="max"/>
        <color rgb="FF008AEF"/>
      </dataBar>
      <extLst>
        <ext xmlns:x14="http://schemas.microsoft.com/office/spreadsheetml/2009/9/main" uri="{B025F937-C7B1-47D3-B67F-A62EFF666E3E}">
          <x14:id>{BF19B2A7-548C-4822-9E6A-9E7B50811E8C}</x14:id>
        </ext>
      </extLst>
    </cfRule>
  </conditionalFormatting>
  <conditionalFormatting sqref="C15:D15">
    <cfRule type="dataBar" priority="41">
      <dataBar>
        <cfvo type="min"/>
        <cfvo type="max"/>
        <color rgb="FF008AEF"/>
      </dataBar>
      <extLst>
        <ext xmlns:x14="http://schemas.microsoft.com/office/spreadsheetml/2009/9/main" uri="{B025F937-C7B1-47D3-B67F-A62EFF666E3E}">
          <x14:id>{BB234AC6-9553-4099-9337-B8A4B28F6744}</x14:id>
        </ext>
      </extLst>
    </cfRule>
  </conditionalFormatting>
  <conditionalFormatting sqref="C16:D16">
    <cfRule type="dataBar" priority="40">
      <dataBar>
        <cfvo type="min"/>
        <cfvo type="max"/>
        <color rgb="FF008AEF"/>
      </dataBar>
      <extLst>
        <ext xmlns:x14="http://schemas.microsoft.com/office/spreadsheetml/2009/9/main" uri="{B025F937-C7B1-47D3-B67F-A62EFF666E3E}">
          <x14:id>{B91FC327-A1C4-4EBE-92DB-0E94749E7401}</x14:id>
        </ext>
      </extLst>
    </cfRule>
  </conditionalFormatting>
  <conditionalFormatting sqref="C17:D17">
    <cfRule type="dataBar" priority="39">
      <dataBar>
        <cfvo type="min"/>
        <cfvo type="max"/>
        <color rgb="FF008AEF"/>
      </dataBar>
      <extLst>
        <ext xmlns:x14="http://schemas.microsoft.com/office/spreadsheetml/2009/9/main" uri="{B025F937-C7B1-47D3-B67F-A62EFF666E3E}">
          <x14:id>{9A733146-4D2E-4093-90B9-A7FFF66CB55C}</x14:id>
        </ext>
      </extLst>
    </cfRule>
  </conditionalFormatting>
  <conditionalFormatting sqref="C18:D18">
    <cfRule type="dataBar" priority="38">
      <dataBar>
        <cfvo type="min"/>
        <cfvo type="max"/>
        <color rgb="FF008AEF"/>
      </dataBar>
      <extLst>
        <ext xmlns:x14="http://schemas.microsoft.com/office/spreadsheetml/2009/9/main" uri="{B025F937-C7B1-47D3-B67F-A62EFF666E3E}">
          <x14:id>{B28DC101-3DD1-436A-B640-829824AF665A}</x14:id>
        </ext>
      </extLst>
    </cfRule>
  </conditionalFormatting>
  <conditionalFormatting sqref="C19:D19">
    <cfRule type="dataBar" priority="37">
      <dataBar>
        <cfvo type="min"/>
        <cfvo type="max"/>
        <color rgb="FF008AEF"/>
      </dataBar>
      <extLst>
        <ext xmlns:x14="http://schemas.microsoft.com/office/spreadsheetml/2009/9/main" uri="{B025F937-C7B1-47D3-B67F-A62EFF666E3E}">
          <x14:id>{D69E4190-CC82-4EFF-A48C-14119E095F44}</x14:id>
        </ext>
      </extLst>
    </cfRule>
  </conditionalFormatting>
  <conditionalFormatting sqref="C20:D20">
    <cfRule type="dataBar" priority="36">
      <dataBar>
        <cfvo type="min"/>
        <cfvo type="max"/>
        <color rgb="FF008AEF"/>
      </dataBar>
      <extLst>
        <ext xmlns:x14="http://schemas.microsoft.com/office/spreadsheetml/2009/9/main" uri="{B025F937-C7B1-47D3-B67F-A62EFF666E3E}">
          <x14:id>{D82003DF-95C5-4E90-8671-DC80217344A0}</x14:id>
        </ext>
      </extLst>
    </cfRule>
  </conditionalFormatting>
  <conditionalFormatting sqref="C21:D21">
    <cfRule type="dataBar" priority="35">
      <dataBar>
        <cfvo type="min"/>
        <cfvo type="max"/>
        <color rgb="FF008AEF"/>
      </dataBar>
      <extLst>
        <ext xmlns:x14="http://schemas.microsoft.com/office/spreadsheetml/2009/9/main" uri="{B025F937-C7B1-47D3-B67F-A62EFF666E3E}">
          <x14:id>{3F6B37FB-EFD7-4350-9C8D-DE47260EDD99}</x14:id>
        </ext>
      </extLst>
    </cfRule>
  </conditionalFormatting>
  <conditionalFormatting sqref="C22:D22">
    <cfRule type="dataBar" priority="34">
      <dataBar>
        <cfvo type="min"/>
        <cfvo type="max"/>
        <color rgb="FF008AEF"/>
      </dataBar>
      <extLst>
        <ext xmlns:x14="http://schemas.microsoft.com/office/spreadsheetml/2009/9/main" uri="{B025F937-C7B1-47D3-B67F-A62EFF666E3E}">
          <x14:id>{D3908583-7CD5-4A3F-95C3-F562BC2C2E44}</x14:id>
        </ext>
      </extLst>
    </cfRule>
  </conditionalFormatting>
  <conditionalFormatting sqref="C23:D23">
    <cfRule type="dataBar" priority="33">
      <dataBar>
        <cfvo type="min"/>
        <cfvo type="max"/>
        <color rgb="FF008AEF"/>
      </dataBar>
      <extLst>
        <ext xmlns:x14="http://schemas.microsoft.com/office/spreadsheetml/2009/9/main" uri="{B025F937-C7B1-47D3-B67F-A62EFF666E3E}">
          <x14:id>{BDF29611-6D11-4E32-B1D2-FB6BD159F6DA}</x14:id>
        </ext>
      </extLst>
    </cfRule>
  </conditionalFormatting>
  <conditionalFormatting sqref="C24:D24">
    <cfRule type="dataBar" priority="32">
      <dataBar>
        <cfvo type="min"/>
        <cfvo type="max"/>
        <color rgb="FF008AEF"/>
      </dataBar>
      <extLst>
        <ext xmlns:x14="http://schemas.microsoft.com/office/spreadsheetml/2009/9/main" uri="{B025F937-C7B1-47D3-B67F-A62EFF666E3E}">
          <x14:id>{0F648759-F30F-4D66-A05C-70E897D70F6F}</x14:id>
        </ext>
      </extLst>
    </cfRule>
  </conditionalFormatting>
  <conditionalFormatting sqref="C25:D25">
    <cfRule type="dataBar" priority="31">
      <dataBar>
        <cfvo type="min"/>
        <cfvo type="max"/>
        <color rgb="FF008AEF"/>
      </dataBar>
      <extLst>
        <ext xmlns:x14="http://schemas.microsoft.com/office/spreadsheetml/2009/9/main" uri="{B025F937-C7B1-47D3-B67F-A62EFF666E3E}">
          <x14:id>{527B00E5-F183-4D73-B9AE-C647344DC173}</x14:id>
        </ext>
      </extLst>
    </cfRule>
  </conditionalFormatting>
  <conditionalFormatting sqref="C26:D26">
    <cfRule type="dataBar" priority="30">
      <dataBar>
        <cfvo type="min"/>
        <cfvo type="max"/>
        <color rgb="FF008AEF"/>
      </dataBar>
      <extLst>
        <ext xmlns:x14="http://schemas.microsoft.com/office/spreadsheetml/2009/9/main" uri="{B025F937-C7B1-47D3-B67F-A62EFF666E3E}">
          <x14:id>{E83BD1D1-BB25-4783-81CC-4BABF82FE674}</x14:id>
        </ext>
      </extLst>
    </cfRule>
  </conditionalFormatting>
  <conditionalFormatting sqref="C27:D27">
    <cfRule type="dataBar" priority="29">
      <dataBar>
        <cfvo type="min"/>
        <cfvo type="max"/>
        <color rgb="FF008AEF"/>
      </dataBar>
      <extLst>
        <ext xmlns:x14="http://schemas.microsoft.com/office/spreadsheetml/2009/9/main" uri="{B025F937-C7B1-47D3-B67F-A62EFF666E3E}">
          <x14:id>{165F2F67-E7A1-4F99-AB61-77CDB022EF3A}</x14:id>
        </ext>
      </extLst>
    </cfRule>
  </conditionalFormatting>
  <conditionalFormatting sqref="C28:D28">
    <cfRule type="dataBar" priority="28">
      <dataBar>
        <cfvo type="min"/>
        <cfvo type="max"/>
        <color rgb="FF008AEF"/>
      </dataBar>
      <extLst>
        <ext xmlns:x14="http://schemas.microsoft.com/office/spreadsheetml/2009/9/main" uri="{B025F937-C7B1-47D3-B67F-A62EFF666E3E}">
          <x14:id>{3E598F9E-83E7-4630-8932-9644B27B6743}</x14:id>
        </ext>
      </extLst>
    </cfRule>
  </conditionalFormatting>
  <conditionalFormatting sqref="C29:D29">
    <cfRule type="dataBar" priority="27">
      <dataBar>
        <cfvo type="min"/>
        <cfvo type="max"/>
        <color rgb="FF008AEF"/>
      </dataBar>
      <extLst>
        <ext xmlns:x14="http://schemas.microsoft.com/office/spreadsheetml/2009/9/main" uri="{B025F937-C7B1-47D3-B67F-A62EFF666E3E}">
          <x14:id>{4E574215-113D-410A-AB7E-B120F883FAB1}</x14:id>
        </ext>
      </extLst>
    </cfRule>
  </conditionalFormatting>
  <conditionalFormatting sqref="C30:D30">
    <cfRule type="dataBar" priority="26">
      <dataBar>
        <cfvo type="min"/>
        <cfvo type="max"/>
        <color rgb="FF008AEF"/>
      </dataBar>
      <extLst>
        <ext xmlns:x14="http://schemas.microsoft.com/office/spreadsheetml/2009/9/main" uri="{B025F937-C7B1-47D3-B67F-A62EFF666E3E}">
          <x14:id>{C37BBFBF-6952-41B9-B8D3-CE29F4177B6C}</x14:id>
        </ext>
      </extLst>
    </cfRule>
  </conditionalFormatting>
  <conditionalFormatting sqref="C31:D31">
    <cfRule type="dataBar" priority="25">
      <dataBar>
        <cfvo type="min"/>
        <cfvo type="max"/>
        <color rgb="FF008AEF"/>
      </dataBar>
      <extLst>
        <ext xmlns:x14="http://schemas.microsoft.com/office/spreadsheetml/2009/9/main" uri="{B025F937-C7B1-47D3-B67F-A62EFF666E3E}">
          <x14:id>{C1C90429-3E11-44AB-B64A-34D28826F495}</x14:id>
        </ext>
      </extLst>
    </cfRule>
  </conditionalFormatting>
  <conditionalFormatting sqref="C32:D32">
    <cfRule type="dataBar" priority="24">
      <dataBar>
        <cfvo type="min"/>
        <cfvo type="max"/>
        <color rgb="FF008AEF"/>
      </dataBar>
      <extLst>
        <ext xmlns:x14="http://schemas.microsoft.com/office/spreadsheetml/2009/9/main" uri="{B025F937-C7B1-47D3-B67F-A62EFF666E3E}">
          <x14:id>{CE851D38-BAF6-420F-A3F7-92E0B45ED0DF}</x14:id>
        </ext>
      </extLst>
    </cfRule>
  </conditionalFormatting>
  <conditionalFormatting sqref="C33:D33">
    <cfRule type="dataBar" priority="23">
      <dataBar>
        <cfvo type="min"/>
        <cfvo type="max"/>
        <color rgb="FF008AEF"/>
      </dataBar>
      <extLst>
        <ext xmlns:x14="http://schemas.microsoft.com/office/spreadsheetml/2009/9/main" uri="{B025F937-C7B1-47D3-B67F-A62EFF666E3E}">
          <x14:id>{7BC3DE43-1E82-40CB-BFA3-9ED75C57DE29}</x14:id>
        </ext>
      </extLst>
    </cfRule>
  </conditionalFormatting>
  <conditionalFormatting sqref="C34:D34">
    <cfRule type="dataBar" priority="22">
      <dataBar>
        <cfvo type="min"/>
        <cfvo type="max"/>
        <color rgb="FF008AEF"/>
      </dataBar>
      <extLst>
        <ext xmlns:x14="http://schemas.microsoft.com/office/spreadsheetml/2009/9/main" uri="{B025F937-C7B1-47D3-B67F-A62EFF666E3E}">
          <x14:id>{02D4D8B3-ED95-4FAD-804A-4B9FDB281C32}</x14:id>
        </ext>
      </extLst>
    </cfRule>
  </conditionalFormatting>
  <conditionalFormatting sqref="C35:D35">
    <cfRule type="dataBar" priority="21">
      <dataBar>
        <cfvo type="min"/>
        <cfvo type="max"/>
        <color rgb="FF008AEF"/>
      </dataBar>
      <extLst>
        <ext xmlns:x14="http://schemas.microsoft.com/office/spreadsheetml/2009/9/main" uri="{B025F937-C7B1-47D3-B67F-A62EFF666E3E}">
          <x14:id>{0CC19C6D-54A9-4E13-A74D-CDCA01204010}</x14:id>
        </ext>
      </extLst>
    </cfRule>
  </conditionalFormatting>
  <conditionalFormatting sqref="C36:D36">
    <cfRule type="dataBar" priority="20">
      <dataBar>
        <cfvo type="min"/>
        <cfvo type="max"/>
        <color rgb="FF008AEF"/>
      </dataBar>
      <extLst>
        <ext xmlns:x14="http://schemas.microsoft.com/office/spreadsheetml/2009/9/main" uri="{B025F937-C7B1-47D3-B67F-A62EFF666E3E}">
          <x14:id>{E2D9D355-B47B-4B94-8287-8F54AEE3A611}</x14:id>
        </ext>
      </extLst>
    </cfRule>
  </conditionalFormatting>
  <conditionalFormatting sqref="C37:D37">
    <cfRule type="dataBar" priority="19">
      <dataBar>
        <cfvo type="min"/>
        <cfvo type="max"/>
        <color rgb="FF008AEF"/>
      </dataBar>
      <extLst>
        <ext xmlns:x14="http://schemas.microsoft.com/office/spreadsheetml/2009/9/main" uri="{B025F937-C7B1-47D3-B67F-A62EFF666E3E}">
          <x14:id>{63C694BC-EBCC-417F-81DF-79E28D778E2E}</x14:id>
        </ext>
      </extLst>
    </cfRule>
  </conditionalFormatting>
  <conditionalFormatting sqref="C38:D38">
    <cfRule type="dataBar" priority="18">
      <dataBar>
        <cfvo type="min"/>
        <cfvo type="max"/>
        <color rgb="FF008AEF"/>
      </dataBar>
      <extLst>
        <ext xmlns:x14="http://schemas.microsoft.com/office/spreadsheetml/2009/9/main" uri="{B025F937-C7B1-47D3-B67F-A62EFF666E3E}">
          <x14:id>{77C67BB2-B5AD-4686-8918-B24527CE10D2}</x14:id>
        </ext>
      </extLst>
    </cfRule>
  </conditionalFormatting>
  <conditionalFormatting sqref="C39:D39">
    <cfRule type="dataBar" priority="17">
      <dataBar>
        <cfvo type="min"/>
        <cfvo type="max"/>
        <color rgb="FF008AEF"/>
      </dataBar>
      <extLst>
        <ext xmlns:x14="http://schemas.microsoft.com/office/spreadsheetml/2009/9/main" uri="{B025F937-C7B1-47D3-B67F-A62EFF666E3E}">
          <x14:id>{33EA865B-DF39-4510-8F4A-EF3850B4440B}</x14:id>
        </ext>
      </extLst>
    </cfRule>
  </conditionalFormatting>
  <conditionalFormatting sqref="E3:F35 E36:O39">
    <cfRule type="cellIs" dxfId="14" priority="5" operator="greaterThan">
      <formula>0</formula>
    </cfRule>
  </conditionalFormatting>
  <conditionalFormatting sqref="G12:O35">
    <cfRule type="cellIs" dxfId="13" priority="15" operator="greaterThan">
      <formula>0</formula>
    </cfRule>
  </conditionalFormatting>
  <conditionalFormatting sqref="G3:P11">
    <cfRule type="cellIs" dxfId="12" priority="6" operator="greaterThan">
      <formula>0</formula>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55BFF845-93C4-47A5-85FD-D9D9408AD203}">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DEDCB179-7A8A-4845-B1C9-341C80FD1F81}">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D935C207-3EDA-4B35-BB36-3F8F699B2471}">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0F5E5748-8483-43F2-B086-519FE3C324B4}">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AB352F0A-49D4-4BAA-B3F2-838927151860}">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C53471F9-DCDF-4665-8940-4B27B83FFAE2}">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195B8237-015F-4852-911D-795149D9F255}">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99B72692-8430-467F-9C9B-17BA9BC00B4C}">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1766B09E-761F-4C3E-9E51-46845BDA9DF3}">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F2FCE41C-E590-455F-AE13-F48F6B07BEB7}">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BF19B2A7-548C-4822-9E6A-9E7B50811E8C}">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BB234AC6-9553-4099-9337-B8A4B28F6744}">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B91FC327-A1C4-4EBE-92DB-0E94749E7401}">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9A733146-4D2E-4093-90B9-A7FFF66CB55C}">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B28DC101-3DD1-436A-B640-829824AF665A}">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D69E4190-CC82-4EFF-A48C-14119E095F44}">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D82003DF-95C5-4E90-8671-DC80217344A0}">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3F6B37FB-EFD7-4350-9C8D-DE47260EDD99}">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D3908583-7CD5-4A3F-95C3-F562BC2C2E44}">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BDF29611-6D11-4E32-B1D2-FB6BD159F6DA}">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0F648759-F30F-4D66-A05C-70E897D70F6F}">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527B00E5-F183-4D73-B9AE-C647344DC173}">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E83BD1D1-BB25-4783-81CC-4BABF82FE674}">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165F2F67-E7A1-4F99-AB61-77CDB022EF3A}">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3E598F9E-83E7-4630-8932-9644B27B6743}">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4E574215-113D-410A-AB7E-B120F883FAB1}">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C37BBFBF-6952-41B9-B8D3-CE29F4177B6C}">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C1C90429-3E11-44AB-B64A-34D28826F495}">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CE851D38-BAF6-420F-A3F7-92E0B45ED0DF}">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7BC3DE43-1E82-40CB-BFA3-9ED75C57DE29}">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02D4D8B3-ED95-4FAD-804A-4B9FDB281C32}">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0CC19C6D-54A9-4E13-A74D-CDCA01204010}">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E2D9D355-B47B-4B94-8287-8F54AEE3A611}">
            <x14:dataBar minLength="0" maxLength="100" gradient="0">
              <x14:cfvo type="autoMin"/>
              <x14:cfvo type="autoMax"/>
              <x14:negativeFillColor rgb="FFFF0000"/>
              <x14:axisColor rgb="FF000000"/>
            </x14:dataBar>
          </x14:cfRule>
          <xm:sqref>C36:D36</xm:sqref>
        </x14:conditionalFormatting>
        <x14:conditionalFormatting xmlns:xm="http://schemas.microsoft.com/office/excel/2006/main">
          <x14:cfRule type="dataBar" id="{63C694BC-EBCC-417F-81DF-79E28D778E2E}">
            <x14:dataBar minLength="0" maxLength="100" gradient="0">
              <x14:cfvo type="autoMin"/>
              <x14:cfvo type="autoMax"/>
              <x14:negativeFillColor rgb="FFFF0000"/>
              <x14:axisColor rgb="FF000000"/>
            </x14:dataBar>
          </x14:cfRule>
          <xm:sqref>C37:D37</xm:sqref>
        </x14:conditionalFormatting>
        <x14:conditionalFormatting xmlns:xm="http://schemas.microsoft.com/office/excel/2006/main">
          <x14:cfRule type="dataBar" id="{77C67BB2-B5AD-4686-8918-B24527CE10D2}">
            <x14:dataBar minLength="0" maxLength="100" gradient="0">
              <x14:cfvo type="autoMin"/>
              <x14:cfvo type="autoMax"/>
              <x14:negativeFillColor rgb="FFFF0000"/>
              <x14:axisColor rgb="FF000000"/>
            </x14:dataBar>
          </x14:cfRule>
          <xm:sqref>C38:D38</xm:sqref>
        </x14:conditionalFormatting>
        <x14:conditionalFormatting xmlns:xm="http://schemas.microsoft.com/office/excel/2006/main">
          <x14:cfRule type="dataBar" id="{33EA865B-DF39-4510-8F4A-EF3850B4440B}">
            <x14:dataBar minLength="0" maxLength="100" gradient="0">
              <x14:cfvo type="autoMin"/>
              <x14:cfvo type="autoMax"/>
              <x14:negativeFillColor rgb="FFFF0000"/>
              <x14:axisColor rgb="FF000000"/>
            </x14:dataBar>
          </x14:cfRule>
          <xm:sqref>C39:D39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P33"/>
  <sheetViews>
    <sheetView topLeftCell="A13" zoomScale="70" zoomScaleNormal="70" workbookViewId="0">
      <selection activeCell="I25" sqref="I25"/>
    </sheetView>
  </sheetViews>
  <sheetFormatPr baseColWidth="10" defaultColWidth="11.42578125" defaultRowHeight="15" x14ac:dyDescent="0.25"/>
  <cols>
    <col min="1" max="1" width="7.85546875" style="2" customWidth="1"/>
    <col min="2" max="2" width="107.28515625" style="2" customWidth="1"/>
    <col min="3" max="3" width="11.42578125" style="2"/>
    <col min="4" max="4" width="22.42578125" style="2" customWidth="1"/>
    <col min="5" max="9" width="17.28515625" style="2" customWidth="1"/>
    <col min="10" max="16384" width="11.42578125" style="2"/>
  </cols>
  <sheetData>
    <row r="1" spans="1:16" ht="61.5" customHeight="1" x14ac:dyDescent="0.25">
      <c r="A1" s="51" t="s">
        <v>1</v>
      </c>
      <c r="B1" s="23" t="s">
        <v>41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3" customFormat="1" ht="15.75" thickBot="1" x14ac:dyDescent="0.3">
      <c r="A2" s="52"/>
      <c r="B2" s="23"/>
      <c r="C2" s="25">
        <v>2026</v>
      </c>
      <c r="D2" s="25" t="s">
        <v>16</v>
      </c>
      <c r="E2" s="26"/>
      <c r="F2" s="26"/>
      <c r="G2" s="26"/>
      <c r="H2" s="26"/>
      <c r="I2" s="26"/>
      <c r="J2" s="26"/>
      <c r="K2" s="26"/>
      <c r="L2" s="26"/>
      <c r="M2" s="26"/>
      <c r="N2" s="26"/>
      <c r="O2" s="26"/>
      <c r="P2" s="26"/>
    </row>
    <row r="3" spans="1:16" ht="81" customHeight="1" x14ac:dyDescent="0.25">
      <c r="A3" s="44" t="s">
        <v>20</v>
      </c>
      <c r="B3" s="13" t="s">
        <v>19</v>
      </c>
      <c r="C3" s="32">
        <v>2</v>
      </c>
      <c r="D3" s="29">
        <f t="shared" ref="D3" si="0">SUM(E3:P3)</f>
        <v>1</v>
      </c>
      <c r="E3" s="30">
        <v>0</v>
      </c>
      <c r="F3" s="30">
        <v>0</v>
      </c>
      <c r="G3" s="30">
        <v>0</v>
      </c>
      <c r="H3" s="30">
        <v>1</v>
      </c>
      <c r="I3" s="30"/>
      <c r="J3" s="30"/>
      <c r="K3" s="30"/>
      <c r="L3" s="30"/>
      <c r="M3" s="30"/>
      <c r="N3" s="30"/>
      <c r="O3" s="30"/>
      <c r="P3" s="30"/>
    </row>
    <row r="4" spans="1:16" ht="28.5" customHeight="1" x14ac:dyDescent="0.25">
      <c r="A4" s="53" t="s">
        <v>70</v>
      </c>
      <c r="B4" s="36" t="s">
        <v>71</v>
      </c>
      <c r="C4" s="35">
        <v>2</v>
      </c>
      <c r="D4" s="29">
        <f t="shared" ref="D4:D31" si="1">SUM(E4:O4)</f>
        <v>0</v>
      </c>
      <c r="E4" s="30"/>
      <c r="F4" s="30"/>
      <c r="G4" s="30"/>
      <c r="H4" s="30"/>
      <c r="I4" s="30"/>
      <c r="J4" s="30"/>
      <c r="K4" s="30"/>
      <c r="L4" s="30"/>
      <c r="M4" s="30"/>
      <c r="N4" s="30"/>
      <c r="O4" s="30"/>
      <c r="P4" s="37"/>
    </row>
    <row r="5" spans="1:16" ht="28.5" customHeight="1" x14ac:dyDescent="0.25">
      <c r="A5" s="54"/>
      <c r="B5" s="36" t="s">
        <v>72</v>
      </c>
      <c r="C5" s="35">
        <v>3</v>
      </c>
      <c r="D5" s="29">
        <f t="shared" si="1"/>
        <v>3</v>
      </c>
      <c r="E5" s="30"/>
      <c r="F5" s="30"/>
      <c r="G5" s="30">
        <v>1</v>
      </c>
      <c r="H5" s="30">
        <v>2</v>
      </c>
      <c r="I5" s="30"/>
      <c r="J5" s="30"/>
      <c r="K5" s="30"/>
      <c r="L5" s="30"/>
      <c r="M5" s="30"/>
      <c r="N5" s="30"/>
      <c r="O5" s="30"/>
      <c r="P5" s="37"/>
    </row>
    <row r="6" spans="1:16" ht="28.5" customHeight="1" x14ac:dyDescent="0.25">
      <c r="A6" s="54"/>
      <c r="B6" s="36" t="s">
        <v>73</v>
      </c>
      <c r="C6" s="35">
        <v>24</v>
      </c>
      <c r="D6" s="29">
        <f t="shared" si="1"/>
        <v>9</v>
      </c>
      <c r="E6" s="30"/>
      <c r="F6" s="30">
        <v>3</v>
      </c>
      <c r="G6" s="30">
        <v>1</v>
      </c>
      <c r="H6" s="30">
        <v>3</v>
      </c>
      <c r="I6" s="30">
        <v>2</v>
      </c>
      <c r="J6" s="30"/>
      <c r="K6" s="30"/>
      <c r="L6" s="30"/>
      <c r="M6" s="30"/>
      <c r="N6" s="30"/>
      <c r="O6" s="30"/>
      <c r="P6" s="37"/>
    </row>
    <row r="7" spans="1:16" ht="28.5" customHeight="1" x14ac:dyDescent="0.25">
      <c r="A7" s="54"/>
      <c r="B7" s="36" t="s">
        <v>74</v>
      </c>
      <c r="C7" s="35">
        <v>57</v>
      </c>
      <c r="D7" s="29">
        <f t="shared" si="1"/>
        <v>6</v>
      </c>
      <c r="E7" s="30"/>
      <c r="F7" s="30"/>
      <c r="G7" s="30">
        <v>6</v>
      </c>
      <c r="H7" s="30"/>
      <c r="I7" s="30"/>
      <c r="J7" s="30"/>
      <c r="K7" s="30"/>
      <c r="L7" s="30"/>
      <c r="M7" s="30"/>
      <c r="N7" s="30"/>
      <c r="O7" s="30"/>
      <c r="P7" s="37"/>
    </row>
    <row r="8" spans="1:16" ht="28.5" customHeight="1" x14ac:dyDescent="0.25">
      <c r="A8" s="54"/>
      <c r="B8" s="36" t="s">
        <v>75</v>
      </c>
      <c r="C8" s="35">
        <v>0</v>
      </c>
      <c r="D8" s="29">
        <f t="shared" si="1"/>
        <v>0</v>
      </c>
      <c r="E8" s="30"/>
      <c r="F8" s="30"/>
      <c r="G8" s="30"/>
      <c r="H8" s="30"/>
      <c r="I8" s="30"/>
      <c r="J8" s="30"/>
      <c r="K8" s="30"/>
      <c r="L8" s="30"/>
      <c r="M8" s="30"/>
      <c r="N8" s="30"/>
      <c r="O8" s="30"/>
      <c r="P8" s="37"/>
    </row>
    <row r="9" spans="1:16" ht="28.5" customHeight="1" x14ac:dyDescent="0.25">
      <c r="A9" s="54"/>
      <c r="B9" s="36" t="s">
        <v>76</v>
      </c>
      <c r="C9" s="35">
        <v>4</v>
      </c>
      <c r="D9" s="29">
        <f t="shared" si="1"/>
        <v>0</v>
      </c>
      <c r="E9" s="30"/>
      <c r="F9" s="30"/>
      <c r="G9" s="30"/>
      <c r="H9" s="30"/>
      <c r="I9" s="30"/>
      <c r="J9" s="30"/>
      <c r="K9" s="30"/>
      <c r="L9" s="30"/>
      <c r="M9" s="30"/>
      <c r="N9" s="30"/>
      <c r="O9" s="30"/>
      <c r="P9" s="37"/>
    </row>
    <row r="10" spans="1:16" ht="28.5" customHeight="1" x14ac:dyDescent="0.25">
      <c r="A10" s="54"/>
      <c r="B10" s="36" t="s">
        <v>77</v>
      </c>
      <c r="C10" s="35">
        <v>0</v>
      </c>
      <c r="D10" s="29">
        <f t="shared" si="1"/>
        <v>0</v>
      </c>
      <c r="E10" s="30"/>
      <c r="F10" s="30"/>
      <c r="G10" s="30"/>
      <c r="H10" s="30"/>
      <c r="I10" s="30"/>
      <c r="J10" s="30"/>
      <c r="K10" s="30"/>
      <c r="L10" s="30"/>
      <c r="M10" s="30"/>
      <c r="N10" s="30"/>
      <c r="O10" s="30"/>
      <c r="P10" s="37"/>
    </row>
    <row r="11" spans="1:16" ht="28.5" customHeight="1" x14ac:dyDescent="0.25">
      <c r="A11" s="54"/>
      <c r="B11" s="36" t="s">
        <v>78</v>
      </c>
      <c r="C11" s="35">
        <v>6</v>
      </c>
      <c r="D11" s="29">
        <f t="shared" si="1"/>
        <v>3</v>
      </c>
      <c r="E11" s="30"/>
      <c r="F11" s="30"/>
      <c r="G11" s="30"/>
      <c r="H11" s="30">
        <v>3</v>
      </c>
      <c r="I11" s="30"/>
      <c r="J11" s="30"/>
      <c r="K11" s="30"/>
      <c r="L11" s="30"/>
      <c r="M11" s="30"/>
      <c r="N11" s="30"/>
      <c r="O11" s="30"/>
      <c r="P11" s="37"/>
    </row>
    <row r="12" spans="1:16" ht="28.5" customHeight="1" x14ac:dyDescent="0.25">
      <c r="A12" s="54"/>
      <c r="B12" s="36" t="s">
        <v>79</v>
      </c>
      <c r="C12" s="35">
        <v>0</v>
      </c>
      <c r="D12" s="29">
        <f t="shared" si="1"/>
        <v>0</v>
      </c>
      <c r="E12" s="30"/>
      <c r="F12" s="30"/>
      <c r="G12" s="30"/>
      <c r="H12" s="30"/>
      <c r="I12" s="30"/>
      <c r="J12" s="30"/>
      <c r="K12" s="30"/>
      <c r="L12" s="30"/>
      <c r="M12" s="30"/>
      <c r="N12" s="30"/>
      <c r="O12" s="30"/>
      <c r="P12" s="37"/>
    </row>
    <row r="13" spans="1:16" ht="28.5" customHeight="1" x14ac:dyDescent="0.25">
      <c r="A13" s="54"/>
      <c r="B13" s="36" t="s">
        <v>80</v>
      </c>
      <c r="C13" s="35">
        <v>2</v>
      </c>
      <c r="D13" s="29">
        <f t="shared" si="1"/>
        <v>0</v>
      </c>
      <c r="E13" s="30"/>
      <c r="F13" s="30"/>
      <c r="G13" s="30"/>
      <c r="H13" s="30"/>
      <c r="I13" s="30"/>
      <c r="J13" s="30"/>
      <c r="K13" s="30"/>
      <c r="L13" s="30"/>
      <c r="M13" s="30"/>
      <c r="N13" s="30"/>
      <c r="O13" s="30"/>
      <c r="P13" s="37"/>
    </row>
    <row r="14" spans="1:16" ht="28.5" customHeight="1" x14ac:dyDescent="0.25">
      <c r="A14" s="54"/>
      <c r="B14" s="36" t="s">
        <v>81</v>
      </c>
      <c r="C14" s="35">
        <v>2</v>
      </c>
      <c r="D14" s="29">
        <f t="shared" si="1"/>
        <v>0</v>
      </c>
      <c r="E14" s="30"/>
      <c r="F14" s="30"/>
      <c r="G14" s="30"/>
      <c r="H14" s="30"/>
      <c r="I14" s="30"/>
      <c r="J14" s="30"/>
      <c r="K14" s="30"/>
      <c r="L14" s="30"/>
      <c r="M14" s="30"/>
      <c r="N14" s="30"/>
      <c r="O14" s="30"/>
      <c r="P14" s="37"/>
    </row>
    <row r="15" spans="1:16" ht="28.5" customHeight="1" x14ac:dyDescent="0.25">
      <c r="A15" s="54"/>
      <c r="B15" s="36" t="s">
        <v>82</v>
      </c>
      <c r="C15" s="35">
        <v>0</v>
      </c>
      <c r="D15" s="29">
        <f t="shared" si="1"/>
        <v>0</v>
      </c>
      <c r="E15" s="30"/>
      <c r="F15" s="30"/>
      <c r="G15" s="30"/>
      <c r="H15" s="30"/>
      <c r="I15" s="30"/>
      <c r="J15" s="30"/>
      <c r="K15" s="30"/>
      <c r="L15" s="30"/>
      <c r="M15" s="30"/>
      <c r="N15" s="30"/>
      <c r="O15" s="30"/>
      <c r="P15" s="37"/>
    </row>
    <row r="16" spans="1:16" ht="28.5" customHeight="1" x14ac:dyDescent="0.25">
      <c r="A16" s="54"/>
      <c r="B16" s="36" t="s">
        <v>83</v>
      </c>
      <c r="C16" s="35">
        <v>0</v>
      </c>
      <c r="D16" s="29">
        <f t="shared" si="1"/>
        <v>0</v>
      </c>
      <c r="E16" s="30"/>
      <c r="F16" s="30"/>
      <c r="G16" s="30"/>
      <c r="H16" s="30"/>
      <c r="I16" s="30"/>
      <c r="J16" s="30"/>
      <c r="K16" s="30"/>
      <c r="L16" s="30"/>
      <c r="M16" s="30"/>
      <c r="N16" s="30"/>
      <c r="O16" s="30"/>
      <c r="P16" s="37"/>
    </row>
    <row r="17" spans="1:16" ht="28.5" customHeight="1" x14ac:dyDescent="0.25">
      <c r="A17" s="54"/>
      <c r="B17" s="36" t="s">
        <v>84</v>
      </c>
      <c r="C17" s="35">
        <v>0</v>
      </c>
      <c r="D17" s="29">
        <f t="shared" si="1"/>
        <v>0</v>
      </c>
      <c r="E17" s="30"/>
      <c r="F17" s="30"/>
      <c r="G17" s="30"/>
      <c r="H17" s="30"/>
      <c r="I17" s="30"/>
      <c r="J17" s="30"/>
      <c r="K17" s="30"/>
      <c r="L17" s="30"/>
      <c r="M17" s="30"/>
      <c r="N17" s="30"/>
      <c r="O17" s="30"/>
      <c r="P17" s="37"/>
    </row>
    <row r="18" spans="1:16" ht="28.5" customHeight="1" x14ac:dyDescent="0.25">
      <c r="A18" s="54"/>
      <c r="B18" s="36" t="s">
        <v>85</v>
      </c>
      <c r="C18" s="35">
        <v>71</v>
      </c>
      <c r="D18" s="29">
        <f t="shared" si="1"/>
        <v>22</v>
      </c>
      <c r="E18" s="30"/>
      <c r="F18" s="30">
        <v>9</v>
      </c>
      <c r="G18" s="30">
        <v>1</v>
      </c>
      <c r="H18" s="30">
        <v>6</v>
      </c>
      <c r="I18" s="30">
        <v>6</v>
      </c>
      <c r="J18" s="30"/>
      <c r="K18" s="30"/>
      <c r="L18" s="30"/>
      <c r="M18" s="30"/>
      <c r="N18" s="30"/>
      <c r="O18" s="30"/>
      <c r="P18" s="37"/>
    </row>
    <row r="19" spans="1:16" ht="28.5" customHeight="1" x14ac:dyDescent="0.25">
      <c r="A19" s="54"/>
      <c r="B19" s="36" t="s">
        <v>86</v>
      </c>
      <c r="C19" s="35">
        <v>2</v>
      </c>
      <c r="D19" s="29">
        <f t="shared" si="1"/>
        <v>0</v>
      </c>
      <c r="E19" s="30"/>
      <c r="F19" s="30"/>
      <c r="G19" s="30"/>
      <c r="H19" s="30"/>
      <c r="I19" s="30"/>
      <c r="J19" s="30"/>
      <c r="K19" s="30"/>
      <c r="L19" s="30"/>
      <c r="M19" s="30"/>
      <c r="N19" s="30"/>
      <c r="O19" s="30"/>
      <c r="P19" s="37"/>
    </row>
    <row r="20" spans="1:16" ht="24" customHeight="1" x14ac:dyDescent="0.25">
      <c r="A20" s="54"/>
      <c r="B20" s="38" t="s">
        <v>87</v>
      </c>
      <c r="C20" s="35">
        <v>8</v>
      </c>
      <c r="D20" s="29">
        <f t="shared" si="1"/>
        <v>6</v>
      </c>
      <c r="E20" s="30"/>
      <c r="F20" s="30">
        <v>4</v>
      </c>
      <c r="G20" s="30">
        <v>2</v>
      </c>
      <c r="H20" s="30"/>
      <c r="I20" s="30"/>
      <c r="J20" s="30"/>
      <c r="K20" s="30"/>
      <c r="L20" s="30"/>
      <c r="M20" s="30"/>
      <c r="N20" s="30"/>
      <c r="O20" s="30"/>
      <c r="P20" s="37"/>
    </row>
    <row r="21" spans="1:16" ht="24" customHeight="1" x14ac:dyDescent="0.25">
      <c r="A21" s="54"/>
      <c r="B21" s="38" t="s">
        <v>88</v>
      </c>
      <c r="C21" s="35">
        <v>8</v>
      </c>
      <c r="D21" s="29">
        <f t="shared" si="1"/>
        <v>2</v>
      </c>
      <c r="E21" s="30"/>
      <c r="F21" s="30"/>
      <c r="G21" s="30"/>
      <c r="H21" s="30">
        <v>2</v>
      </c>
      <c r="I21" s="30"/>
      <c r="J21" s="30"/>
      <c r="K21" s="30"/>
      <c r="L21" s="30"/>
      <c r="M21" s="30"/>
      <c r="N21" s="30"/>
      <c r="O21" s="30"/>
      <c r="P21" s="37"/>
    </row>
    <row r="22" spans="1:16" ht="24" customHeight="1" x14ac:dyDescent="0.25">
      <c r="A22" s="54"/>
      <c r="B22" s="38" t="s">
        <v>89</v>
      </c>
      <c r="C22" s="35">
        <v>8</v>
      </c>
      <c r="D22" s="29">
        <f t="shared" si="1"/>
        <v>2</v>
      </c>
      <c r="E22" s="30"/>
      <c r="F22" s="30"/>
      <c r="G22" s="30"/>
      <c r="H22" s="30"/>
      <c r="I22" s="30">
        <v>2</v>
      </c>
      <c r="J22" s="30"/>
      <c r="K22" s="30"/>
      <c r="L22" s="30"/>
      <c r="M22" s="30"/>
      <c r="N22" s="30"/>
      <c r="O22" s="30"/>
      <c r="P22" s="37"/>
    </row>
    <row r="23" spans="1:16" ht="24" customHeight="1" x14ac:dyDescent="0.25">
      <c r="A23" s="54"/>
      <c r="B23" s="38" t="s">
        <v>90</v>
      </c>
      <c r="C23" s="35">
        <v>8</v>
      </c>
      <c r="D23" s="29">
        <f t="shared" si="1"/>
        <v>1</v>
      </c>
      <c r="E23" s="30"/>
      <c r="F23" s="30"/>
      <c r="G23" s="30"/>
      <c r="H23" s="30"/>
      <c r="I23" s="30"/>
      <c r="J23" s="30">
        <v>1</v>
      </c>
      <c r="K23" s="30"/>
      <c r="L23" s="30"/>
      <c r="M23" s="30"/>
      <c r="N23" s="30"/>
      <c r="O23" s="30"/>
      <c r="P23" s="37"/>
    </row>
    <row r="24" spans="1:16" ht="24" customHeight="1" x14ac:dyDescent="0.25">
      <c r="A24" s="54"/>
      <c r="B24" s="38" t="s">
        <v>91</v>
      </c>
      <c r="C24" s="35">
        <v>8</v>
      </c>
      <c r="D24" s="29">
        <f t="shared" si="1"/>
        <v>0</v>
      </c>
      <c r="E24" s="30"/>
      <c r="F24" s="30"/>
      <c r="G24" s="30"/>
      <c r="H24" s="30"/>
      <c r="I24" s="30"/>
      <c r="J24" s="30"/>
      <c r="K24" s="30"/>
      <c r="L24" s="30"/>
      <c r="M24" s="30"/>
      <c r="N24" s="30"/>
      <c r="O24" s="30"/>
      <c r="P24" s="37"/>
    </row>
    <row r="25" spans="1:16" ht="24" customHeight="1" x14ac:dyDescent="0.25">
      <c r="A25" s="54"/>
      <c r="B25" s="38" t="s">
        <v>92</v>
      </c>
      <c r="C25" s="35">
        <v>1</v>
      </c>
      <c r="D25" s="29">
        <f t="shared" si="1"/>
        <v>0</v>
      </c>
      <c r="E25" s="30"/>
      <c r="F25" s="30"/>
      <c r="G25" s="30"/>
      <c r="H25" s="30"/>
      <c r="I25" s="30"/>
      <c r="J25" s="30"/>
      <c r="K25" s="30"/>
      <c r="L25" s="30"/>
      <c r="M25" s="30"/>
      <c r="N25" s="30"/>
      <c r="O25" s="30"/>
      <c r="P25" s="37"/>
    </row>
    <row r="26" spans="1:16" ht="24" customHeight="1" x14ac:dyDescent="0.25">
      <c r="A26" s="54"/>
      <c r="B26" s="38" t="s">
        <v>93</v>
      </c>
      <c r="C26" s="35">
        <v>1</v>
      </c>
      <c r="D26" s="29">
        <f t="shared" si="1"/>
        <v>0</v>
      </c>
      <c r="E26" s="30"/>
      <c r="F26" s="30"/>
      <c r="G26" s="30"/>
      <c r="H26" s="30"/>
      <c r="I26" s="30"/>
      <c r="J26" s="30"/>
      <c r="K26" s="30"/>
      <c r="L26" s="30"/>
      <c r="M26" s="30"/>
      <c r="N26" s="30"/>
      <c r="O26" s="30"/>
      <c r="P26" s="37"/>
    </row>
    <row r="27" spans="1:16" ht="24" customHeight="1" x14ac:dyDescent="0.25">
      <c r="A27" s="54"/>
      <c r="B27" s="38" t="s">
        <v>94</v>
      </c>
      <c r="C27" s="35">
        <v>1</v>
      </c>
      <c r="D27" s="29">
        <f t="shared" si="1"/>
        <v>0</v>
      </c>
      <c r="E27" s="30"/>
      <c r="F27" s="30"/>
      <c r="G27" s="30"/>
      <c r="H27" s="30"/>
      <c r="I27" s="30"/>
      <c r="J27" s="30"/>
      <c r="K27" s="30"/>
      <c r="L27" s="30"/>
      <c r="M27" s="30"/>
      <c r="N27" s="30"/>
      <c r="O27" s="30"/>
      <c r="P27" s="37"/>
    </row>
    <row r="28" spans="1:16" ht="24" customHeight="1" x14ac:dyDescent="0.25">
      <c r="A28" s="54"/>
      <c r="B28" s="38" t="s">
        <v>95</v>
      </c>
      <c r="C28" s="35">
        <v>1</v>
      </c>
      <c r="D28" s="29">
        <f t="shared" si="1"/>
        <v>0</v>
      </c>
      <c r="E28" s="30"/>
      <c r="F28" s="30"/>
      <c r="G28" s="30"/>
      <c r="H28" s="30"/>
      <c r="I28" s="30"/>
      <c r="J28" s="30"/>
      <c r="K28" s="30"/>
      <c r="L28" s="30"/>
      <c r="M28" s="30"/>
      <c r="N28" s="30"/>
      <c r="O28" s="30"/>
      <c r="P28" s="37"/>
    </row>
    <row r="29" spans="1:16" ht="24" customHeight="1" x14ac:dyDescent="0.25">
      <c r="A29" s="54"/>
      <c r="B29" s="38" t="s">
        <v>96</v>
      </c>
      <c r="C29" s="35">
        <v>1</v>
      </c>
      <c r="D29" s="29">
        <f t="shared" si="1"/>
        <v>0</v>
      </c>
      <c r="E29" s="30"/>
      <c r="F29" s="30"/>
      <c r="G29" s="30"/>
      <c r="H29" s="30"/>
      <c r="I29" s="30"/>
      <c r="J29" s="30"/>
      <c r="K29" s="30"/>
      <c r="L29" s="30"/>
      <c r="M29" s="30"/>
      <c r="N29" s="30"/>
      <c r="O29" s="30"/>
      <c r="P29" s="37"/>
    </row>
    <row r="30" spans="1:16" ht="24" customHeight="1" x14ac:dyDescent="0.25">
      <c r="A30" s="54"/>
      <c r="B30" s="38" t="s">
        <v>97</v>
      </c>
      <c r="C30" s="35">
        <v>1</v>
      </c>
      <c r="D30" s="29">
        <f t="shared" si="1"/>
        <v>0</v>
      </c>
      <c r="E30" s="30"/>
      <c r="F30" s="30"/>
      <c r="G30" s="30"/>
      <c r="H30" s="30"/>
      <c r="I30" s="30"/>
      <c r="J30" s="30"/>
      <c r="K30" s="30"/>
      <c r="L30" s="30"/>
      <c r="M30" s="30"/>
      <c r="N30" s="30"/>
      <c r="O30" s="30"/>
      <c r="P30" s="37"/>
    </row>
    <row r="31" spans="1:16" ht="24" customHeight="1" thickBot="1" x14ac:dyDescent="0.3">
      <c r="A31" s="55"/>
      <c r="B31" s="39" t="s">
        <v>98</v>
      </c>
      <c r="C31" s="35">
        <v>1</v>
      </c>
      <c r="D31" s="29">
        <f t="shared" si="1"/>
        <v>0</v>
      </c>
      <c r="E31" s="30"/>
      <c r="F31" s="30"/>
      <c r="G31" s="30"/>
      <c r="H31" s="30"/>
      <c r="I31" s="30"/>
      <c r="J31" s="30"/>
      <c r="K31" s="30"/>
      <c r="L31" s="30"/>
      <c r="M31" s="30"/>
      <c r="N31" s="30"/>
      <c r="O31" s="30"/>
      <c r="P31" s="37"/>
    </row>
    <row r="32" spans="1:16" x14ac:dyDescent="0.25">
      <c r="C32" s="40">
        <f>SUM(C3:C31)</f>
        <v>222</v>
      </c>
      <c r="D32" s="41">
        <f>SUM(D3:D31)</f>
        <v>55</v>
      </c>
    </row>
    <row r="33" spans="3:4" x14ac:dyDescent="0.25">
      <c r="C33" s="8"/>
      <c r="D33" s="42">
        <f>D32/C32</f>
        <v>0.24774774774774774</v>
      </c>
    </row>
  </sheetData>
  <sheetProtection algorithmName="SHA-512" hashValue="r5G5hGXVNqV3BPxjwgNbpW0FsmFk5Kc/N/fIhv4xWu07TqvwZKzXib3fGTpCSnI9T9b1rhiCP853wWU0xRdTiw==" saltValue="XKQBrccNhK83uS5x7Wqqtg==" spinCount="100000" sheet="1" objects="1" scenarios="1" autoFilter="0"/>
  <mergeCells count="2">
    <mergeCell ref="A1:A2"/>
    <mergeCell ref="A4:A31"/>
  </mergeCells>
  <conditionalFormatting sqref="C3:D3">
    <cfRule type="dataBar" priority="6">
      <dataBar>
        <cfvo type="min"/>
        <cfvo type="max"/>
        <color rgb="FF008AEF"/>
      </dataBar>
      <extLst>
        <ext xmlns:x14="http://schemas.microsoft.com/office/spreadsheetml/2009/9/main" uri="{B025F937-C7B1-47D3-B67F-A62EFF666E3E}">
          <x14:id>{881796CF-DFDC-4AD4-ACC2-38D545775993}</x14:id>
        </ext>
      </extLst>
    </cfRule>
  </conditionalFormatting>
  <conditionalFormatting sqref="C4:D4">
    <cfRule type="dataBar" priority="13">
      <dataBar>
        <cfvo type="min"/>
        <cfvo type="max"/>
        <color rgb="FF008AEF"/>
      </dataBar>
      <extLst>
        <ext xmlns:x14="http://schemas.microsoft.com/office/spreadsheetml/2009/9/main" uri="{B025F937-C7B1-47D3-B67F-A62EFF666E3E}">
          <x14:id>{E5B95FE5-FF21-49E3-918F-6844C384531E}</x14:id>
        </ext>
      </extLst>
    </cfRule>
  </conditionalFormatting>
  <conditionalFormatting sqref="C5:D5">
    <cfRule type="dataBar" priority="40">
      <dataBar>
        <cfvo type="min"/>
        <cfvo type="max"/>
        <color rgb="FF008AEF"/>
      </dataBar>
      <extLst>
        <ext xmlns:x14="http://schemas.microsoft.com/office/spreadsheetml/2009/9/main" uri="{B025F937-C7B1-47D3-B67F-A62EFF666E3E}">
          <x14:id>{BF166CAF-76B1-4990-A4BD-329595D62F96}</x14:id>
        </ext>
      </extLst>
    </cfRule>
  </conditionalFormatting>
  <conditionalFormatting sqref="C6:D6">
    <cfRule type="dataBar" priority="39">
      <dataBar>
        <cfvo type="min"/>
        <cfvo type="max"/>
        <color rgb="FF008AEF"/>
      </dataBar>
      <extLst>
        <ext xmlns:x14="http://schemas.microsoft.com/office/spreadsheetml/2009/9/main" uri="{B025F937-C7B1-47D3-B67F-A62EFF666E3E}">
          <x14:id>{BE065C5B-8BBF-402A-A986-CAF0C802914F}</x14:id>
        </ext>
      </extLst>
    </cfRule>
  </conditionalFormatting>
  <conditionalFormatting sqref="C7:D7">
    <cfRule type="dataBar" priority="38">
      <dataBar>
        <cfvo type="min"/>
        <cfvo type="max"/>
        <color rgb="FF008AEF"/>
      </dataBar>
      <extLst>
        <ext xmlns:x14="http://schemas.microsoft.com/office/spreadsheetml/2009/9/main" uri="{B025F937-C7B1-47D3-B67F-A62EFF666E3E}">
          <x14:id>{23D8C711-6D77-4F67-A6B3-63D4FE766B3C}</x14:id>
        </ext>
      </extLst>
    </cfRule>
  </conditionalFormatting>
  <conditionalFormatting sqref="C8:D8">
    <cfRule type="dataBar" priority="37">
      <dataBar>
        <cfvo type="min"/>
        <cfvo type="max"/>
        <color rgb="FF008AEF"/>
      </dataBar>
      <extLst>
        <ext xmlns:x14="http://schemas.microsoft.com/office/spreadsheetml/2009/9/main" uri="{B025F937-C7B1-47D3-B67F-A62EFF666E3E}">
          <x14:id>{9975BF9A-6FAA-49ED-B374-CD6A6C475E3B}</x14:id>
        </ext>
      </extLst>
    </cfRule>
  </conditionalFormatting>
  <conditionalFormatting sqref="C9:D9">
    <cfRule type="dataBar" priority="36">
      <dataBar>
        <cfvo type="min"/>
        <cfvo type="max"/>
        <color rgb="FF008AEF"/>
      </dataBar>
      <extLst>
        <ext xmlns:x14="http://schemas.microsoft.com/office/spreadsheetml/2009/9/main" uri="{B025F937-C7B1-47D3-B67F-A62EFF666E3E}">
          <x14:id>{162217BD-61E7-4597-9A1E-77F901411B88}</x14:id>
        </ext>
      </extLst>
    </cfRule>
  </conditionalFormatting>
  <conditionalFormatting sqref="C10:D10">
    <cfRule type="dataBar" priority="35">
      <dataBar>
        <cfvo type="min"/>
        <cfvo type="max"/>
        <color rgb="FF008AEF"/>
      </dataBar>
      <extLst>
        <ext xmlns:x14="http://schemas.microsoft.com/office/spreadsheetml/2009/9/main" uri="{B025F937-C7B1-47D3-B67F-A62EFF666E3E}">
          <x14:id>{0F398454-DBDC-4249-9D0F-EF0D339B06F0}</x14:id>
        </ext>
      </extLst>
    </cfRule>
  </conditionalFormatting>
  <conditionalFormatting sqref="C11:D11">
    <cfRule type="dataBar" priority="34">
      <dataBar>
        <cfvo type="min"/>
        <cfvo type="max"/>
        <color rgb="FF008AEF"/>
      </dataBar>
      <extLst>
        <ext xmlns:x14="http://schemas.microsoft.com/office/spreadsheetml/2009/9/main" uri="{B025F937-C7B1-47D3-B67F-A62EFF666E3E}">
          <x14:id>{540CB557-7AE5-4389-A3F4-C0F5F4B98B4F}</x14:id>
        </ext>
      </extLst>
    </cfRule>
  </conditionalFormatting>
  <conditionalFormatting sqref="C12:D12">
    <cfRule type="dataBar" priority="33">
      <dataBar>
        <cfvo type="min"/>
        <cfvo type="max"/>
        <color rgb="FF008AEF"/>
      </dataBar>
      <extLst>
        <ext xmlns:x14="http://schemas.microsoft.com/office/spreadsheetml/2009/9/main" uri="{B025F937-C7B1-47D3-B67F-A62EFF666E3E}">
          <x14:id>{81884CEF-450A-437B-BD04-34B8A9640108}</x14:id>
        </ext>
      </extLst>
    </cfRule>
  </conditionalFormatting>
  <conditionalFormatting sqref="C13:D13">
    <cfRule type="dataBar" priority="32">
      <dataBar>
        <cfvo type="min"/>
        <cfvo type="max"/>
        <color rgb="FF008AEF"/>
      </dataBar>
      <extLst>
        <ext xmlns:x14="http://schemas.microsoft.com/office/spreadsheetml/2009/9/main" uri="{B025F937-C7B1-47D3-B67F-A62EFF666E3E}">
          <x14:id>{19BF59DB-1BC7-4F16-A3FF-D72ACE8E8632}</x14:id>
        </ext>
      </extLst>
    </cfRule>
  </conditionalFormatting>
  <conditionalFormatting sqref="C14:D14">
    <cfRule type="dataBar" priority="31">
      <dataBar>
        <cfvo type="min"/>
        <cfvo type="max"/>
        <color rgb="FF008AEF"/>
      </dataBar>
      <extLst>
        <ext xmlns:x14="http://schemas.microsoft.com/office/spreadsheetml/2009/9/main" uri="{B025F937-C7B1-47D3-B67F-A62EFF666E3E}">
          <x14:id>{D65FEE8B-C87F-4268-8387-AFA6DE64FBA8}</x14:id>
        </ext>
      </extLst>
    </cfRule>
  </conditionalFormatting>
  <conditionalFormatting sqref="C15:D15">
    <cfRule type="dataBar" priority="30">
      <dataBar>
        <cfvo type="min"/>
        <cfvo type="max"/>
        <color rgb="FF008AEF"/>
      </dataBar>
      <extLst>
        <ext xmlns:x14="http://schemas.microsoft.com/office/spreadsheetml/2009/9/main" uri="{B025F937-C7B1-47D3-B67F-A62EFF666E3E}">
          <x14:id>{13996748-E1C4-411B-9394-970A35707038}</x14:id>
        </ext>
      </extLst>
    </cfRule>
  </conditionalFormatting>
  <conditionalFormatting sqref="C16:D16">
    <cfRule type="dataBar" priority="29">
      <dataBar>
        <cfvo type="min"/>
        <cfvo type="max"/>
        <color rgb="FF008AEF"/>
      </dataBar>
      <extLst>
        <ext xmlns:x14="http://schemas.microsoft.com/office/spreadsheetml/2009/9/main" uri="{B025F937-C7B1-47D3-B67F-A62EFF666E3E}">
          <x14:id>{82015E72-8CF0-4AF3-A9AA-8019AF7060C3}</x14:id>
        </ext>
      </extLst>
    </cfRule>
  </conditionalFormatting>
  <conditionalFormatting sqref="C17:D17">
    <cfRule type="dataBar" priority="28">
      <dataBar>
        <cfvo type="min"/>
        <cfvo type="max"/>
        <color rgb="FF008AEF"/>
      </dataBar>
      <extLst>
        <ext xmlns:x14="http://schemas.microsoft.com/office/spreadsheetml/2009/9/main" uri="{B025F937-C7B1-47D3-B67F-A62EFF666E3E}">
          <x14:id>{ED0EE7ED-16A4-4151-BAE6-8910443D4D28}</x14:id>
        </ext>
      </extLst>
    </cfRule>
  </conditionalFormatting>
  <conditionalFormatting sqref="C18:D18">
    <cfRule type="dataBar" priority="27">
      <dataBar>
        <cfvo type="min"/>
        <cfvo type="max"/>
        <color rgb="FF008AEF"/>
      </dataBar>
      <extLst>
        <ext xmlns:x14="http://schemas.microsoft.com/office/spreadsheetml/2009/9/main" uri="{B025F937-C7B1-47D3-B67F-A62EFF666E3E}">
          <x14:id>{807F2322-1709-4F55-A5DD-E0ECD5903031}</x14:id>
        </ext>
      </extLst>
    </cfRule>
  </conditionalFormatting>
  <conditionalFormatting sqref="C19:D19">
    <cfRule type="dataBar" priority="26">
      <dataBar>
        <cfvo type="min"/>
        <cfvo type="max"/>
        <color rgb="FF008AEF"/>
      </dataBar>
      <extLst>
        <ext xmlns:x14="http://schemas.microsoft.com/office/spreadsheetml/2009/9/main" uri="{B025F937-C7B1-47D3-B67F-A62EFF666E3E}">
          <x14:id>{B93BB707-1EB6-4262-85C3-C6AD8C193550}</x14:id>
        </ext>
      </extLst>
    </cfRule>
  </conditionalFormatting>
  <conditionalFormatting sqref="C20:D20">
    <cfRule type="dataBar" priority="25">
      <dataBar>
        <cfvo type="min"/>
        <cfvo type="max"/>
        <color rgb="FF008AEF"/>
      </dataBar>
      <extLst>
        <ext xmlns:x14="http://schemas.microsoft.com/office/spreadsheetml/2009/9/main" uri="{B025F937-C7B1-47D3-B67F-A62EFF666E3E}">
          <x14:id>{FF5B6CBF-7BE2-4CCD-BACA-555D1D345042}</x14:id>
        </ext>
      </extLst>
    </cfRule>
  </conditionalFormatting>
  <conditionalFormatting sqref="C21:D21">
    <cfRule type="dataBar" priority="24">
      <dataBar>
        <cfvo type="min"/>
        <cfvo type="max"/>
        <color rgb="FF008AEF"/>
      </dataBar>
      <extLst>
        <ext xmlns:x14="http://schemas.microsoft.com/office/spreadsheetml/2009/9/main" uri="{B025F937-C7B1-47D3-B67F-A62EFF666E3E}">
          <x14:id>{A7F20161-1D18-431F-9E08-695B0FF2E686}</x14:id>
        </ext>
      </extLst>
    </cfRule>
  </conditionalFormatting>
  <conditionalFormatting sqref="C22:D22">
    <cfRule type="dataBar" priority="23">
      <dataBar>
        <cfvo type="min"/>
        <cfvo type="max"/>
        <color rgb="FF008AEF"/>
      </dataBar>
      <extLst>
        <ext xmlns:x14="http://schemas.microsoft.com/office/spreadsheetml/2009/9/main" uri="{B025F937-C7B1-47D3-B67F-A62EFF666E3E}">
          <x14:id>{2F793066-236A-4392-B0F3-D64D6A0C976C}</x14:id>
        </ext>
      </extLst>
    </cfRule>
  </conditionalFormatting>
  <conditionalFormatting sqref="C23:D23">
    <cfRule type="dataBar" priority="22">
      <dataBar>
        <cfvo type="min"/>
        <cfvo type="max"/>
        <color rgb="FF008AEF"/>
      </dataBar>
      <extLst>
        <ext xmlns:x14="http://schemas.microsoft.com/office/spreadsheetml/2009/9/main" uri="{B025F937-C7B1-47D3-B67F-A62EFF666E3E}">
          <x14:id>{E1BF0753-5AA8-42F3-B8DA-37821803BC8A}</x14:id>
        </ext>
      </extLst>
    </cfRule>
  </conditionalFormatting>
  <conditionalFormatting sqref="C24:D24">
    <cfRule type="dataBar" priority="21">
      <dataBar>
        <cfvo type="min"/>
        <cfvo type="max"/>
        <color rgb="FF008AEF"/>
      </dataBar>
      <extLst>
        <ext xmlns:x14="http://schemas.microsoft.com/office/spreadsheetml/2009/9/main" uri="{B025F937-C7B1-47D3-B67F-A62EFF666E3E}">
          <x14:id>{7701AFAE-AAA4-4B83-BAD9-AD15547992C8}</x14:id>
        </ext>
      </extLst>
    </cfRule>
  </conditionalFormatting>
  <conditionalFormatting sqref="C25:D25">
    <cfRule type="dataBar" priority="20">
      <dataBar>
        <cfvo type="min"/>
        <cfvo type="max"/>
        <color rgb="FF008AEF"/>
      </dataBar>
      <extLst>
        <ext xmlns:x14="http://schemas.microsoft.com/office/spreadsheetml/2009/9/main" uri="{B025F937-C7B1-47D3-B67F-A62EFF666E3E}">
          <x14:id>{197CD6F7-3B99-414B-82E3-75FDBA5E0A32}</x14:id>
        </ext>
      </extLst>
    </cfRule>
  </conditionalFormatting>
  <conditionalFormatting sqref="C26:D26">
    <cfRule type="dataBar" priority="19">
      <dataBar>
        <cfvo type="min"/>
        <cfvo type="max"/>
        <color rgb="FF008AEF"/>
      </dataBar>
      <extLst>
        <ext xmlns:x14="http://schemas.microsoft.com/office/spreadsheetml/2009/9/main" uri="{B025F937-C7B1-47D3-B67F-A62EFF666E3E}">
          <x14:id>{82D33DA4-1533-4F7B-B291-34717946A112}</x14:id>
        </ext>
      </extLst>
    </cfRule>
  </conditionalFormatting>
  <conditionalFormatting sqref="C27:D27">
    <cfRule type="dataBar" priority="18">
      <dataBar>
        <cfvo type="min"/>
        <cfvo type="max"/>
        <color rgb="FF008AEF"/>
      </dataBar>
      <extLst>
        <ext xmlns:x14="http://schemas.microsoft.com/office/spreadsheetml/2009/9/main" uri="{B025F937-C7B1-47D3-B67F-A62EFF666E3E}">
          <x14:id>{BB50357E-DA9A-452D-9093-3FD85CE2EE92}</x14:id>
        </ext>
      </extLst>
    </cfRule>
  </conditionalFormatting>
  <conditionalFormatting sqref="C28:D28">
    <cfRule type="dataBar" priority="17">
      <dataBar>
        <cfvo type="min"/>
        <cfvo type="max"/>
        <color rgb="FF008AEF"/>
      </dataBar>
      <extLst>
        <ext xmlns:x14="http://schemas.microsoft.com/office/spreadsheetml/2009/9/main" uri="{B025F937-C7B1-47D3-B67F-A62EFF666E3E}">
          <x14:id>{6282488C-E465-45B9-A923-EEF003FAA2FA}</x14:id>
        </ext>
      </extLst>
    </cfRule>
  </conditionalFormatting>
  <conditionalFormatting sqref="C29:D29">
    <cfRule type="dataBar" priority="16">
      <dataBar>
        <cfvo type="min"/>
        <cfvo type="max"/>
        <color rgb="FF008AEF"/>
      </dataBar>
      <extLst>
        <ext xmlns:x14="http://schemas.microsoft.com/office/spreadsheetml/2009/9/main" uri="{B025F937-C7B1-47D3-B67F-A62EFF666E3E}">
          <x14:id>{4F3D05B5-3561-4435-A925-5B1D352DC736}</x14:id>
        </ext>
      </extLst>
    </cfRule>
  </conditionalFormatting>
  <conditionalFormatting sqref="C30:D30">
    <cfRule type="dataBar" priority="15">
      <dataBar>
        <cfvo type="min"/>
        <cfvo type="max"/>
        <color rgb="FF008AEF"/>
      </dataBar>
      <extLst>
        <ext xmlns:x14="http://schemas.microsoft.com/office/spreadsheetml/2009/9/main" uri="{B025F937-C7B1-47D3-B67F-A62EFF666E3E}">
          <x14:id>{EB382DDA-ACEC-4B04-8FF0-E394C9152BA2}</x14:id>
        </ext>
      </extLst>
    </cfRule>
  </conditionalFormatting>
  <conditionalFormatting sqref="C31:D31">
    <cfRule type="dataBar" priority="14">
      <dataBar>
        <cfvo type="min"/>
        <cfvo type="max"/>
        <color rgb="FF008AEF"/>
      </dataBar>
      <extLst>
        <ext xmlns:x14="http://schemas.microsoft.com/office/spreadsheetml/2009/9/main" uri="{B025F937-C7B1-47D3-B67F-A62EFF666E3E}">
          <x14:id>{39C67F67-B43F-4854-9B56-2B3A6738DE84}</x14:id>
        </ext>
      </extLst>
    </cfRule>
  </conditionalFormatting>
  <conditionalFormatting sqref="D3">
    <cfRule type="dataBar" priority="50">
      <dataBar>
        <cfvo type="min"/>
        <cfvo type="max"/>
        <color rgb="FF008AEF"/>
      </dataBar>
      <extLst>
        <ext xmlns:x14="http://schemas.microsoft.com/office/spreadsheetml/2009/9/main" uri="{B025F937-C7B1-47D3-B67F-A62EFF666E3E}">
          <x14:id>{7D5EB028-AC04-4337-B5CB-F5CAA12C8E33}</x14:id>
        </ext>
      </extLst>
    </cfRule>
  </conditionalFormatting>
  <conditionalFormatting sqref="G4:O27">
    <cfRule type="cellIs" dxfId="11" priority="12" operator="greaterThan">
      <formula>0</formula>
    </cfRule>
  </conditionalFormatting>
  <conditionalFormatting sqref="G3:P3 E3:F27 E28:O31">
    <cfRule type="cellIs" dxfId="10" priority="3" operator="greaterThan">
      <formula>0</formula>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881796CF-DFDC-4AD4-ACC2-38D545775993}">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E5B95FE5-FF21-49E3-918F-6844C384531E}">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BF166CAF-76B1-4990-A4BD-329595D62F96}">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BE065C5B-8BBF-402A-A986-CAF0C802914F}">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23D8C711-6D77-4F67-A6B3-63D4FE766B3C}">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9975BF9A-6FAA-49ED-B374-CD6A6C475E3B}">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162217BD-61E7-4597-9A1E-77F901411B88}">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0F398454-DBDC-4249-9D0F-EF0D339B06F0}">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540CB557-7AE5-4389-A3F4-C0F5F4B98B4F}">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81884CEF-450A-437B-BD04-34B8A9640108}">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19BF59DB-1BC7-4F16-A3FF-D72ACE8E8632}">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D65FEE8B-C87F-4268-8387-AFA6DE64FBA8}">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13996748-E1C4-411B-9394-970A35707038}">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82015E72-8CF0-4AF3-A9AA-8019AF7060C3}">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ED0EE7ED-16A4-4151-BAE6-8910443D4D28}">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807F2322-1709-4F55-A5DD-E0ECD5903031}">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B93BB707-1EB6-4262-85C3-C6AD8C193550}">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FF5B6CBF-7BE2-4CCD-BACA-555D1D345042}">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A7F20161-1D18-431F-9E08-695B0FF2E686}">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2F793066-236A-4392-B0F3-D64D6A0C976C}">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E1BF0753-5AA8-42F3-B8DA-37821803BC8A}">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7701AFAE-AAA4-4B83-BAD9-AD15547992C8}">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197CD6F7-3B99-414B-82E3-75FDBA5E0A32}">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82D33DA4-1533-4F7B-B291-34717946A112}">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BB50357E-DA9A-452D-9093-3FD85CE2EE92}">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6282488C-E465-45B9-A923-EEF003FAA2FA}">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4F3D05B5-3561-4435-A925-5B1D352DC736}">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EB382DDA-ACEC-4B04-8FF0-E394C9152BA2}">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39C67F67-B43F-4854-9B56-2B3A6738DE84}">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7D5EB028-AC04-4337-B5CB-F5CAA12C8E33}">
            <x14:dataBar minLength="0" maxLength="100" gradient="0">
              <x14:cfvo type="autoMin"/>
              <x14:cfvo type="autoMax"/>
              <x14:negativeFillColor rgb="FFFF0000"/>
              <x14:axisColor rgb="FF000000"/>
            </x14:dataBar>
          </x14:cfRule>
          <xm:sqref>D3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A1:P35"/>
  <sheetViews>
    <sheetView topLeftCell="B10" zoomScale="80" zoomScaleNormal="80" workbookViewId="0">
      <selection activeCell="M35" sqref="M35"/>
    </sheetView>
  </sheetViews>
  <sheetFormatPr baseColWidth="10" defaultColWidth="11.42578125" defaultRowHeight="15" x14ac:dyDescent="0.25"/>
  <cols>
    <col min="1" max="1" width="7.85546875" style="2" customWidth="1"/>
    <col min="2" max="2" width="89" style="2" customWidth="1"/>
    <col min="3" max="3" width="11.42578125" style="2"/>
    <col min="4" max="4" width="22.42578125" style="2" customWidth="1"/>
    <col min="5" max="9" width="17.28515625" style="2" customWidth="1"/>
    <col min="10" max="16384" width="11.42578125" style="2"/>
  </cols>
  <sheetData>
    <row r="1" spans="1:16" ht="61.5" customHeight="1" x14ac:dyDescent="0.25">
      <c r="A1" s="51" t="s">
        <v>1</v>
      </c>
      <c r="B1" s="23" t="s">
        <v>42</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3" customFormat="1" ht="15.75" thickBot="1" x14ac:dyDescent="0.3">
      <c r="A2" s="52"/>
      <c r="B2" s="23"/>
      <c r="C2" s="25">
        <v>2026</v>
      </c>
      <c r="D2" s="25" t="s">
        <v>16</v>
      </c>
      <c r="E2" s="26"/>
      <c r="F2" s="26"/>
      <c r="G2" s="26"/>
      <c r="H2" s="26"/>
      <c r="I2" s="26"/>
      <c r="J2" s="26"/>
      <c r="K2" s="26"/>
      <c r="L2" s="26"/>
      <c r="M2" s="26"/>
      <c r="N2" s="26"/>
      <c r="O2" s="26"/>
      <c r="P2" s="26"/>
    </row>
    <row r="3" spans="1:16" ht="81" customHeight="1" x14ac:dyDescent="0.25">
      <c r="A3" s="43" t="s">
        <v>18</v>
      </c>
      <c r="B3" s="4" t="s">
        <v>17</v>
      </c>
      <c r="C3" s="28">
        <v>2</v>
      </c>
      <c r="D3" s="29">
        <f t="shared" ref="D3:D5" si="0">SUM(E3:P3)</f>
        <v>0</v>
      </c>
      <c r="E3" s="30"/>
      <c r="F3" s="30"/>
      <c r="G3" s="30"/>
      <c r="H3" s="30"/>
      <c r="I3" s="30"/>
      <c r="J3" s="30"/>
      <c r="K3" s="30"/>
      <c r="L3" s="30"/>
      <c r="M3" s="30"/>
      <c r="N3" s="30"/>
      <c r="O3" s="30"/>
      <c r="P3" s="30"/>
    </row>
    <row r="4" spans="1:16" ht="81" customHeight="1" x14ac:dyDescent="0.25">
      <c r="A4" s="44" t="s">
        <v>20</v>
      </c>
      <c r="B4" s="13" t="s">
        <v>19</v>
      </c>
      <c r="C4" s="32">
        <v>2</v>
      </c>
      <c r="D4" s="29">
        <f t="shared" si="0"/>
        <v>0</v>
      </c>
      <c r="E4" s="30">
        <v>0</v>
      </c>
      <c r="F4" s="30">
        <v>0</v>
      </c>
      <c r="G4" s="30">
        <v>0</v>
      </c>
      <c r="H4" s="30">
        <v>0</v>
      </c>
      <c r="I4" s="30"/>
      <c r="J4" s="30"/>
      <c r="K4" s="30"/>
      <c r="L4" s="30"/>
      <c r="M4" s="30"/>
      <c r="N4" s="30"/>
      <c r="O4" s="30"/>
      <c r="P4" s="30"/>
    </row>
    <row r="5" spans="1:16" ht="81" customHeight="1" x14ac:dyDescent="0.25">
      <c r="A5" s="45" t="s">
        <v>22</v>
      </c>
      <c r="B5" s="6" t="s">
        <v>35</v>
      </c>
      <c r="C5" s="33">
        <v>2</v>
      </c>
      <c r="D5" s="29">
        <f t="shared" si="0"/>
        <v>1</v>
      </c>
      <c r="E5" s="30">
        <v>0</v>
      </c>
      <c r="F5" s="30">
        <v>0</v>
      </c>
      <c r="G5" s="30">
        <v>0</v>
      </c>
      <c r="H5" s="30">
        <v>1</v>
      </c>
      <c r="I5" s="30"/>
      <c r="J5" s="30"/>
      <c r="K5" s="30"/>
      <c r="L5" s="30"/>
      <c r="M5" s="30"/>
      <c r="N5" s="30"/>
      <c r="O5" s="30"/>
      <c r="P5" s="30"/>
    </row>
    <row r="6" spans="1:16" ht="28.5" customHeight="1" x14ac:dyDescent="0.25">
      <c r="A6" s="53" t="s">
        <v>70</v>
      </c>
      <c r="B6" s="36" t="s">
        <v>71</v>
      </c>
      <c r="C6" s="35">
        <v>3</v>
      </c>
      <c r="D6" s="29">
        <f t="shared" ref="D6:D33" si="1">SUM(E6:O6)</f>
        <v>0</v>
      </c>
      <c r="E6" s="30"/>
      <c r="F6" s="30"/>
      <c r="G6" s="30"/>
      <c r="H6" s="30"/>
      <c r="I6" s="30"/>
      <c r="J6" s="30"/>
      <c r="K6" s="30"/>
      <c r="L6" s="30"/>
      <c r="M6" s="30"/>
      <c r="N6" s="30"/>
      <c r="O6" s="30"/>
      <c r="P6" s="37"/>
    </row>
    <row r="7" spans="1:16" ht="28.5" customHeight="1" x14ac:dyDescent="0.25">
      <c r="A7" s="54"/>
      <c r="B7" s="36" t="s">
        <v>72</v>
      </c>
      <c r="C7" s="35">
        <v>3</v>
      </c>
      <c r="D7" s="29">
        <f t="shared" si="1"/>
        <v>1</v>
      </c>
      <c r="E7" s="30"/>
      <c r="F7" s="30"/>
      <c r="G7" s="30"/>
      <c r="H7" s="30"/>
      <c r="I7" s="30">
        <v>1</v>
      </c>
      <c r="J7" s="30"/>
      <c r="K7" s="30"/>
      <c r="L7" s="30"/>
      <c r="M7" s="30"/>
      <c r="N7" s="30"/>
      <c r="O7" s="30"/>
      <c r="P7" s="37"/>
    </row>
    <row r="8" spans="1:16" ht="28.5" customHeight="1" x14ac:dyDescent="0.25">
      <c r="A8" s="54"/>
      <c r="B8" s="36" t="s">
        <v>73</v>
      </c>
      <c r="C8" s="35">
        <v>27</v>
      </c>
      <c r="D8" s="29">
        <f t="shared" si="1"/>
        <v>9</v>
      </c>
      <c r="E8" s="30"/>
      <c r="F8" s="30">
        <v>1</v>
      </c>
      <c r="G8" s="30">
        <v>1</v>
      </c>
      <c r="H8" s="30">
        <v>3</v>
      </c>
      <c r="I8" s="30">
        <v>4</v>
      </c>
      <c r="J8" s="30"/>
      <c r="K8" s="30"/>
      <c r="L8" s="30"/>
      <c r="M8" s="30"/>
      <c r="N8" s="30"/>
      <c r="O8" s="30"/>
      <c r="P8" s="37"/>
    </row>
    <row r="9" spans="1:16" ht="28.5" customHeight="1" x14ac:dyDescent="0.25">
      <c r="A9" s="54"/>
      <c r="B9" s="36" t="s">
        <v>74</v>
      </c>
      <c r="C9" s="35">
        <v>40</v>
      </c>
      <c r="D9" s="29">
        <f t="shared" si="1"/>
        <v>19</v>
      </c>
      <c r="E9" s="30"/>
      <c r="F9" s="30"/>
      <c r="G9" s="30">
        <v>9</v>
      </c>
      <c r="H9" s="30">
        <v>10</v>
      </c>
      <c r="I9" s="30"/>
      <c r="J9" s="30"/>
      <c r="K9" s="30"/>
      <c r="L9" s="30"/>
      <c r="M9" s="30"/>
      <c r="N9" s="30"/>
      <c r="O9" s="30"/>
      <c r="P9" s="37"/>
    </row>
    <row r="10" spans="1:16" ht="28.5" customHeight="1" x14ac:dyDescent="0.25">
      <c r="A10" s="54"/>
      <c r="B10" s="36" t="s">
        <v>75</v>
      </c>
      <c r="C10" s="35">
        <v>0</v>
      </c>
      <c r="D10" s="29">
        <f t="shared" si="1"/>
        <v>0</v>
      </c>
      <c r="E10" s="30"/>
      <c r="F10" s="30"/>
      <c r="G10" s="30"/>
      <c r="H10" s="30"/>
      <c r="I10" s="30"/>
      <c r="J10" s="30"/>
      <c r="K10" s="30"/>
      <c r="L10" s="30"/>
      <c r="M10" s="30"/>
      <c r="N10" s="30"/>
      <c r="O10" s="30"/>
      <c r="P10" s="37"/>
    </row>
    <row r="11" spans="1:16" ht="28.5" customHeight="1" x14ac:dyDescent="0.25">
      <c r="A11" s="54"/>
      <c r="B11" s="36" t="s">
        <v>76</v>
      </c>
      <c r="C11" s="35">
        <v>10</v>
      </c>
      <c r="D11" s="29">
        <f t="shared" si="1"/>
        <v>0</v>
      </c>
      <c r="E11" s="30"/>
      <c r="F11" s="30"/>
      <c r="G11" s="30"/>
      <c r="H11" s="30"/>
      <c r="I11" s="30"/>
      <c r="J11" s="30"/>
      <c r="K11" s="30"/>
      <c r="L11" s="30"/>
      <c r="M11" s="30"/>
      <c r="N11" s="30"/>
      <c r="O11" s="30"/>
      <c r="P11" s="37"/>
    </row>
    <row r="12" spans="1:16" ht="28.5" customHeight="1" x14ac:dyDescent="0.25">
      <c r="A12" s="54"/>
      <c r="B12" s="36" t="s">
        <v>77</v>
      </c>
      <c r="C12" s="35">
        <v>1</v>
      </c>
      <c r="D12" s="29">
        <f t="shared" si="1"/>
        <v>0</v>
      </c>
      <c r="E12" s="30"/>
      <c r="F12" s="30"/>
      <c r="G12" s="30"/>
      <c r="H12" s="30"/>
      <c r="I12" s="30"/>
      <c r="J12" s="30"/>
      <c r="K12" s="30"/>
      <c r="L12" s="30"/>
      <c r="M12" s="30"/>
      <c r="N12" s="30"/>
      <c r="O12" s="30"/>
      <c r="P12" s="37"/>
    </row>
    <row r="13" spans="1:16" ht="28.5" customHeight="1" x14ac:dyDescent="0.25">
      <c r="A13" s="54"/>
      <c r="B13" s="36" t="s">
        <v>78</v>
      </c>
      <c r="C13" s="35">
        <v>1</v>
      </c>
      <c r="D13" s="29">
        <f t="shared" si="1"/>
        <v>0</v>
      </c>
      <c r="E13" s="30"/>
      <c r="F13" s="30"/>
      <c r="G13" s="30"/>
      <c r="H13" s="30"/>
      <c r="I13" s="30"/>
      <c r="J13" s="30"/>
      <c r="K13" s="30"/>
      <c r="L13" s="30"/>
      <c r="M13" s="30"/>
      <c r="N13" s="30"/>
      <c r="O13" s="30"/>
      <c r="P13" s="37"/>
    </row>
    <row r="14" spans="1:16" ht="28.5" customHeight="1" x14ac:dyDescent="0.25">
      <c r="A14" s="54"/>
      <c r="B14" s="36" t="s">
        <v>79</v>
      </c>
      <c r="C14" s="35">
        <v>2</v>
      </c>
      <c r="D14" s="29">
        <f t="shared" si="1"/>
        <v>1</v>
      </c>
      <c r="E14" s="30"/>
      <c r="F14" s="30"/>
      <c r="G14" s="30"/>
      <c r="H14" s="30">
        <v>1</v>
      </c>
      <c r="I14" s="30"/>
      <c r="J14" s="30"/>
      <c r="K14" s="30"/>
      <c r="L14" s="30"/>
      <c r="M14" s="30"/>
      <c r="N14" s="30"/>
      <c r="O14" s="30"/>
      <c r="P14" s="37"/>
    </row>
    <row r="15" spans="1:16" ht="28.5" customHeight="1" x14ac:dyDescent="0.25">
      <c r="A15" s="54"/>
      <c r="B15" s="36" t="s">
        <v>80</v>
      </c>
      <c r="C15" s="35">
        <v>1</v>
      </c>
      <c r="D15" s="29">
        <f t="shared" si="1"/>
        <v>0</v>
      </c>
      <c r="E15" s="30"/>
      <c r="F15" s="30"/>
      <c r="G15" s="30"/>
      <c r="H15" s="30"/>
      <c r="I15" s="30"/>
      <c r="J15" s="30"/>
      <c r="K15" s="30"/>
      <c r="L15" s="30"/>
      <c r="M15" s="30"/>
      <c r="N15" s="30"/>
      <c r="O15" s="30"/>
      <c r="P15" s="37"/>
    </row>
    <row r="16" spans="1:16" ht="28.5" customHeight="1" x14ac:dyDescent="0.25">
      <c r="A16" s="54"/>
      <c r="B16" s="36" t="s">
        <v>81</v>
      </c>
      <c r="C16" s="35">
        <v>1</v>
      </c>
      <c r="D16" s="29">
        <f t="shared" si="1"/>
        <v>0</v>
      </c>
      <c r="E16" s="30"/>
      <c r="F16" s="30"/>
      <c r="G16" s="30"/>
      <c r="H16" s="30"/>
      <c r="I16" s="30"/>
      <c r="J16" s="30"/>
      <c r="K16" s="30"/>
      <c r="L16" s="30"/>
      <c r="M16" s="30"/>
      <c r="N16" s="30"/>
      <c r="O16" s="30"/>
      <c r="P16" s="37"/>
    </row>
    <row r="17" spans="1:16" ht="28.5" customHeight="1" x14ac:dyDescent="0.25">
      <c r="A17" s="54"/>
      <c r="B17" s="36" t="s">
        <v>82</v>
      </c>
      <c r="C17" s="35">
        <v>1</v>
      </c>
      <c r="D17" s="29">
        <f t="shared" si="1"/>
        <v>0</v>
      </c>
      <c r="E17" s="30"/>
      <c r="F17" s="30"/>
      <c r="G17" s="30"/>
      <c r="H17" s="30"/>
      <c r="I17" s="30"/>
      <c r="J17" s="30"/>
      <c r="K17" s="30"/>
      <c r="L17" s="30"/>
      <c r="M17" s="30"/>
      <c r="N17" s="30"/>
      <c r="O17" s="30"/>
      <c r="P17" s="37"/>
    </row>
    <row r="18" spans="1:16" ht="28.5" customHeight="1" x14ac:dyDescent="0.25">
      <c r="A18" s="54"/>
      <c r="B18" s="36" t="s">
        <v>83</v>
      </c>
      <c r="C18" s="35">
        <v>0</v>
      </c>
      <c r="D18" s="29">
        <f t="shared" si="1"/>
        <v>0</v>
      </c>
      <c r="E18" s="30"/>
      <c r="F18" s="30"/>
      <c r="G18" s="30"/>
      <c r="H18" s="30"/>
      <c r="I18" s="30"/>
      <c r="J18" s="30"/>
      <c r="K18" s="30"/>
      <c r="L18" s="30"/>
      <c r="M18" s="30"/>
      <c r="N18" s="30"/>
      <c r="O18" s="30"/>
      <c r="P18" s="37"/>
    </row>
    <row r="19" spans="1:16" ht="28.5" customHeight="1" x14ac:dyDescent="0.25">
      <c r="A19" s="54"/>
      <c r="B19" s="36" t="s">
        <v>84</v>
      </c>
      <c r="C19" s="35">
        <v>1</v>
      </c>
      <c r="D19" s="29">
        <f t="shared" si="1"/>
        <v>0</v>
      </c>
      <c r="E19" s="30"/>
      <c r="F19" s="30"/>
      <c r="G19" s="30"/>
      <c r="H19" s="30"/>
      <c r="I19" s="30"/>
      <c r="J19" s="30"/>
      <c r="K19" s="30"/>
      <c r="L19" s="30"/>
      <c r="M19" s="30"/>
      <c r="N19" s="30"/>
      <c r="O19" s="30"/>
      <c r="P19" s="37"/>
    </row>
    <row r="20" spans="1:16" ht="28.5" customHeight="1" x14ac:dyDescent="0.25">
      <c r="A20" s="54"/>
      <c r="B20" s="36" t="s">
        <v>85</v>
      </c>
      <c r="C20" s="35">
        <v>24</v>
      </c>
      <c r="D20" s="29">
        <f t="shared" si="1"/>
        <v>15</v>
      </c>
      <c r="E20" s="30">
        <v>3</v>
      </c>
      <c r="F20" s="30">
        <v>5</v>
      </c>
      <c r="G20" s="30">
        <v>2</v>
      </c>
      <c r="H20" s="30">
        <v>1</v>
      </c>
      <c r="I20" s="30">
        <v>4</v>
      </c>
      <c r="J20" s="30"/>
      <c r="K20" s="30"/>
      <c r="L20" s="30"/>
      <c r="M20" s="30"/>
      <c r="N20" s="30"/>
      <c r="O20" s="30"/>
      <c r="P20" s="37"/>
    </row>
    <row r="21" spans="1:16" ht="28.5" customHeight="1" x14ac:dyDescent="0.25">
      <c r="A21" s="54"/>
      <c r="B21" s="36" t="s">
        <v>86</v>
      </c>
      <c r="C21" s="35">
        <v>3</v>
      </c>
      <c r="D21" s="29">
        <f t="shared" si="1"/>
        <v>0</v>
      </c>
      <c r="E21" s="30"/>
      <c r="F21" s="30"/>
      <c r="G21" s="30"/>
      <c r="H21" s="30"/>
      <c r="I21" s="30"/>
      <c r="J21" s="30"/>
      <c r="K21" s="30"/>
      <c r="L21" s="30"/>
      <c r="M21" s="30"/>
      <c r="N21" s="30"/>
      <c r="O21" s="30"/>
      <c r="P21" s="37"/>
    </row>
    <row r="22" spans="1:16" ht="24" customHeight="1" x14ac:dyDescent="0.25">
      <c r="A22" s="54"/>
      <c r="B22" s="38" t="s">
        <v>87</v>
      </c>
      <c r="C22" s="35">
        <v>6</v>
      </c>
      <c r="D22" s="29">
        <f t="shared" si="1"/>
        <v>6</v>
      </c>
      <c r="E22" s="30"/>
      <c r="F22" s="30">
        <v>6</v>
      </c>
      <c r="G22" s="30"/>
      <c r="H22" s="30"/>
      <c r="I22" s="30"/>
      <c r="J22" s="30"/>
      <c r="K22" s="30"/>
      <c r="L22" s="30"/>
      <c r="M22" s="30"/>
      <c r="N22" s="30"/>
      <c r="O22" s="30"/>
      <c r="P22" s="37"/>
    </row>
    <row r="23" spans="1:16" ht="24" customHeight="1" x14ac:dyDescent="0.25">
      <c r="A23" s="54"/>
      <c r="B23" s="38" t="s">
        <v>88</v>
      </c>
      <c r="C23" s="35">
        <v>6</v>
      </c>
      <c r="D23" s="29">
        <f t="shared" si="1"/>
        <v>6</v>
      </c>
      <c r="E23" s="30"/>
      <c r="F23" s="30"/>
      <c r="G23" s="30"/>
      <c r="H23" s="30">
        <v>6</v>
      </c>
      <c r="I23" s="30"/>
      <c r="J23" s="30"/>
      <c r="K23" s="30"/>
      <c r="L23" s="30"/>
      <c r="M23" s="30"/>
      <c r="N23" s="30"/>
      <c r="O23" s="30"/>
      <c r="P23" s="37"/>
    </row>
    <row r="24" spans="1:16" ht="24" customHeight="1" x14ac:dyDescent="0.25">
      <c r="A24" s="54"/>
      <c r="B24" s="38" t="s">
        <v>89</v>
      </c>
      <c r="C24" s="35">
        <v>6</v>
      </c>
      <c r="D24" s="29">
        <f t="shared" si="1"/>
        <v>4</v>
      </c>
      <c r="E24" s="30"/>
      <c r="F24" s="30"/>
      <c r="G24" s="30"/>
      <c r="H24" s="30"/>
      <c r="I24" s="30">
        <v>4</v>
      </c>
      <c r="J24" s="30"/>
      <c r="K24" s="30"/>
      <c r="L24" s="30"/>
      <c r="M24" s="30"/>
      <c r="N24" s="30"/>
      <c r="O24" s="30"/>
      <c r="P24" s="37"/>
    </row>
    <row r="25" spans="1:16" ht="24" customHeight="1" x14ac:dyDescent="0.25">
      <c r="A25" s="54"/>
      <c r="B25" s="38" t="s">
        <v>90</v>
      </c>
      <c r="C25" s="35">
        <v>6</v>
      </c>
      <c r="D25" s="29">
        <f t="shared" si="1"/>
        <v>2</v>
      </c>
      <c r="E25" s="30"/>
      <c r="F25" s="30"/>
      <c r="G25" s="30"/>
      <c r="H25" s="30"/>
      <c r="I25" s="30"/>
      <c r="J25" s="30">
        <v>2</v>
      </c>
      <c r="K25" s="30"/>
      <c r="L25" s="30"/>
      <c r="M25" s="30"/>
      <c r="N25" s="30"/>
      <c r="O25" s="30"/>
      <c r="P25" s="37"/>
    </row>
    <row r="26" spans="1:16" ht="24" customHeight="1" x14ac:dyDescent="0.25">
      <c r="A26" s="54"/>
      <c r="B26" s="38" t="s">
        <v>91</v>
      </c>
      <c r="C26" s="35">
        <v>6</v>
      </c>
      <c r="D26" s="29">
        <f t="shared" si="1"/>
        <v>0</v>
      </c>
      <c r="E26" s="30"/>
      <c r="F26" s="30"/>
      <c r="G26" s="30"/>
      <c r="H26" s="30"/>
      <c r="I26" s="30"/>
      <c r="J26" s="30"/>
      <c r="K26" s="30"/>
      <c r="L26" s="30"/>
      <c r="M26" s="30"/>
      <c r="N26" s="30"/>
      <c r="O26" s="30"/>
      <c r="P26" s="37"/>
    </row>
    <row r="27" spans="1:16" ht="24" customHeight="1" x14ac:dyDescent="0.25">
      <c r="A27" s="54"/>
      <c r="B27" s="38" t="s">
        <v>92</v>
      </c>
      <c r="C27" s="35">
        <v>1</v>
      </c>
      <c r="D27" s="29">
        <f t="shared" si="1"/>
        <v>0</v>
      </c>
      <c r="E27" s="30"/>
      <c r="F27" s="30"/>
      <c r="G27" s="30"/>
      <c r="H27" s="30"/>
      <c r="I27" s="30"/>
      <c r="J27" s="30"/>
      <c r="K27" s="30"/>
      <c r="L27" s="30"/>
      <c r="M27" s="30"/>
      <c r="N27" s="30"/>
      <c r="O27" s="30"/>
      <c r="P27" s="37"/>
    </row>
    <row r="28" spans="1:16" ht="24" customHeight="1" x14ac:dyDescent="0.25">
      <c r="A28" s="54"/>
      <c r="B28" s="38" t="s">
        <v>93</v>
      </c>
      <c r="C28" s="35">
        <v>1</v>
      </c>
      <c r="D28" s="29">
        <f t="shared" si="1"/>
        <v>0</v>
      </c>
      <c r="E28" s="30"/>
      <c r="F28" s="30"/>
      <c r="G28" s="30"/>
      <c r="H28" s="30"/>
      <c r="I28" s="30"/>
      <c r="J28" s="30"/>
      <c r="K28" s="30"/>
      <c r="L28" s="30"/>
      <c r="M28" s="30"/>
      <c r="N28" s="30"/>
      <c r="O28" s="30"/>
      <c r="P28" s="37"/>
    </row>
    <row r="29" spans="1:16" ht="24" customHeight="1" x14ac:dyDescent="0.25">
      <c r="A29" s="54"/>
      <c r="B29" s="38" t="s">
        <v>94</v>
      </c>
      <c r="C29" s="35">
        <v>1</v>
      </c>
      <c r="D29" s="29">
        <f t="shared" si="1"/>
        <v>0</v>
      </c>
      <c r="E29" s="30"/>
      <c r="F29" s="30"/>
      <c r="G29" s="30"/>
      <c r="H29" s="30"/>
      <c r="I29" s="30"/>
      <c r="J29" s="30"/>
      <c r="K29" s="30"/>
      <c r="L29" s="30"/>
      <c r="M29" s="30"/>
      <c r="N29" s="30"/>
      <c r="O29" s="30"/>
      <c r="P29" s="37"/>
    </row>
    <row r="30" spans="1:16" ht="24" customHeight="1" x14ac:dyDescent="0.25">
      <c r="A30" s="54"/>
      <c r="B30" s="38" t="s">
        <v>95</v>
      </c>
      <c r="C30" s="35">
        <v>1</v>
      </c>
      <c r="D30" s="29">
        <f t="shared" si="1"/>
        <v>0</v>
      </c>
      <c r="E30" s="30"/>
      <c r="F30" s="30"/>
      <c r="G30" s="30"/>
      <c r="H30" s="30"/>
      <c r="I30" s="30"/>
      <c r="J30" s="30"/>
      <c r="K30" s="30"/>
      <c r="L30" s="30"/>
      <c r="M30" s="30"/>
      <c r="N30" s="30"/>
      <c r="O30" s="30"/>
      <c r="P30" s="37"/>
    </row>
    <row r="31" spans="1:16" ht="24" customHeight="1" x14ac:dyDescent="0.25">
      <c r="A31" s="54"/>
      <c r="B31" s="38" t="s">
        <v>96</v>
      </c>
      <c r="C31" s="35">
        <v>1</v>
      </c>
      <c r="D31" s="29">
        <f t="shared" si="1"/>
        <v>0</v>
      </c>
      <c r="E31" s="30"/>
      <c r="F31" s="30"/>
      <c r="G31" s="30"/>
      <c r="H31" s="30"/>
      <c r="I31" s="30"/>
      <c r="J31" s="30"/>
      <c r="K31" s="30"/>
      <c r="L31" s="30"/>
      <c r="M31" s="30"/>
      <c r="N31" s="30"/>
      <c r="O31" s="30"/>
      <c r="P31" s="37"/>
    </row>
    <row r="32" spans="1:16" ht="24" customHeight="1" x14ac:dyDescent="0.25">
      <c r="A32" s="54"/>
      <c r="B32" s="38" t="s">
        <v>97</v>
      </c>
      <c r="C32" s="35">
        <v>1</v>
      </c>
      <c r="D32" s="29">
        <f t="shared" si="1"/>
        <v>0</v>
      </c>
      <c r="E32" s="30"/>
      <c r="F32" s="30"/>
      <c r="G32" s="30"/>
      <c r="H32" s="30"/>
      <c r="I32" s="30"/>
      <c r="J32" s="30"/>
      <c r="K32" s="30"/>
      <c r="L32" s="30"/>
      <c r="M32" s="30"/>
      <c r="N32" s="30"/>
      <c r="O32" s="30"/>
      <c r="P32" s="37"/>
    </row>
    <row r="33" spans="1:16" ht="24" customHeight="1" thickBot="1" x14ac:dyDescent="0.3">
      <c r="A33" s="55"/>
      <c r="B33" s="39" t="s">
        <v>98</v>
      </c>
      <c r="C33" s="35">
        <v>1</v>
      </c>
      <c r="D33" s="29">
        <f t="shared" si="1"/>
        <v>0</v>
      </c>
      <c r="E33" s="30"/>
      <c r="F33" s="30"/>
      <c r="G33" s="30"/>
      <c r="H33" s="30"/>
      <c r="I33" s="30"/>
      <c r="J33" s="30"/>
      <c r="K33" s="30"/>
      <c r="L33" s="30"/>
      <c r="M33" s="30"/>
      <c r="N33" s="30"/>
      <c r="O33" s="30"/>
      <c r="P33" s="37"/>
    </row>
    <row r="34" spans="1:16" x14ac:dyDescent="0.25">
      <c r="C34" s="40">
        <f>SUM(C3:C33)</f>
        <v>161</v>
      </c>
      <c r="D34" s="41">
        <f>SUM(D3:D33)</f>
        <v>64</v>
      </c>
    </row>
    <row r="35" spans="1:16" x14ac:dyDescent="0.25">
      <c r="C35" s="8"/>
      <c r="D35" s="42">
        <f>D34/C34</f>
        <v>0.39751552795031053</v>
      </c>
    </row>
  </sheetData>
  <sheetProtection algorithmName="SHA-512" hashValue="4l71GNaAJ89UhO78txt64TjmthZ6eE/XrilZxRHBs6VM93qYOmHuIfVUWfzUufSGBErk56BEJw28K5IO5CSsmQ==" saltValue="MWgfH5EXZBFaeQ/foYrPmg==" spinCount="100000" sheet="1" objects="1" scenarios="1" autoFilter="0"/>
  <mergeCells count="2">
    <mergeCell ref="A1:A2"/>
    <mergeCell ref="A6:A33"/>
  </mergeCells>
  <conditionalFormatting sqref="C3:D3 D4:D5">
    <cfRule type="dataBar" priority="51">
      <dataBar>
        <cfvo type="min"/>
        <cfvo type="max"/>
        <color rgb="FF008AEF"/>
      </dataBar>
      <extLst>
        <ext xmlns:x14="http://schemas.microsoft.com/office/spreadsheetml/2009/9/main" uri="{B025F937-C7B1-47D3-B67F-A62EFF666E3E}">
          <x14:id>{CC765638-2445-4758-89E9-08B482946424}</x14:id>
        </ext>
      </extLst>
    </cfRule>
  </conditionalFormatting>
  <conditionalFormatting sqref="C4:D4">
    <cfRule type="dataBar" priority="6">
      <dataBar>
        <cfvo type="min"/>
        <cfvo type="max"/>
        <color rgb="FF008AEF"/>
      </dataBar>
      <extLst>
        <ext xmlns:x14="http://schemas.microsoft.com/office/spreadsheetml/2009/9/main" uri="{B025F937-C7B1-47D3-B67F-A62EFF666E3E}">
          <x14:id>{48FF6428-CDDA-43F7-9C02-15CAD394653E}</x14:id>
        </ext>
      </extLst>
    </cfRule>
  </conditionalFormatting>
  <conditionalFormatting sqref="C5:D5">
    <cfRule type="dataBar" priority="7">
      <dataBar>
        <cfvo type="min"/>
        <cfvo type="max"/>
        <color rgb="FF008AEF"/>
      </dataBar>
      <extLst>
        <ext xmlns:x14="http://schemas.microsoft.com/office/spreadsheetml/2009/9/main" uri="{B025F937-C7B1-47D3-B67F-A62EFF666E3E}">
          <x14:id>{35D8C22F-4DA6-4727-9918-51526E7F5DCD}</x14:id>
        </ext>
      </extLst>
    </cfRule>
  </conditionalFormatting>
  <conditionalFormatting sqref="C6:D6">
    <cfRule type="dataBar" priority="13">
      <dataBar>
        <cfvo type="min"/>
        <cfvo type="max"/>
        <color rgb="FF008AEF"/>
      </dataBar>
      <extLst>
        <ext xmlns:x14="http://schemas.microsoft.com/office/spreadsheetml/2009/9/main" uri="{B025F937-C7B1-47D3-B67F-A62EFF666E3E}">
          <x14:id>{4A8EA883-474C-4FB9-92BE-8CFFAE9E0034}</x14:id>
        </ext>
      </extLst>
    </cfRule>
  </conditionalFormatting>
  <conditionalFormatting sqref="C7:D7">
    <cfRule type="dataBar" priority="40">
      <dataBar>
        <cfvo type="min"/>
        <cfvo type="max"/>
        <color rgb="FF008AEF"/>
      </dataBar>
      <extLst>
        <ext xmlns:x14="http://schemas.microsoft.com/office/spreadsheetml/2009/9/main" uri="{B025F937-C7B1-47D3-B67F-A62EFF666E3E}">
          <x14:id>{F8575C64-ACA7-407A-AEB3-2A244AC03710}</x14:id>
        </ext>
      </extLst>
    </cfRule>
  </conditionalFormatting>
  <conditionalFormatting sqref="C8:D8">
    <cfRule type="dataBar" priority="39">
      <dataBar>
        <cfvo type="min"/>
        <cfvo type="max"/>
        <color rgb="FF008AEF"/>
      </dataBar>
      <extLst>
        <ext xmlns:x14="http://schemas.microsoft.com/office/spreadsheetml/2009/9/main" uri="{B025F937-C7B1-47D3-B67F-A62EFF666E3E}">
          <x14:id>{DA886D87-6A5C-416A-BAE2-B1500259CDE8}</x14:id>
        </ext>
      </extLst>
    </cfRule>
  </conditionalFormatting>
  <conditionalFormatting sqref="C9:D9">
    <cfRule type="dataBar" priority="38">
      <dataBar>
        <cfvo type="min"/>
        <cfvo type="max"/>
        <color rgb="FF008AEF"/>
      </dataBar>
      <extLst>
        <ext xmlns:x14="http://schemas.microsoft.com/office/spreadsheetml/2009/9/main" uri="{B025F937-C7B1-47D3-B67F-A62EFF666E3E}">
          <x14:id>{15287779-320A-4032-921A-FEB24C8AEC36}</x14:id>
        </ext>
      </extLst>
    </cfRule>
  </conditionalFormatting>
  <conditionalFormatting sqref="C10:D10">
    <cfRule type="dataBar" priority="37">
      <dataBar>
        <cfvo type="min"/>
        <cfvo type="max"/>
        <color rgb="FF008AEF"/>
      </dataBar>
      <extLst>
        <ext xmlns:x14="http://schemas.microsoft.com/office/spreadsheetml/2009/9/main" uri="{B025F937-C7B1-47D3-B67F-A62EFF666E3E}">
          <x14:id>{E4E8AF43-C7DD-454B-BB2B-565E7B5E087E}</x14:id>
        </ext>
      </extLst>
    </cfRule>
  </conditionalFormatting>
  <conditionalFormatting sqref="C11:D11">
    <cfRule type="dataBar" priority="36">
      <dataBar>
        <cfvo type="min"/>
        <cfvo type="max"/>
        <color rgb="FF008AEF"/>
      </dataBar>
      <extLst>
        <ext xmlns:x14="http://schemas.microsoft.com/office/spreadsheetml/2009/9/main" uri="{B025F937-C7B1-47D3-B67F-A62EFF666E3E}">
          <x14:id>{646972C2-E416-4493-BAFE-CD4A707D0005}</x14:id>
        </ext>
      </extLst>
    </cfRule>
  </conditionalFormatting>
  <conditionalFormatting sqref="C12:D12">
    <cfRule type="dataBar" priority="35">
      <dataBar>
        <cfvo type="min"/>
        <cfvo type="max"/>
        <color rgb="FF008AEF"/>
      </dataBar>
      <extLst>
        <ext xmlns:x14="http://schemas.microsoft.com/office/spreadsheetml/2009/9/main" uri="{B025F937-C7B1-47D3-B67F-A62EFF666E3E}">
          <x14:id>{7E00005D-BC7C-4A0A-82BB-568121049F10}</x14:id>
        </ext>
      </extLst>
    </cfRule>
  </conditionalFormatting>
  <conditionalFormatting sqref="C13:D13">
    <cfRule type="dataBar" priority="34">
      <dataBar>
        <cfvo type="min"/>
        <cfvo type="max"/>
        <color rgb="FF008AEF"/>
      </dataBar>
      <extLst>
        <ext xmlns:x14="http://schemas.microsoft.com/office/spreadsheetml/2009/9/main" uri="{B025F937-C7B1-47D3-B67F-A62EFF666E3E}">
          <x14:id>{4ACF7B03-A70A-4EA0-BBFD-FFAC364BF6F3}</x14:id>
        </ext>
      </extLst>
    </cfRule>
  </conditionalFormatting>
  <conditionalFormatting sqref="C14:D14">
    <cfRule type="dataBar" priority="33">
      <dataBar>
        <cfvo type="min"/>
        <cfvo type="max"/>
        <color rgb="FF008AEF"/>
      </dataBar>
      <extLst>
        <ext xmlns:x14="http://schemas.microsoft.com/office/spreadsheetml/2009/9/main" uri="{B025F937-C7B1-47D3-B67F-A62EFF666E3E}">
          <x14:id>{C6E02330-BEF1-48B3-A854-2BC244ACFC39}</x14:id>
        </ext>
      </extLst>
    </cfRule>
  </conditionalFormatting>
  <conditionalFormatting sqref="C15:D15">
    <cfRule type="dataBar" priority="32">
      <dataBar>
        <cfvo type="min"/>
        <cfvo type="max"/>
        <color rgb="FF008AEF"/>
      </dataBar>
      <extLst>
        <ext xmlns:x14="http://schemas.microsoft.com/office/spreadsheetml/2009/9/main" uri="{B025F937-C7B1-47D3-B67F-A62EFF666E3E}">
          <x14:id>{BB7FFDD4-6909-4225-AE14-DD79714C7989}</x14:id>
        </ext>
      </extLst>
    </cfRule>
  </conditionalFormatting>
  <conditionalFormatting sqref="C16:D16">
    <cfRule type="dataBar" priority="31">
      <dataBar>
        <cfvo type="min"/>
        <cfvo type="max"/>
        <color rgb="FF008AEF"/>
      </dataBar>
      <extLst>
        <ext xmlns:x14="http://schemas.microsoft.com/office/spreadsheetml/2009/9/main" uri="{B025F937-C7B1-47D3-B67F-A62EFF666E3E}">
          <x14:id>{3D79FA88-A692-4745-AADE-7791F873D356}</x14:id>
        </ext>
      </extLst>
    </cfRule>
  </conditionalFormatting>
  <conditionalFormatting sqref="C17:D17">
    <cfRule type="dataBar" priority="30">
      <dataBar>
        <cfvo type="min"/>
        <cfvo type="max"/>
        <color rgb="FF008AEF"/>
      </dataBar>
      <extLst>
        <ext xmlns:x14="http://schemas.microsoft.com/office/spreadsheetml/2009/9/main" uri="{B025F937-C7B1-47D3-B67F-A62EFF666E3E}">
          <x14:id>{585A06D1-22E7-47E4-BA76-E8AA4D294FFE}</x14:id>
        </ext>
      </extLst>
    </cfRule>
  </conditionalFormatting>
  <conditionalFormatting sqref="C18:D18">
    <cfRule type="dataBar" priority="29">
      <dataBar>
        <cfvo type="min"/>
        <cfvo type="max"/>
        <color rgb="FF008AEF"/>
      </dataBar>
      <extLst>
        <ext xmlns:x14="http://schemas.microsoft.com/office/spreadsheetml/2009/9/main" uri="{B025F937-C7B1-47D3-B67F-A62EFF666E3E}">
          <x14:id>{4288AE18-C26D-4C3F-A01C-4AB94004F94F}</x14:id>
        </ext>
      </extLst>
    </cfRule>
  </conditionalFormatting>
  <conditionalFormatting sqref="C19:D19">
    <cfRule type="dataBar" priority="28">
      <dataBar>
        <cfvo type="min"/>
        <cfvo type="max"/>
        <color rgb="FF008AEF"/>
      </dataBar>
      <extLst>
        <ext xmlns:x14="http://schemas.microsoft.com/office/spreadsheetml/2009/9/main" uri="{B025F937-C7B1-47D3-B67F-A62EFF666E3E}">
          <x14:id>{8F468A43-5F70-4EE1-809A-9CAF80BE33FB}</x14:id>
        </ext>
      </extLst>
    </cfRule>
  </conditionalFormatting>
  <conditionalFormatting sqref="C20:D20">
    <cfRule type="dataBar" priority="27">
      <dataBar>
        <cfvo type="min"/>
        <cfvo type="max"/>
        <color rgb="FF008AEF"/>
      </dataBar>
      <extLst>
        <ext xmlns:x14="http://schemas.microsoft.com/office/spreadsheetml/2009/9/main" uri="{B025F937-C7B1-47D3-B67F-A62EFF666E3E}">
          <x14:id>{548F0DDB-625A-49F5-B082-C34A1BD61EF0}</x14:id>
        </ext>
      </extLst>
    </cfRule>
  </conditionalFormatting>
  <conditionalFormatting sqref="C21:D21">
    <cfRule type="dataBar" priority="26">
      <dataBar>
        <cfvo type="min"/>
        <cfvo type="max"/>
        <color rgb="FF008AEF"/>
      </dataBar>
      <extLst>
        <ext xmlns:x14="http://schemas.microsoft.com/office/spreadsheetml/2009/9/main" uri="{B025F937-C7B1-47D3-B67F-A62EFF666E3E}">
          <x14:id>{DC1A64BC-1E96-4F8D-993B-40EDEE61C774}</x14:id>
        </ext>
      </extLst>
    </cfRule>
  </conditionalFormatting>
  <conditionalFormatting sqref="C22:D22">
    <cfRule type="dataBar" priority="25">
      <dataBar>
        <cfvo type="min"/>
        <cfvo type="max"/>
        <color rgb="FF008AEF"/>
      </dataBar>
      <extLst>
        <ext xmlns:x14="http://schemas.microsoft.com/office/spreadsheetml/2009/9/main" uri="{B025F937-C7B1-47D3-B67F-A62EFF666E3E}">
          <x14:id>{32A9F46F-16C5-4ED9-A5EF-F82CB973BC16}</x14:id>
        </ext>
      </extLst>
    </cfRule>
  </conditionalFormatting>
  <conditionalFormatting sqref="C23:D23">
    <cfRule type="dataBar" priority="24">
      <dataBar>
        <cfvo type="min"/>
        <cfvo type="max"/>
        <color rgb="FF008AEF"/>
      </dataBar>
      <extLst>
        <ext xmlns:x14="http://schemas.microsoft.com/office/spreadsheetml/2009/9/main" uri="{B025F937-C7B1-47D3-B67F-A62EFF666E3E}">
          <x14:id>{39295DF9-86AA-4C8C-B67E-F4A5EC4071BA}</x14:id>
        </ext>
      </extLst>
    </cfRule>
  </conditionalFormatting>
  <conditionalFormatting sqref="C24:D24">
    <cfRule type="dataBar" priority="23">
      <dataBar>
        <cfvo type="min"/>
        <cfvo type="max"/>
        <color rgb="FF008AEF"/>
      </dataBar>
      <extLst>
        <ext xmlns:x14="http://schemas.microsoft.com/office/spreadsheetml/2009/9/main" uri="{B025F937-C7B1-47D3-B67F-A62EFF666E3E}">
          <x14:id>{3217EEEC-BF47-44CE-BE8F-977D9329B313}</x14:id>
        </ext>
      </extLst>
    </cfRule>
  </conditionalFormatting>
  <conditionalFormatting sqref="C25:D25">
    <cfRule type="dataBar" priority="22">
      <dataBar>
        <cfvo type="min"/>
        <cfvo type="max"/>
        <color rgb="FF008AEF"/>
      </dataBar>
      <extLst>
        <ext xmlns:x14="http://schemas.microsoft.com/office/spreadsheetml/2009/9/main" uri="{B025F937-C7B1-47D3-B67F-A62EFF666E3E}">
          <x14:id>{7D102A2F-9FCA-4275-95B7-145C22E9E5C6}</x14:id>
        </ext>
      </extLst>
    </cfRule>
  </conditionalFormatting>
  <conditionalFormatting sqref="C26:D26">
    <cfRule type="dataBar" priority="21">
      <dataBar>
        <cfvo type="min"/>
        <cfvo type="max"/>
        <color rgb="FF008AEF"/>
      </dataBar>
      <extLst>
        <ext xmlns:x14="http://schemas.microsoft.com/office/spreadsheetml/2009/9/main" uri="{B025F937-C7B1-47D3-B67F-A62EFF666E3E}">
          <x14:id>{360C8242-EC59-4734-85C9-39EEB56F6758}</x14:id>
        </ext>
      </extLst>
    </cfRule>
  </conditionalFormatting>
  <conditionalFormatting sqref="C27:D27">
    <cfRule type="dataBar" priority="20">
      <dataBar>
        <cfvo type="min"/>
        <cfvo type="max"/>
        <color rgb="FF008AEF"/>
      </dataBar>
      <extLst>
        <ext xmlns:x14="http://schemas.microsoft.com/office/spreadsheetml/2009/9/main" uri="{B025F937-C7B1-47D3-B67F-A62EFF666E3E}">
          <x14:id>{2E9590B9-EC2C-40B8-BC65-65390FBF5CDD}</x14:id>
        </ext>
      </extLst>
    </cfRule>
  </conditionalFormatting>
  <conditionalFormatting sqref="C28:D28">
    <cfRule type="dataBar" priority="19">
      <dataBar>
        <cfvo type="min"/>
        <cfvo type="max"/>
        <color rgb="FF008AEF"/>
      </dataBar>
      <extLst>
        <ext xmlns:x14="http://schemas.microsoft.com/office/spreadsheetml/2009/9/main" uri="{B025F937-C7B1-47D3-B67F-A62EFF666E3E}">
          <x14:id>{792F1BAA-8933-4403-8539-551230FA7AB7}</x14:id>
        </ext>
      </extLst>
    </cfRule>
  </conditionalFormatting>
  <conditionalFormatting sqref="C29:D29">
    <cfRule type="dataBar" priority="18">
      <dataBar>
        <cfvo type="min"/>
        <cfvo type="max"/>
        <color rgb="FF008AEF"/>
      </dataBar>
      <extLst>
        <ext xmlns:x14="http://schemas.microsoft.com/office/spreadsheetml/2009/9/main" uri="{B025F937-C7B1-47D3-B67F-A62EFF666E3E}">
          <x14:id>{37362E4E-23A3-4EE5-AD7C-E794E2E1F365}</x14:id>
        </ext>
      </extLst>
    </cfRule>
  </conditionalFormatting>
  <conditionalFormatting sqref="C30:D30">
    <cfRule type="dataBar" priority="17">
      <dataBar>
        <cfvo type="min"/>
        <cfvo type="max"/>
        <color rgb="FF008AEF"/>
      </dataBar>
      <extLst>
        <ext xmlns:x14="http://schemas.microsoft.com/office/spreadsheetml/2009/9/main" uri="{B025F937-C7B1-47D3-B67F-A62EFF666E3E}">
          <x14:id>{3FC5623E-7838-40A8-802B-7BC12945FEE3}</x14:id>
        </ext>
      </extLst>
    </cfRule>
  </conditionalFormatting>
  <conditionalFormatting sqref="C31:D31">
    <cfRule type="dataBar" priority="16">
      <dataBar>
        <cfvo type="min"/>
        <cfvo type="max"/>
        <color rgb="FF008AEF"/>
      </dataBar>
      <extLst>
        <ext xmlns:x14="http://schemas.microsoft.com/office/spreadsheetml/2009/9/main" uri="{B025F937-C7B1-47D3-B67F-A62EFF666E3E}">
          <x14:id>{7F1DF744-8A8D-495D-A93C-B53A3B6B2193}</x14:id>
        </ext>
      </extLst>
    </cfRule>
  </conditionalFormatting>
  <conditionalFormatting sqref="C32:D32">
    <cfRule type="dataBar" priority="15">
      <dataBar>
        <cfvo type="min"/>
        <cfvo type="max"/>
        <color rgb="FF008AEF"/>
      </dataBar>
      <extLst>
        <ext xmlns:x14="http://schemas.microsoft.com/office/spreadsheetml/2009/9/main" uri="{B025F937-C7B1-47D3-B67F-A62EFF666E3E}">
          <x14:id>{B34CE7E6-03F9-4FAE-BE4C-23C3D1D22268}</x14:id>
        </ext>
      </extLst>
    </cfRule>
  </conditionalFormatting>
  <conditionalFormatting sqref="C33:D33">
    <cfRule type="dataBar" priority="14">
      <dataBar>
        <cfvo type="min"/>
        <cfvo type="max"/>
        <color rgb="FF008AEF"/>
      </dataBar>
      <extLst>
        <ext xmlns:x14="http://schemas.microsoft.com/office/spreadsheetml/2009/9/main" uri="{B025F937-C7B1-47D3-B67F-A62EFF666E3E}">
          <x14:id>{EE856FDF-17F2-4494-BBCF-090076F60105}</x14:id>
        </ext>
      </extLst>
    </cfRule>
  </conditionalFormatting>
  <conditionalFormatting sqref="E3:F29 E30:O33">
    <cfRule type="cellIs" dxfId="9" priority="3" operator="greaterThan">
      <formula>0</formula>
    </cfRule>
  </conditionalFormatting>
  <conditionalFormatting sqref="G6:O29">
    <cfRule type="cellIs" dxfId="8" priority="12" operator="greaterThan">
      <formula>0</formula>
    </cfRule>
  </conditionalFormatting>
  <conditionalFormatting sqref="G3:P5">
    <cfRule type="cellIs" dxfId="7" priority="4" operator="greaterThan">
      <formula>0</formula>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CC765638-2445-4758-89E9-08B482946424}">
            <x14:dataBar minLength="0" maxLength="100" gradient="0">
              <x14:cfvo type="autoMin"/>
              <x14:cfvo type="autoMax"/>
              <x14:negativeFillColor rgb="FFFF0000"/>
              <x14:axisColor rgb="FF000000"/>
            </x14:dataBar>
          </x14:cfRule>
          <xm:sqref>C3:D3 D4:D5</xm:sqref>
        </x14:conditionalFormatting>
        <x14:conditionalFormatting xmlns:xm="http://schemas.microsoft.com/office/excel/2006/main">
          <x14:cfRule type="dataBar" id="{48FF6428-CDDA-43F7-9C02-15CAD394653E}">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35D8C22F-4DA6-4727-9918-51526E7F5DCD}">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4A8EA883-474C-4FB9-92BE-8CFFAE9E0034}">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F8575C64-ACA7-407A-AEB3-2A244AC03710}">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DA886D87-6A5C-416A-BAE2-B1500259CDE8}">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15287779-320A-4032-921A-FEB24C8AEC36}">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E4E8AF43-C7DD-454B-BB2B-565E7B5E087E}">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646972C2-E416-4493-BAFE-CD4A707D0005}">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7E00005D-BC7C-4A0A-82BB-568121049F10}">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4ACF7B03-A70A-4EA0-BBFD-FFAC364BF6F3}">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C6E02330-BEF1-48B3-A854-2BC244ACFC39}">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BB7FFDD4-6909-4225-AE14-DD79714C7989}">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3D79FA88-A692-4745-AADE-7791F873D356}">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585A06D1-22E7-47E4-BA76-E8AA4D294FFE}">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4288AE18-C26D-4C3F-A01C-4AB94004F94F}">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8F468A43-5F70-4EE1-809A-9CAF80BE33FB}">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548F0DDB-625A-49F5-B082-C34A1BD61EF0}">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DC1A64BC-1E96-4F8D-993B-40EDEE61C774}">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32A9F46F-16C5-4ED9-A5EF-F82CB973BC16}">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39295DF9-86AA-4C8C-B67E-F4A5EC4071BA}">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3217EEEC-BF47-44CE-BE8F-977D9329B313}">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7D102A2F-9FCA-4275-95B7-145C22E9E5C6}">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360C8242-EC59-4734-85C9-39EEB56F6758}">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2E9590B9-EC2C-40B8-BC65-65390FBF5CDD}">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792F1BAA-8933-4403-8539-551230FA7AB7}">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37362E4E-23A3-4EE5-AD7C-E794E2E1F365}">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3FC5623E-7838-40A8-802B-7BC12945FEE3}">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7F1DF744-8A8D-495D-A93C-B53A3B6B2193}">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B34CE7E6-03F9-4FAE-BE4C-23C3D1D22268}">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EE856FDF-17F2-4494-BBCF-090076F60105}">
            <x14:dataBar minLength="0" maxLength="100" gradient="0">
              <x14:cfvo type="autoMin"/>
              <x14:cfvo type="autoMax"/>
              <x14:negativeFillColor rgb="FFFF0000"/>
              <x14:axisColor rgb="FF000000"/>
            </x14:dataBar>
          </x14:cfRule>
          <xm:sqref>C33:D33</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P37"/>
  <sheetViews>
    <sheetView zoomScale="80" zoomScaleNormal="80" workbookViewId="0">
      <selection activeCell="K5" sqref="K5"/>
    </sheetView>
  </sheetViews>
  <sheetFormatPr baseColWidth="10" defaultColWidth="11.28515625" defaultRowHeight="15" x14ac:dyDescent="0.25"/>
  <cols>
    <col min="1" max="1" width="8" style="2" customWidth="1"/>
    <col min="2" max="2" width="89.5703125" style="2" customWidth="1"/>
    <col min="3" max="3" width="11.28515625" style="2"/>
    <col min="4" max="4" width="22.28515625" style="2" customWidth="1"/>
    <col min="5" max="9" width="17.28515625" style="2" customWidth="1"/>
    <col min="10" max="16384" width="11.28515625" style="2"/>
  </cols>
  <sheetData>
    <row r="1" spans="1:16" ht="61.5" customHeight="1" x14ac:dyDescent="0.25">
      <c r="A1" s="51" t="s">
        <v>1</v>
      </c>
      <c r="B1" s="23" t="s">
        <v>43</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3" customFormat="1" ht="15.75" thickBot="1" x14ac:dyDescent="0.3">
      <c r="A2" s="52"/>
      <c r="B2" s="23"/>
      <c r="C2" s="25">
        <v>2026</v>
      </c>
      <c r="D2" s="25" t="s">
        <v>16</v>
      </c>
      <c r="E2" s="26"/>
      <c r="F2" s="26"/>
      <c r="G2" s="26"/>
      <c r="H2" s="26"/>
      <c r="I2" s="26"/>
      <c r="J2" s="26"/>
      <c r="K2" s="26"/>
      <c r="L2" s="26"/>
      <c r="M2" s="26"/>
      <c r="N2" s="26"/>
      <c r="O2" s="26"/>
      <c r="P2" s="26"/>
    </row>
    <row r="3" spans="1:16" ht="81" customHeight="1" x14ac:dyDescent="0.25">
      <c r="A3" s="44" t="s">
        <v>20</v>
      </c>
      <c r="B3" s="5" t="s">
        <v>19</v>
      </c>
      <c r="C3" s="32">
        <v>2</v>
      </c>
      <c r="D3" s="29">
        <f t="shared" ref="D3:D7" si="0">SUM(E3:P3)</f>
        <v>0</v>
      </c>
      <c r="E3" s="30">
        <v>0</v>
      </c>
      <c r="F3" s="30">
        <v>0</v>
      </c>
      <c r="G3" s="30">
        <v>0</v>
      </c>
      <c r="H3" s="30">
        <v>0</v>
      </c>
      <c r="I3" s="30"/>
      <c r="J3" s="30"/>
      <c r="K3" s="30"/>
      <c r="L3" s="30"/>
      <c r="M3" s="30"/>
      <c r="N3" s="30"/>
      <c r="O3" s="30"/>
      <c r="P3" s="30"/>
    </row>
    <row r="4" spans="1:16" ht="81" customHeight="1" x14ac:dyDescent="0.25">
      <c r="A4" s="45" t="s">
        <v>22</v>
      </c>
      <c r="B4" s="6" t="s">
        <v>21</v>
      </c>
      <c r="C4" s="33">
        <v>2</v>
      </c>
      <c r="D4" s="29">
        <f t="shared" si="0"/>
        <v>1</v>
      </c>
      <c r="E4" s="30">
        <v>0</v>
      </c>
      <c r="F4" s="30">
        <v>0</v>
      </c>
      <c r="G4" s="30">
        <v>0</v>
      </c>
      <c r="H4" s="30">
        <v>0</v>
      </c>
      <c r="I4" s="30"/>
      <c r="J4" s="30">
        <v>1</v>
      </c>
      <c r="K4" s="30"/>
      <c r="L4" s="30"/>
      <c r="M4" s="30"/>
      <c r="N4" s="30"/>
      <c r="O4" s="30"/>
      <c r="P4" s="30"/>
    </row>
    <row r="5" spans="1:16" ht="81" customHeight="1" x14ac:dyDescent="0.25">
      <c r="A5" s="43" t="s">
        <v>18</v>
      </c>
      <c r="B5" s="4" t="s">
        <v>23</v>
      </c>
      <c r="C5" s="35">
        <v>2</v>
      </c>
      <c r="D5" s="29">
        <f t="shared" si="0"/>
        <v>1</v>
      </c>
      <c r="E5" s="30"/>
      <c r="F5" s="30"/>
      <c r="G5" s="30">
        <v>1</v>
      </c>
      <c r="H5" s="30"/>
      <c r="I5" s="30"/>
      <c r="J5" s="30"/>
      <c r="K5" s="30"/>
      <c r="L5" s="30"/>
      <c r="M5" s="30"/>
      <c r="N5" s="30"/>
      <c r="O5" s="30"/>
      <c r="P5" s="30"/>
    </row>
    <row r="6" spans="1:16" ht="81" customHeight="1" x14ac:dyDescent="0.25">
      <c r="A6" s="43" t="s">
        <v>18</v>
      </c>
      <c r="B6" s="4" t="s">
        <v>24</v>
      </c>
      <c r="C6" s="35">
        <v>2</v>
      </c>
      <c r="D6" s="29">
        <f t="shared" si="0"/>
        <v>0</v>
      </c>
      <c r="E6" s="30"/>
      <c r="F6" s="30"/>
      <c r="G6" s="30"/>
      <c r="H6" s="30"/>
      <c r="I6" s="30"/>
      <c r="J6" s="30"/>
      <c r="K6" s="30"/>
      <c r="L6" s="30"/>
      <c r="M6" s="30"/>
      <c r="N6" s="30"/>
      <c r="O6" s="30"/>
      <c r="P6" s="30"/>
    </row>
    <row r="7" spans="1:16" ht="81" customHeight="1" thickBot="1" x14ac:dyDescent="0.3">
      <c r="A7" s="43" t="s">
        <v>18</v>
      </c>
      <c r="B7" s="15" t="s">
        <v>38</v>
      </c>
      <c r="C7" s="35">
        <v>1</v>
      </c>
      <c r="D7" s="29">
        <f t="shared" si="0"/>
        <v>1</v>
      </c>
      <c r="E7" s="30"/>
      <c r="F7" s="30">
        <v>1</v>
      </c>
      <c r="G7" s="30"/>
      <c r="H7" s="30"/>
      <c r="I7" s="30"/>
      <c r="J7" s="30"/>
      <c r="K7" s="30"/>
      <c r="L7" s="30"/>
      <c r="M7" s="30"/>
      <c r="N7" s="30"/>
      <c r="O7" s="30"/>
      <c r="P7" s="30"/>
    </row>
    <row r="8" spans="1:16" ht="28.5" customHeight="1" x14ac:dyDescent="0.25">
      <c r="A8" s="53" t="s">
        <v>70</v>
      </c>
      <c r="B8" s="36" t="s">
        <v>71</v>
      </c>
      <c r="C8" s="35">
        <v>2</v>
      </c>
      <c r="D8" s="29">
        <f t="shared" ref="D8:D35" si="1">SUM(E8:O8)</f>
        <v>1</v>
      </c>
      <c r="E8" s="30"/>
      <c r="F8" s="30"/>
      <c r="G8" s="30"/>
      <c r="H8" s="30">
        <v>1</v>
      </c>
      <c r="I8" s="30"/>
      <c r="J8" s="30"/>
      <c r="K8" s="30"/>
      <c r="L8" s="30"/>
      <c r="M8" s="30"/>
      <c r="N8" s="30"/>
      <c r="O8" s="30"/>
      <c r="P8" s="37"/>
    </row>
    <row r="9" spans="1:16" ht="28.5" customHeight="1" x14ac:dyDescent="0.25">
      <c r="A9" s="54"/>
      <c r="B9" s="36" t="s">
        <v>72</v>
      </c>
      <c r="C9" s="35">
        <v>3</v>
      </c>
      <c r="D9" s="29">
        <f t="shared" si="1"/>
        <v>0</v>
      </c>
      <c r="E9" s="30"/>
      <c r="F9" s="30"/>
      <c r="G9" s="30"/>
      <c r="H9" s="30"/>
      <c r="I9" s="30"/>
      <c r="J9" s="30"/>
      <c r="K9" s="30"/>
      <c r="L9" s="30"/>
      <c r="M9" s="30"/>
      <c r="N9" s="30"/>
      <c r="O9" s="30"/>
      <c r="P9" s="37"/>
    </row>
    <row r="10" spans="1:16" ht="28.5" customHeight="1" x14ac:dyDescent="0.25">
      <c r="A10" s="54"/>
      <c r="B10" s="36" t="s">
        <v>73</v>
      </c>
      <c r="C10" s="35">
        <v>80</v>
      </c>
      <c r="D10" s="29">
        <f t="shared" si="1"/>
        <v>37</v>
      </c>
      <c r="E10" s="30">
        <v>2</v>
      </c>
      <c r="F10" s="30">
        <v>12</v>
      </c>
      <c r="G10" s="30">
        <v>4</v>
      </c>
      <c r="H10" s="30">
        <v>8</v>
      </c>
      <c r="I10" s="30">
        <v>11</v>
      </c>
      <c r="J10" s="30"/>
      <c r="K10" s="30"/>
      <c r="L10" s="30"/>
      <c r="M10" s="30"/>
      <c r="N10" s="30"/>
      <c r="O10" s="30"/>
      <c r="P10" s="37"/>
    </row>
    <row r="11" spans="1:16" ht="28.5" customHeight="1" x14ac:dyDescent="0.25">
      <c r="A11" s="54"/>
      <c r="B11" s="36" t="s">
        <v>74</v>
      </c>
      <c r="C11" s="35">
        <v>39</v>
      </c>
      <c r="D11" s="29">
        <f t="shared" si="1"/>
        <v>17</v>
      </c>
      <c r="E11" s="30"/>
      <c r="F11" s="30"/>
      <c r="G11" s="30">
        <v>2</v>
      </c>
      <c r="H11" s="30">
        <v>15</v>
      </c>
      <c r="I11" s="30"/>
      <c r="J11" s="30"/>
      <c r="K11" s="30"/>
      <c r="L11" s="30"/>
      <c r="M11" s="30"/>
      <c r="N11" s="30"/>
      <c r="O11" s="30"/>
      <c r="P11" s="37"/>
    </row>
    <row r="12" spans="1:16" ht="28.5" customHeight="1" x14ac:dyDescent="0.25">
      <c r="A12" s="54"/>
      <c r="B12" s="36" t="s">
        <v>75</v>
      </c>
      <c r="C12" s="35">
        <v>2</v>
      </c>
      <c r="D12" s="29">
        <f t="shared" si="1"/>
        <v>0</v>
      </c>
      <c r="E12" s="30"/>
      <c r="F12" s="30"/>
      <c r="G12" s="30"/>
      <c r="H12" s="30"/>
      <c r="I12" s="30"/>
      <c r="J12" s="30"/>
      <c r="K12" s="30"/>
      <c r="L12" s="30"/>
      <c r="M12" s="30"/>
      <c r="N12" s="30"/>
      <c r="O12" s="30"/>
      <c r="P12" s="37"/>
    </row>
    <row r="13" spans="1:16" ht="28.5" customHeight="1" x14ac:dyDescent="0.25">
      <c r="A13" s="54"/>
      <c r="B13" s="36" t="s">
        <v>76</v>
      </c>
      <c r="C13" s="35">
        <v>7</v>
      </c>
      <c r="D13" s="29">
        <f t="shared" si="1"/>
        <v>0</v>
      </c>
      <c r="E13" s="30"/>
      <c r="F13" s="30"/>
      <c r="G13" s="30"/>
      <c r="H13" s="30"/>
      <c r="I13" s="30"/>
      <c r="J13" s="30"/>
      <c r="K13" s="30"/>
      <c r="L13" s="30"/>
      <c r="M13" s="30"/>
      <c r="N13" s="30"/>
      <c r="O13" s="30"/>
      <c r="P13" s="37"/>
    </row>
    <row r="14" spans="1:16" ht="28.5" customHeight="1" x14ac:dyDescent="0.25">
      <c r="A14" s="54"/>
      <c r="B14" s="36" t="s">
        <v>77</v>
      </c>
      <c r="C14" s="35">
        <v>0</v>
      </c>
      <c r="D14" s="29">
        <f t="shared" si="1"/>
        <v>0</v>
      </c>
      <c r="E14" s="30"/>
      <c r="F14" s="30"/>
      <c r="G14" s="30"/>
      <c r="H14" s="30"/>
      <c r="I14" s="30"/>
      <c r="J14" s="30"/>
      <c r="K14" s="30"/>
      <c r="L14" s="30"/>
      <c r="M14" s="30"/>
      <c r="N14" s="30"/>
      <c r="O14" s="30"/>
      <c r="P14" s="37"/>
    </row>
    <row r="15" spans="1:16" ht="28.5" customHeight="1" x14ac:dyDescent="0.25">
      <c r="A15" s="54"/>
      <c r="B15" s="36" t="s">
        <v>78</v>
      </c>
      <c r="C15" s="35">
        <v>0</v>
      </c>
      <c r="D15" s="29">
        <f t="shared" si="1"/>
        <v>0</v>
      </c>
      <c r="E15" s="30"/>
      <c r="F15" s="30"/>
      <c r="G15" s="30"/>
      <c r="H15" s="30"/>
      <c r="I15" s="30"/>
      <c r="J15" s="30"/>
      <c r="K15" s="30"/>
      <c r="L15" s="30"/>
      <c r="M15" s="30"/>
      <c r="N15" s="30"/>
      <c r="O15" s="30"/>
      <c r="P15" s="37"/>
    </row>
    <row r="16" spans="1:16" ht="28.5" customHeight="1" x14ac:dyDescent="0.25">
      <c r="A16" s="54"/>
      <c r="B16" s="36" t="s">
        <v>79</v>
      </c>
      <c r="C16" s="35">
        <v>0</v>
      </c>
      <c r="D16" s="29">
        <f t="shared" si="1"/>
        <v>0</v>
      </c>
      <c r="E16" s="30"/>
      <c r="F16" s="30"/>
      <c r="G16" s="30"/>
      <c r="H16" s="30"/>
      <c r="I16" s="30"/>
      <c r="J16" s="30"/>
      <c r="K16" s="30"/>
      <c r="L16" s="30"/>
      <c r="M16" s="30"/>
      <c r="N16" s="30"/>
      <c r="O16" s="30"/>
      <c r="P16" s="37"/>
    </row>
    <row r="17" spans="1:16" ht="28.5" customHeight="1" x14ac:dyDescent="0.25">
      <c r="A17" s="54"/>
      <c r="B17" s="36" t="s">
        <v>80</v>
      </c>
      <c r="C17" s="35">
        <v>0</v>
      </c>
      <c r="D17" s="29">
        <f t="shared" si="1"/>
        <v>0</v>
      </c>
      <c r="E17" s="30"/>
      <c r="F17" s="30"/>
      <c r="G17" s="30"/>
      <c r="H17" s="30"/>
      <c r="I17" s="30"/>
      <c r="J17" s="30"/>
      <c r="K17" s="30"/>
      <c r="L17" s="30"/>
      <c r="M17" s="30"/>
      <c r="N17" s="30"/>
      <c r="O17" s="30"/>
      <c r="P17" s="37"/>
    </row>
    <row r="18" spans="1:16" ht="28.5" customHeight="1" x14ac:dyDescent="0.25">
      <c r="A18" s="54"/>
      <c r="B18" s="36" t="s">
        <v>81</v>
      </c>
      <c r="C18" s="35">
        <v>0</v>
      </c>
      <c r="D18" s="29">
        <f t="shared" si="1"/>
        <v>0</v>
      </c>
      <c r="E18" s="30"/>
      <c r="F18" s="30"/>
      <c r="G18" s="30"/>
      <c r="H18" s="30"/>
      <c r="I18" s="30"/>
      <c r="J18" s="30"/>
      <c r="K18" s="30"/>
      <c r="L18" s="30"/>
      <c r="M18" s="30"/>
      <c r="N18" s="30"/>
      <c r="O18" s="30"/>
      <c r="P18" s="37"/>
    </row>
    <row r="19" spans="1:16" ht="28.5" customHeight="1" x14ac:dyDescent="0.25">
      <c r="A19" s="54"/>
      <c r="B19" s="36" t="s">
        <v>82</v>
      </c>
      <c r="C19" s="35">
        <v>1</v>
      </c>
      <c r="D19" s="29">
        <f t="shared" si="1"/>
        <v>0</v>
      </c>
      <c r="E19" s="30"/>
      <c r="F19" s="30"/>
      <c r="G19" s="30"/>
      <c r="H19" s="30"/>
      <c r="I19" s="30"/>
      <c r="J19" s="30"/>
      <c r="K19" s="30"/>
      <c r="L19" s="30"/>
      <c r="M19" s="30"/>
      <c r="N19" s="30"/>
      <c r="O19" s="30"/>
      <c r="P19" s="37"/>
    </row>
    <row r="20" spans="1:16" ht="28.5" customHeight="1" x14ac:dyDescent="0.25">
      <c r="A20" s="54"/>
      <c r="B20" s="36" t="s">
        <v>83</v>
      </c>
      <c r="C20" s="35">
        <v>0</v>
      </c>
      <c r="D20" s="29">
        <f t="shared" si="1"/>
        <v>0</v>
      </c>
      <c r="E20" s="30"/>
      <c r="F20" s="30"/>
      <c r="G20" s="30"/>
      <c r="H20" s="30"/>
      <c r="I20" s="30"/>
      <c r="J20" s="30"/>
      <c r="K20" s="30"/>
      <c r="L20" s="30"/>
      <c r="M20" s="30"/>
      <c r="N20" s="30"/>
      <c r="O20" s="30"/>
      <c r="P20" s="37"/>
    </row>
    <row r="21" spans="1:16" ht="28.5" customHeight="1" x14ac:dyDescent="0.25">
      <c r="A21" s="54"/>
      <c r="B21" s="36" t="s">
        <v>84</v>
      </c>
      <c r="C21" s="35">
        <v>0</v>
      </c>
      <c r="D21" s="29">
        <f t="shared" si="1"/>
        <v>0</v>
      </c>
      <c r="E21" s="30"/>
      <c r="F21" s="30"/>
      <c r="G21" s="30"/>
      <c r="H21" s="30"/>
      <c r="I21" s="30"/>
      <c r="J21" s="30"/>
      <c r="K21" s="30"/>
      <c r="L21" s="30"/>
      <c r="M21" s="30"/>
      <c r="N21" s="30"/>
      <c r="O21" s="30"/>
      <c r="P21" s="37"/>
    </row>
    <row r="22" spans="1:16" ht="28.5" customHeight="1" x14ac:dyDescent="0.25">
      <c r="A22" s="54"/>
      <c r="B22" s="36" t="s">
        <v>85</v>
      </c>
      <c r="C22" s="35">
        <v>67</v>
      </c>
      <c r="D22" s="29">
        <f t="shared" si="1"/>
        <v>35</v>
      </c>
      <c r="E22" s="30">
        <v>5</v>
      </c>
      <c r="F22" s="30">
        <v>11</v>
      </c>
      <c r="G22" s="30">
        <v>8</v>
      </c>
      <c r="H22" s="30">
        <v>4</v>
      </c>
      <c r="I22" s="30">
        <v>4</v>
      </c>
      <c r="J22" s="30">
        <v>3</v>
      </c>
      <c r="K22" s="30"/>
      <c r="L22" s="30"/>
      <c r="M22" s="30"/>
      <c r="N22" s="30"/>
      <c r="O22" s="30"/>
      <c r="P22" s="37"/>
    </row>
    <row r="23" spans="1:16" ht="28.5" customHeight="1" x14ac:dyDescent="0.25">
      <c r="A23" s="54"/>
      <c r="B23" s="36" t="s">
        <v>86</v>
      </c>
      <c r="C23" s="35">
        <v>0</v>
      </c>
      <c r="D23" s="29">
        <f t="shared" si="1"/>
        <v>0</v>
      </c>
      <c r="E23" s="30"/>
      <c r="F23" s="30"/>
      <c r="G23" s="30"/>
      <c r="H23" s="30"/>
      <c r="I23" s="30"/>
      <c r="J23" s="30"/>
      <c r="K23" s="30"/>
      <c r="L23" s="30"/>
      <c r="M23" s="30"/>
      <c r="N23" s="30"/>
      <c r="O23" s="30"/>
      <c r="P23" s="37"/>
    </row>
    <row r="24" spans="1:16" ht="24" customHeight="1" x14ac:dyDescent="0.25">
      <c r="A24" s="54"/>
      <c r="B24" s="38" t="s">
        <v>87</v>
      </c>
      <c r="C24" s="35">
        <v>5</v>
      </c>
      <c r="D24" s="29">
        <f t="shared" si="1"/>
        <v>3</v>
      </c>
      <c r="E24" s="30"/>
      <c r="F24" s="30"/>
      <c r="G24" s="30">
        <v>3</v>
      </c>
      <c r="H24" s="30"/>
      <c r="I24" s="30"/>
      <c r="J24" s="30"/>
      <c r="K24" s="30"/>
      <c r="L24" s="30"/>
      <c r="M24" s="30"/>
      <c r="N24" s="30"/>
      <c r="O24" s="30"/>
      <c r="P24" s="37"/>
    </row>
    <row r="25" spans="1:16" ht="24" customHeight="1" x14ac:dyDescent="0.25">
      <c r="A25" s="54"/>
      <c r="B25" s="38" t="s">
        <v>88</v>
      </c>
      <c r="C25" s="35">
        <v>5</v>
      </c>
      <c r="D25" s="29">
        <f t="shared" si="1"/>
        <v>5</v>
      </c>
      <c r="E25" s="30"/>
      <c r="F25" s="30"/>
      <c r="G25" s="30"/>
      <c r="H25" s="30">
        <v>5</v>
      </c>
      <c r="I25" s="30"/>
      <c r="J25" s="30"/>
      <c r="K25" s="30"/>
      <c r="L25" s="30"/>
      <c r="M25" s="30"/>
      <c r="N25" s="30"/>
      <c r="O25" s="30"/>
      <c r="P25" s="37"/>
    </row>
    <row r="26" spans="1:16" ht="24" customHeight="1" x14ac:dyDescent="0.25">
      <c r="A26" s="54"/>
      <c r="B26" s="38" t="s">
        <v>89</v>
      </c>
      <c r="C26" s="35">
        <v>5</v>
      </c>
      <c r="D26" s="29">
        <f t="shared" si="1"/>
        <v>5</v>
      </c>
      <c r="E26" s="30"/>
      <c r="F26" s="30"/>
      <c r="G26" s="30"/>
      <c r="H26" s="30"/>
      <c r="I26" s="30">
        <v>5</v>
      </c>
      <c r="J26" s="30"/>
      <c r="K26" s="30"/>
      <c r="L26" s="30"/>
      <c r="M26" s="30"/>
      <c r="N26" s="30"/>
      <c r="O26" s="30"/>
      <c r="P26" s="37"/>
    </row>
    <row r="27" spans="1:16" ht="24" customHeight="1" x14ac:dyDescent="0.25">
      <c r="A27" s="54"/>
      <c r="B27" s="38" t="s">
        <v>90</v>
      </c>
      <c r="C27" s="35">
        <v>5</v>
      </c>
      <c r="D27" s="29">
        <f t="shared" si="1"/>
        <v>0</v>
      </c>
      <c r="E27" s="30"/>
      <c r="F27" s="30"/>
      <c r="G27" s="30"/>
      <c r="H27" s="30"/>
      <c r="I27" s="30"/>
      <c r="J27" s="30"/>
      <c r="K27" s="30"/>
      <c r="L27" s="30"/>
      <c r="M27" s="30"/>
      <c r="N27" s="30"/>
      <c r="O27" s="30"/>
      <c r="P27" s="37"/>
    </row>
    <row r="28" spans="1:16" ht="24" customHeight="1" x14ac:dyDescent="0.25">
      <c r="A28" s="54"/>
      <c r="B28" s="38" t="s">
        <v>91</v>
      </c>
      <c r="C28" s="35">
        <v>5</v>
      </c>
      <c r="D28" s="29">
        <f t="shared" si="1"/>
        <v>0</v>
      </c>
      <c r="E28" s="30"/>
      <c r="F28" s="30"/>
      <c r="G28" s="30"/>
      <c r="H28" s="30"/>
      <c r="I28" s="30"/>
      <c r="J28" s="30"/>
      <c r="K28" s="30"/>
      <c r="L28" s="30"/>
      <c r="M28" s="30"/>
      <c r="N28" s="30"/>
      <c r="O28" s="30"/>
      <c r="P28" s="37"/>
    </row>
    <row r="29" spans="1:16" ht="24" customHeight="1" x14ac:dyDescent="0.25">
      <c r="A29" s="54"/>
      <c r="B29" s="38" t="s">
        <v>92</v>
      </c>
      <c r="C29" s="35">
        <v>1</v>
      </c>
      <c r="D29" s="29">
        <f t="shared" si="1"/>
        <v>0</v>
      </c>
      <c r="E29" s="30"/>
      <c r="F29" s="30"/>
      <c r="G29" s="30"/>
      <c r="H29" s="30"/>
      <c r="I29" s="30"/>
      <c r="J29" s="30"/>
      <c r="K29" s="30"/>
      <c r="L29" s="30"/>
      <c r="M29" s="30"/>
      <c r="N29" s="30"/>
      <c r="O29" s="30"/>
      <c r="P29" s="37"/>
    </row>
    <row r="30" spans="1:16" ht="24" customHeight="1" x14ac:dyDescent="0.25">
      <c r="A30" s="54"/>
      <c r="B30" s="38" t="s">
        <v>93</v>
      </c>
      <c r="C30" s="35">
        <v>1</v>
      </c>
      <c r="D30" s="29">
        <f t="shared" si="1"/>
        <v>0</v>
      </c>
      <c r="E30" s="30"/>
      <c r="F30" s="30"/>
      <c r="G30" s="30"/>
      <c r="H30" s="30"/>
      <c r="I30" s="30"/>
      <c r="J30" s="30"/>
      <c r="K30" s="30"/>
      <c r="L30" s="30"/>
      <c r="M30" s="30"/>
      <c r="N30" s="30"/>
      <c r="O30" s="30"/>
      <c r="P30" s="37"/>
    </row>
    <row r="31" spans="1:16" ht="24" customHeight="1" x14ac:dyDescent="0.25">
      <c r="A31" s="54"/>
      <c r="B31" s="38" t="s">
        <v>94</v>
      </c>
      <c r="C31" s="35">
        <v>1</v>
      </c>
      <c r="D31" s="29">
        <f t="shared" si="1"/>
        <v>0</v>
      </c>
      <c r="E31" s="30"/>
      <c r="F31" s="30"/>
      <c r="G31" s="30"/>
      <c r="H31" s="30"/>
      <c r="I31" s="30"/>
      <c r="J31" s="30"/>
      <c r="K31" s="30"/>
      <c r="L31" s="30"/>
      <c r="M31" s="30"/>
      <c r="N31" s="30"/>
      <c r="O31" s="30"/>
      <c r="P31" s="37"/>
    </row>
    <row r="32" spans="1:16" ht="24" customHeight="1" x14ac:dyDescent="0.25">
      <c r="A32" s="54"/>
      <c r="B32" s="38" t="s">
        <v>95</v>
      </c>
      <c r="C32" s="35">
        <v>1</v>
      </c>
      <c r="D32" s="29">
        <f t="shared" si="1"/>
        <v>0</v>
      </c>
      <c r="E32" s="30"/>
      <c r="F32" s="30"/>
      <c r="G32" s="30"/>
      <c r="H32" s="30"/>
      <c r="I32" s="30"/>
      <c r="J32" s="30"/>
      <c r="K32" s="30"/>
      <c r="L32" s="30"/>
      <c r="M32" s="30"/>
      <c r="N32" s="30"/>
      <c r="O32" s="30"/>
      <c r="P32" s="37"/>
    </row>
    <row r="33" spans="1:16" ht="24" customHeight="1" x14ac:dyDescent="0.25">
      <c r="A33" s="54"/>
      <c r="B33" s="38" t="s">
        <v>96</v>
      </c>
      <c r="C33" s="35">
        <v>1</v>
      </c>
      <c r="D33" s="29">
        <f t="shared" si="1"/>
        <v>0</v>
      </c>
      <c r="E33" s="30"/>
      <c r="F33" s="30"/>
      <c r="G33" s="30"/>
      <c r="H33" s="30"/>
      <c r="I33" s="30"/>
      <c r="J33" s="30"/>
      <c r="K33" s="30"/>
      <c r="L33" s="30"/>
      <c r="M33" s="30"/>
      <c r="N33" s="30"/>
      <c r="O33" s="30"/>
      <c r="P33" s="37"/>
    </row>
    <row r="34" spans="1:16" ht="24" customHeight="1" x14ac:dyDescent="0.25">
      <c r="A34" s="54"/>
      <c r="B34" s="38" t="s">
        <v>97</v>
      </c>
      <c r="C34" s="35">
        <v>1</v>
      </c>
      <c r="D34" s="29">
        <f t="shared" si="1"/>
        <v>0</v>
      </c>
      <c r="E34" s="30"/>
      <c r="F34" s="30"/>
      <c r="G34" s="30"/>
      <c r="H34" s="30"/>
      <c r="I34" s="30"/>
      <c r="J34" s="30"/>
      <c r="K34" s="30"/>
      <c r="L34" s="30"/>
      <c r="M34" s="30"/>
      <c r="N34" s="30"/>
      <c r="O34" s="30"/>
      <c r="P34" s="37"/>
    </row>
    <row r="35" spans="1:16" ht="24" customHeight="1" thickBot="1" x14ac:dyDescent="0.3">
      <c r="A35" s="55"/>
      <c r="B35" s="39" t="s">
        <v>98</v>
      </c>
      <c r="C35" s="35">
        <v>1</v>
      </c>
      <c r="D35" s="29">
        <f t="shared" si="1"/>
        <v>0</v>
      </c>
      <c r="E35" s="30"/>
      <c r="F35" s="30"/>
      <c r="G35" s="30"/>
      <c r="H35" s="30"/>
      <c r="I35" s="30"/>
      <c r="J35" s="30"/>
      <c r="K35" s="30"/>
      <c r="L35" s="30"/>
      <c r="M35" s="30"/>
      <c r="N35" s="30"/>
      <c r="O35" s="30"/>
      <c r="P35" s="37"/>
    </row>
    <row r="36" spans="1:16" x14ac:dyDescent="0.25">
      <c r="C36" s="40">
        <f>SUM(C3:C35)</f>
        <v>242</v>
      </c>
      <c r="D36" s="41">
        <f>SUM(D3:D35)</f>
        <v>106</v>
      </c>
    </row>
    <row r="37" spans="1:16" x14ac:dyDescent="0.25">
      <c r="C37" s="8"/>
      <c r="D37" s="42">
        <f>D36/C36</f>
        <v>0.43801652892561982</v>
      </c>
    </row>
  </sheetData>
  <sheetProtection algorithmName="SHA-512" hashValue="pQZPj39Wd8hiRXTWm5iAHDjafxYnaqUj7orJHNTPD2APRBjhrIp69b/UKpRjHgmEyTockSQg92/Y5enOtOzvWA==" saltValue="CJYWNQC4vusdBv0Xne/vhg==" spinCount="100000" sheet="1" objects="1" scenarios="1" autoFilter="0"/>
  <mergeCells count="2">
    <mergeCell ref="A1:A2"/>
    <mergeCell ref="A8:A35"/>
  </mergeCells>
  <conditionalFormatting sqref="C3:D3">
    <cfRule type="dataBar" priority="6">
      <dataBar>
        <cfvo type="min"/>
        <cfvo type="max"/>
        <color rgb="FF008AEF"/>
      </dataBar>
      <extLst>
        <ext xmlns:x14="http://schemas.microsoft.com/office/spreadsheetml/2009/9/main" uri="{B025F937-C7B1-47D3-B67F-A62EFF666E3E}">
          <x14:id>{994ED96D-7D3B-48E6-BFDA-5FFA4971AEE8}</x14:id>
        </ext>
      </extLst>
    </cfRule>
  </conditionalFormatting>
  <conditionalFormatting sqref="C4:D4">
    <cfRule type="dataBar" priority="7">
      <dataBar>
        <cfvo type="min"/>
        <cfvo type="max"/>
        <color rgb="FF008AEF"/>
      </dataBar>
      <extLst>
        <ext xmlns:x14="http://schemas.microsoft.com/office/spreadsheetml/2009/9/main" uri="{B025F937-C7B1-47D3-B67F-A62EFF666E3E}">
          <x14:id>{47B13B8F-2AC0-4B85-9A68-CD538790B6C8}</x14:id>
        </ext>
      </extLst>
    </cfRule>
  </conditionalFormatting>
  <conditionalFormatting sqref="C5:D5">
    <cfRule type="dataBar" priority="8">
      <dataBar>
        <cfvo type="min"/>
        <cfvo type="max"/>
        <color rgb="FF008AEF"/>
      </dataBar>
      <extLst>
        <ext xmlns:x14="http://schemas.microsoft.com/office/spreadsheetml/2009/9/main" uri="{B025F937-C7B1-47D3-B67F-A62EFF666E3E}">
          <x14:id>{421AF1E8-0B73-4518-B076-8F1BEC605C1C}</x14:id>
        </ext>
      </extLst>
    </cfRule>
  </conditionalFormatting>
  <conditionalFormatting sqref="C6:D6">
    <cfRule type="dataBar" priority="9">
      <dataBar>
        <cfvo type="min"/>
        <cfvo type="max"/>
        <color rgb="FF008AEF"/>
      </dataBar>
      <extLst>
        <ext xmlns:x14="http://schemas.microsoft.com/office/spreadsheetml/2009/9/main" uri="{B025F937-C7B1-47D3-B67F-A62EFF666E3E}">
          <x14:id>{DCC19FAA-6B9E-41C5-AFEA-DDD9A2C00770}</x14:id>
        </ext>
      </extLst>
    </cfRule>
  </conditionalFormatting>
  <conditionalFormatting sqref="C7:D7">
    <cfRule type="dataBar" priority="10">
      <dataBar>
        <cfvo type="min"/>
        <cfvo type="max"/>
        <color rgb="FF008AEF"/>
      </dataBar>
      <extLst>
        <ext xmlns:x14="http://schemas.microsoft.com/office/spreadsheetml/2009/9/main" uri="{B025F937-C7B1-47D3-B67F-A62EFF666E3E}">
          <x14:id>{D27639DA-474A-469E-A1E9-92E561BD61B0}</x14:id>
        </ext>
      </extLst>
    </cfRule>
  </conditionalFormatting>
  <conditionalFormatting sqref="C8:D8">
    <cfRule type="dataBar" priority="13">
      <dataBar>
        <cfvo type="min"/>
        <cfvo type="max"/>
        <color rgb="FF008AEF"/>
      </dataBar>
      <extLst>
        <ext xmlns:x14="http://schemas.microsoft.com/office/spreadsheetml/2009/9/main" uri="{B025F937-C7B1-47D3-B67F-A62EFF666E3E}">
          <x14:id>{8FBDF49C-02D7-4557-842E-5BAACFF584F5}</x14:id>
        </ext>
      </extLst>
    </cfRule>
  </conditionalFormatting>
  <conditionalFormatting sqref="C9:D9">
    <cfRule type="dataBar" priority="40">
      <dataBar>
        <cfvo type="min"/>
        <cfvo type="max"/>
        <color rgb="FF008AEF"/>
      </dataBar>
      <extLst>
        <ext xmlns:x14="http://schemas.microsoft.com/office/spreadsheetml/2009/9/main" uri="{B025F937-C7B1-47D3-B67F-A62EFF666E3E}">
          <x14:id>{D4A3D855-2DA7-460D-A17C-1CCD9757E4A6}</x14:id>
        </ext>
      </extLst>
    </cfRule>
  </conditionalFormatting>
  <conditionalFormatting sqref="C10:D10">
    <cfRule type="dataBar" priority="39">
      <dataBar>
        <cfvo type="min"/>
        <cfvo type="max"/>
        <color rgb="FF008AEF"/>
      </dataBar>
      <extLst>
        <ext xmlns:x14="http://schemas.microsoft.com/office/spreadsheetml/2009/9/main" uri="{B025F937-C7B1-47D3-B67F-A62EFF666E3E}">
          <x14:id>{4BB9514C-B0C2-41B0-8126-ED49DEDBD7F4}</x14:id>
        </ext>
      </extLst>
    </cfRule>
  </conditionalFormatting>
  <conditionalFormatting sqref="C11:D11">
    <cfRule type="dataBar" priority="38">
      <dataBar>
        <cfvo type="min"/>
        <cfvo type="max"/>
        <color rgb="FF008AEF"/>
      </dataBar>
      <extLst>
        <ext xmlns:x14="http://schemas.microsoft.com/office/spreadsheetml/2009/9/main" uri="{B025F937-C7B1-47D3-B67F-A62EFF666E3E}">
          <x14:id>{98D40E25-795C-4912-B420-E90D6CE74412}</x14:id>
        </ext>
      </extLst>
    </cfRule>
  </conditionalFormatting>
  <conditionalFormatting sqref="C12:D12">
    <cfRule type="dataBar" priority="37">
      <dataBar>
        <cfvo type="min"/>
        <cfvo type="max"/>
        <color rgb="FF008AEF"/>
      </dataBar>
      <extLst>
        <ext xmlns:x14="http://schemas.microsoft.com/office/spreadsheetml/2009/9/main" uri="{B025F937-C7B1-47D3-B67F-A62EFF666E3E}">
          <x14:id>{F0A3B9F0-DB04-4952-8B5A-0EE391640828}</x14:id>
        </ext>
      </extLst>
    </cfRule>
  </conditionalFormatting>
  <conditionalFormatting sqref="C13:D13">
    <cfRule type="dataBar" priority="36">
      <dataBar>
        <cfvo type="min"/>
        <cfvo type="max"/>
        <color rgb="FF008AEF"/>
      </dataBar>
      <extLst>
        <ext xmlns:x14="http://schemas.microsoft.com/office/spreadsheetml/2009/9/main" uri="{B025F937-C7B1-47D3-B67F-A62EFF666E3E}">
          <x14:id>{5233B341-B807-41B8-817D-EAF086992B3B}</x14:id>
        </ext>
      </extLst>
    </cfRule>
  </conditionalFormatting>
  <conditionalFormatting sqref="C14:D14">
    <cfRule type="dataBar" priority="35">
      <dataBar>
        <cfvo type="min"/>
        <cfvo type="max"/>
        <color rgb="FF008AEF"/>
      </dataBar>
      <extLst>
        <ext xmlns:x14="http://schemas.microsoft.com/office/spreadsheetml/2009/9/main" uri="{B025F937-C7B1-47D3-B67F-A62EFF666E3E}">
          <x14:id>{1424C189-F13F-42FE-AB31-46EC57DF3073}</x14:id>
        </ext>
      </extLst>
    </cfRule>
  </conditionalFormatting>
  <conditionalFormatting sqref="C15:D15">
    <cfRule type="dataBar" priority="34">
      <dataBar>
        <cfvo type="min"/>
        <cfvo type="max"/>
        <color rgb="FF008AEF"/>
      </dataBar>
      <extLst>
        <ext xmlns:x14="http://schemas.microsoft.com/office/spreadsheetml/2009/9/main" uri="{B025F937-C7B1-47D3-B67F-A62EFF666E3E}">
          <x14:id>{39B57866-9FC8-4B76-8917-4875C8A539AD}</x14:id>
        </ext>
      </extLst>
    </cfRule>
  </conditionalFormatting>
  <conditionalFormatting sqref="C16:D16">
    <cfRule type="dataBar" priority="33">
      <dataBar>
        <cfvo type="min"/>
        <cfvo type="max"/>
        <color rgb="FF008AEF"/>
      </dataBar>
      <extLst>
        <ext xmlns:x14="http://schemas.microsoft.com/office/spreadsheetml/2009/9/main" uri="{B025F937-C7B1-47D3-B67F-A62EFF666E3E}">
          <x14:id>{CB8A473E-8C5F-46BC-B921-A76E2C5D4F0B}</x14:id>
        </ext>
      </extLst>
    </cfRule>
  </conditionalFormatting>
  <conditionalFormatting sqref="C17:D17">
    <cfRule type="dataBar" priority="32">
      <dataBar>
        <cfvo type="min"/>
        <cfvo type="max"/>
        <color rgb="FF008AEF"/>
      </dataBar>
      <extLst>
        <ext xmlns:x14="http://schemas.microsoft.com/office/spreadsheetml/2009/9/main" uri="{B025F937-C7B1-47D3-B67F-A62EFF666E3E}">
          <x14:id>{F6FD7DD5-9B36-4F27-A49D-F3EB705D1A4B}</x14:id>
        </ext>
      </extLst>
    </cfRule>
  </conditionalFormatting>
  <conditionalFormatting sqref="C18:D18">
    <cfRule type="dataBar" priority="31">
      <dataBar>
        <cfvo type="min"/>
        <cfvo type="max"/>
        <color rgb="FF008AEF"/>
      </dataBar>
      <extLst>
        <ext xmlns:x14="http://schemas.microsoft.com/office/spreadsheetml/2009/9/main" uri="{B025F937-C7B1-47D3-B67F-A62EFF666E3E}">
          <x14:id>{D2A02ACD-4FDA-4036-9018-0FC7D581578E}</x14:id>
        </ext>
      </extLst>
    </cfRule>
  </conditionalFormatting>
  <conditionalFormatting sqref="C19:D19">
    <cfRule type="dataBar" priority="30">
      <dataBar>
        <cfvo type="min"/>
        <cfvo type="max"/>
        <color rgb="FF008AEF"/>
      </dataBar>
      <extLst>
        <ext xmlns:x14="http://schemas.microsoft.com/office/spreadsheetml/2009/9/main" uri="{B025F937-C7B1-47D3-B67F-A62EFF666E3E}">
          <x14:id>{4058DF1D-5C1E-4B4D-AE73-78CB1EAEA59E}</x14:id>
        </ext>
      </extLst>
    </cfRule>
  </conditionalFormatting>
  <conditionalFormatting sqref="C20:D20">
    <cfRule type="dataBar" priority="29">
      <dataBar>
        <cfvo type="min"/>
        <cfvo type="max"/>
        <color rgb="FF008AEF"/>
      </dataBar>
      <extLst>
        <ext xmlns:x14="http://schemas.microsoft.com/office/spreadsheetml/2009/9/main" uri="{B025F937-C7B1-47D3-B67F-A62EFF666E3E}">
          <x14:id>{896E589C-1419-452B-B7E8-66D4F694340D}</x14:id>
        </ext>
      </extLst>
    </cfRule>
  </conditionalFormatting>
  <conditionalFormatting sqref="C21:D21">
    <cfRule type="dataBar" priority="28">
      <dataBar>
        <cfvo type="min"/>
        <cfvo type="max"/>
        <color rgb="FF008AEF"/>
      </dataBar>
      <extLst>
        <ext xmlns:x14="http://schemas.microsoft.com/office/spreadsheetml/2009/9/main" uri="{B025F937-C7B1-47D3-B67F-A62EFF666E3E}">
          <x14:id>{838291BE-3E28-49CE-9CB2-9CA285AD9E82}</x14:id>
        </ext>
      </extLst>
    </cfRule>
  </conditionalFormatting>
  <conditionalFormatting sqref="C22:D22">
    <cfRule type="dataBar" priority="27">
      <dataBar>
        <cfvo type="min"/>
        <cfvo type="max"/>
        <color rgb="FF008AEF"/>
      </dataBar>
      <extLst>
        <ext xmlns:x14="http://schemas.microsoft.com/office/spreadsheetml/2009/9/main" uri="{B025F937-C7B1-47D3-B67F-A62EFF666E3E}">
          <x14:id>{8B7FE511-DFAB-48CA-B61A-EB7FF1FDC9D3}</x14:id>
        </ext>
      </extLst>
    </cfRule>
  </conditionalFormatting>
  <conditionalFormatting sqref="C23:D23">
    <cfRule type="dataBar" priority="26">
      <dataBar>
        <cfvo type="min"/>
        <cfvo type="max"/>
        <color rgb="FF008AEF"/>
      </dataBar>
      <extLst>
        <ext xmlns:x14="http://schemas.microsoft.com/office/spreadsheetml/2009/9/main" uri="{B025F937-C7B1-47D3-B67F-A62EFF666E3E}">
          <x14:id>{DC53F2EA-B457-47EE-BEC2-8D65EA45B9F6}</x14:id>
        </ext>
      </extLst>
    </cfRule>
  </conditionalFormatting>
  <conditionalFormatting sqref="C24:D24">
    <cfRule type="dataBar" priority="25">
      <dataBar>
        <cfvo type="min"/>
        <cfvo type="max"/>
        <color rgb="FF008AEF"/>
      </dataBar>
      <extLst>
        <ext xmlns:x14="http://schemas.microsoft.com/office/spreadsheetml/2009/9/main" uri="{B025F937-C7B1-47D3-B67F-A62EFF666E3E}">
          <x14:id>{E42A1BC2-EA66-4BFA-80D3-984DBECC3836}</x14:id>
        </ext>
      </extLst>
    </cfRule>
  </conditionalFormatting>
  <conditionalFormatting sqref="C25:D25">
    <cfRule type="dataBar" priority="24">
      <dataBar>
        <cfvo type="min"/>
        <cfvo type="max"/>
        <color rgb="FF008AEF"/>
      </dataBar>
      <extLst>
        <ext xmlns:x14="http://schemas.microsoft.com/office/spreadsheetml/2009/9/main" uri="{B025F937-C7B1-47D3-B67F-A62EFF666E3E}">
          <x14:id>{6C1C7075-F8D0-4A75-827A-FC0FA837EAEE}</x14:id>
        </ext>
      </extLst>
    </cfRule>
  </conditionalFormatting>
  <conditionalFormatting sqref="C26:D26">
    <cfRule type="dataBar" priority="23">
      <dataBar>
        <cfvo type="min"/>
        <cfvo type="max"/>
        <color rgb="FF008AEF"/>
      </dataBar>
      <extLst>
        <ext xmlns:x14="http://schemas.microsoft.com/office/spreadsheetml/2009/9/main" uri="{B025F937-C7B1-47D3-B67F-A62EFF666E3E}">
          <x14:id>{E6881679-205C-430C-9C36-0B2ACAC3BC1E}</x14:id>
        </ext>
      </extLst>
    </cfRule>
  </conditionalFormatting>
  <conditionalFormatting sqref="C27:D27">
    <cfRule type="dataBar" priority="22">
      <dataBar>
        <cfvo type="min"/>
        <cfvo type="max"/>
        <color rgb="FF008AEF"/>
      </dataBar>
      <extLst>
        <ext xmlns:x14="http://schemas.microsoft.com/office/spreadsheetml/2009/9/main" uri="{B025F937-C7B1-47D3-B67F-A62EFF666E3E}">
          <x14:id>{4B381671-2ACB-4F14-93B5-9A77E2298FA8}</x14:id>
        </ext>
      </extLst>
    </cfRule>
  </conditionalFormatting>
  <conditionalFormatting sqref="C28:D28">
    <cfRule type="dataBar" priority="21">
      <dataBar>
        <cfvo type="min"/>
        <cfvo type="max"/>
        <color rgb="FF008AEF"/>
      </dataBar>
      <extLst>
        <ext xmlns:x14="http://schemas.microsoft.com/office/spreadsheetml/2009/9/main" uri="{B025F937-C7B1-47D3-B67F-A62EFF666E3E}">
          <x14:id>{14A3E4DE-ABAC-481A-B496-26CB43B8F2DA}</x14:id>
        </ext>
      </extLst>
    </cfRule>
  </conditionalFormatting>
  <conditionalFormatting sqref="C29:D29">
    <cfRule type="dataBar" priority="20">
      <dataBar>
        <cfvo type="min"/>
        <cfvo type="max"/>
        <color rgb="FF008AEF"/>
      </dataBar>
      <extLst>
        <ext xmlns:x14="http://schemas.microsoft.com/office/spreadsheetml/2009/9/main" uri="{B025F937-C7B1-47D3-B67F-A62EFF666E3E}">
          <x14:id>{8D7984F9-21AB-4E0C-914F-CD11BE664EB8}</x14:id>
        </ext>
      </extLst>
    </cfRule>
  </conditionalFormatting>
  <conditionalFormatting sqref="C30:D30">
    <cfRule type="dataBar" priority="19">
      <dataBar>
        <cfvo type="min"/>
        <cfvo type="max"/>
        <color rgb="FF008AEF"/>
      </dataBar>
      <extLst>
        <ext xmlns:x14="http://schemas.microsoft.com/office/spreadsheetml/2009/9/main" uri="{B025F937-C7B1-47D3-B67F-A62EFF666E3E}">
          <x14:id>{64FF1689-A854-4038-BFD7-79F7C67DAFFB}</x14:id>
        </ext>
      </extLst>
    </cfRule>
  </conditionalFormatting>
  <conditionalFormatting sqref="C31:D31">
    <cfRule type="dataBar" priority="18">
      <dataBar>
        <cfvo type="min"/>
        <cfvo type="max"/>
        <color rgb="FF008AEF"/>
      </dataBar>
      <extLst>
        <ext xmlns:x14="http://schemas.microsoft.com/office/spreadsheetml/2009/9/main" uri="{B025F937-C7B1-47D3-B67F-A62EFF666E3E}">
          <x14:id>{2C9DF350-446B-4673-ACC3-9793C2290944}</x14:id>
        </ext>
      </extLst>
    </cfRule>
  </conditionalFormatting>
  <conditionalFormatting sqref="C32:D32">
    <cfRule type="dataBar" priority="17">
      <dataBar>
        <cfvo type="min"/>
        <cfvo type="max"/>
        <color rgb="FF008AEF"/>
      </dataBar>
      <extLst>
        <ext xmlns:x14="http://schemas.microsoft.com/office/spreadsheetml/2009/9/main" uri="{B025F937-C7B1-47D3-B67F-A62EFF666E3E}">
          <x14:id>{6DF6751E-08B9-459C-974C-CB39F5AD41B7}</x14:id>
        </ext>
      </extLst>
    </cfRule>
  </conditionalFormatting>
  <conditionalFormatting sqref="C33:D33">
    <cfRule type="dataBar" priority="16">
      <dataBar>
        <cfvo type="min"/>
        <cfvo type="max"/>
        <color rgb="FF008AEF"/>
      </dataBar>
      <extLst>
        <ext xmlns:x14="http://schemas.microsoft.com/office/spreadsheetml/2009/9/main" uri="{B025F937-C7B1-47D3-B67F-A62EFF666E3E}">
          <x14:id>{63601D44-FD99-47A3-93D9-50AA1F3D3F7D}</x14:id>
        </ext>
      </extLst>
    </cfRule>
  </conditionalFormatting>
  <conditionalFormatting sqref="C34:D34">
    <cfRule type="dataBar" priority="15">
      <dataBar>
        <cfvo type="min"/>
        <cfvo type="max"/>
        <color rgb="FF008AEF"/>
      </dataBar>
      <extLst>
        <ext xmlns:x14="http://schemas.microsoft.com/office/spreadsheetml/2009/9/main" uri="{B025F937-C7B1-47D3-B67F-A62EFF666E3E}">
          <x14:id>{98E3FA46-9DC7-4AC1-993F-BFD0A7EED400}</x14:id>
        </ext>
      </extLst>
    </cfRule>
  </conditionalFormatting>
  <conditionalFormatting sqref="C35:D35">
    <cfRule type="dataBar" priority="14">
      <dataBar>
        <cfvo type="min"/>
        <cfvo type="max"/>
        <color rgb="FF008AEF"/>
      </dataBar>
      <extLst>
        <ext xmlns:x14="http://schemas.microsoft.com/office/spreadsheetml/2009/9/main" uri="{B025F937-C7B1-47D3-B67F-A62EFF666E3E}">
          <x14:id>{5C8C77C4-CE3C-4992-AF1A-D40B46DC6943}</x14:id>
        </ext>
      </extLst>
    </cfRule>
  </conditionalFormatting>
  <conditionalFormatting sqref="D3:D7">
    <cfRule type="dataBar" priority="52">
      <dataBar>
        <cfvo type="min"/>
        <cfvo type="max"/>
        <color rgb="FF008AEF"/>
      </dataBar>
      <extLst>
        <ext xmlns:x14="http://schemas.microsoft.com/office/spreadsheetml/2009/9/main" uri="{B025F937-C7B1-47D3-B67F-A62EFF666E3E}">
          <x14:id>{6A6F9988-F631-4704-A410-6DFC75ECB084}</x14:id>
        </ext>
      </extLst>
    </cfRule>
  </conditionalFormatting>
  <conditionalFormatting sqref="G8:O31">
    <cfRule type="cellIs" dxfId="6" priority="12" operator="greaterThan">
      <formula>0</formula>
    </cfRule>
  </conditionalFormatting>
  <conditionalFormatting sqref="G3:P7 E3:F31 E32:O35">
    <cfRule type="cellIs" dxfId="5" priority="3" operator="greaterThan">
      <formula>0</formula>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994ED96D-7D3B-48E6-BFDA-5FFA4971AEE8}">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47B13B8F-2AC0-4B85-9A68-CD538790B6C8}">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421AF1E8-0B73-4518-B076-8F1BEC605C1C}">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DCC19FAA-6B9E-41C5-AFEA-DDD9A2C00770}">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D27639DA-474A-469E-A1E9-92E561BD61B0}">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8FBDF49C-02D7-4557-842E-5BAACFF584F5}">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D4A3D855-2DA7-460D-A17C-1CCD9757E4A6}">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4BB9514C-B0C2-41B0-8126-ED49DEDBD7F4}">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98D40E25-795C-4912-B420-E90D6CE74412}">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F0A3B9F0-DB04-4952-8B5A-0EE391640828}">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5233B341-B807-41B8-817D-EAF086992B3B}">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1424C189-F13F-42FE-AB31-46EC57DF3073}">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39B57866-9FC8-4B76-8917-4875C8A539AD}">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CB8A473E-8C5F-46BC-B921-A76E2C5D4F0B}">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F6FD7DD5-9B36-4F27-A49D-F3EB705D1A4B}">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D2A02ACD-4FDA-4036-9018-0FC7D581578E}">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4058DF1D-5C1E-4B4D-AE73-78CB1EAEA59E}">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896E589C-1419-452B-B7E8-66D4F694340D}">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838291BE-3E28-49CE-9CB2-9CA285AD9E82}">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8B7FE511-DFAB-48CA-B61A-EB7FF1FDC9D3}">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DC53F2EA-B457-47EE-BEC2-8D65EA45B9F6}">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E42A1BC2-EA66-4BFA-80D3-984DBECC3836}">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6C1C7075-F8D0-4A75-827A-FC0FA837EAEE}">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E6881679-205C-430C-9C36-0B2ACAC3BC1E}">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4B381671-2ACB-4F14-93B5-9A77E2298FA8}">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14A3E4DE-ABAC-481A-B496-26CB43B8F2DA}">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8D7984F9-21AB-4E0C-914F-CD11BE664EB8}">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64FF1689-A854-4038-BFD7-79F7C67DAFFB}">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2C9DF350-446B-4673-ACC3-9793C2290944}">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6DF6751E-08B9-459C-974C-CB39F5AD41B7}">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63601D44-FD99-47A3-93D9-50AA1F3D3F7D}">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98E3FA46-9DC7-4AC1-993F-BFD0A7EED400}">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5C8C77C4-CE3C-4992-AF1A-D40B46DC6943}">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6A6F9988-F631-4704-A410-6DFC75ECB084}">
            <x14:dataBar minLength="0" maxLength="100" gradient="0">
              <x14:cfvo type="autoMin"/>
              <x14:cfvo type="autoMax"/>
              <x14:negativeFillColor rgb="FFFF0000"/>
              <x14:axisColor rgb="FF000000"/>
            </x14:dataBar>
          </x14:cfRule>
          <xm:sqref>D3:D7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dimension ref="A1:P35"/>
  <sheetViews>
    <sheetView zoomScale="70" zoomScaleNormal="70" workbookViewId="0">
      <selection activeCell="O5" sqref="O5"/>
    </sheetView>
  </sheetViews>
  <sheetFormatPr baseColWidth="10" defaultColWidth="11.42578125" defaultRowHeight="15" x14ac:dyDescent="0.25"/>
  <cols>
    <col min="1" max="1" width="8.85546875" style="2" customWidth="1"/>
    <col min="2" max="2" width="106.5703125" style="2" customWidth="1"/>
    <col min="3" max="3" width="11.42578125" style="2"/>
    <col min="4" max="4" width="22.42578125" style="2" customWidth="1"/>
    <col min="5" max="9" width="17.28515625" style="2" customWidth="1"/>
    <col min="10" max="16384" width="11.42578125" style="2"/>
  </cols>
  <sheetData>
    <row r="1" spans="1:16" ht="61.5" customHeight="1" x14ac:dyDescent="0.25">
      <c r="A1" s="51" t="s">
        <v>1</v>
      </c>
      <c r="B1" s="23" t="s">
        <v>44</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3" customFormat="1" ht="15.75" thickBot="1" x14ac:dyDescent="0.3">
      <c r="A2" s="52"/>
      <c r="B2" s="23"/>
      <c r="C2" s="25">
        <v>2026</v>
      </c>
      <c r="D2" s="25" t="s">
        <v>16</v>
      </c>
      <c r="E2" s="26"/>
      <c r="F2" s="26"/>
      <c r="G2" s="26"/>
      <c r="H2" s="26"/>
      <c r="I2" s="26"/>
      <c r="J2" s="26"/>
      <c r="K2" s="26"/>
      <c r="L2" s="26"/>
      <c r="M2" s="26"/>
      <c r="N2" s="26"/>
      <c r="O2" s="26"/>
      <c r="P2" s="26"/>
    </row>
    <row r="3" spans="1:16" ht="81" customHeight="1" x14ac:dyDescent="0.25">
      <c r="A3" s="43" t="s">
        <v>18</v>
      </c>
      <c r="B3" s="4" t="s">
        <v>17</v>
      </c>
      <c r="C3" s="28">
        <v>2</v>
      </c>
      <c r="D3" s="29">
        <f t="shared" ref="D3:D5" si="0">SUM(E3:P3)</f>
        <v>1</v>
      </c>
      <c r="E3" s="30"/>
      <c r="F3" s="30"/>
      <c r="G3" s="30">
        <v>1</v>
      </c>
      <c r="H3" s="30"/>
      <c r="I3" s="30"/>
      <c r="J3" s="30"/>
      <c r="K3" s="30"/>
      <c r="L3" s="30"/>
      <c r="M3" s="30"/>
      <c r="N3" s="30"/>
      <c r="O3" s="30"/>
      <c r="P3" s="30"/>
    </row>
    <row r="4" spans="1:16" ht="81" customHeight="1" x14ac:dyDescent="0.25">
      <c r="A4" s="44" t="s">
        <v>20</v>
      </c>
      <c r="B4" s="5" t="s">
        <v>19</v>
      </c>
      <c r="C4" s="32">
        <v>2</v>
      </c>
      <c r="D4" s="29">
        <f t="shared" si="0"/>
        <v>2</v>
      </c>
      <c r="E4" s="30">
        <v>0</v>
      </c>
      <c r="F4" s="30">
        <v>0</v>
      </c>
      <c r="G4" s="30">
        <v>0</v>
      </c>
      <c r="H4" s="30">
        <v>1</v>
      </c>
      <c r="I4" s="30">
        <v>1</v>
      </c>
      <c r="J4" s="30"/>
      <c r="K4" s="30"/>
      <c r="L4" s="30"/>
      <c r="M4" s="30"/>
      <c r="N4" s="30"/>
      <c r="O4" s="30"/>
      <c r="P4" s="30"/>
    </row>
    <row r="5" spans="1:16" ht="81" customHeight="1" x14ac:dyDescent="0.25">
      <c r="A5" s="45" t="s">
        <v>22</v>
      </c>
      <c r="B5" s="6" t="s">
        <v>21</v>
      </c>
      <c r="C5" s="33">
        <v>2</v>
      </c>
      <c r="D5" s="29">
        <f t="shared" si="0"/>
        <v>2</v>
      </c>
      <c r="E5" s="30">
        <v>0</v>
      </c>
      <c r="F5" s="30">
        <v>0</v>
      </c>
      <c r="G5" s="30">
        <v>0</v>
      </c>
      <c r="H5" s="30">
        <v>2</v>
      </c>
      <c r="I5" s="30"/>
      <c r="J5" s="30"/>
      <c r="K5" s="30"/>
      <c r="L5" s="30"/>
      <c r="M5" s="30"/>
      <c r="N5" s="30"/>
      <c r="O5" s="30"/>
      <c r="P5" s="30"/>
    </row>
    <row r="6" spans="1:16" ht="28.5" customHeight="1" x14ac:dyDescent="0.25">
      <c r="A6" s="53" t="s">
        <v>70</v>
      </c>
      <c r="B6" s="36" t="s">
        <v>71</v>
      </c>
      <c r="C6" s="35">
        <v>1</v>
      </c>
      <c r="D6" s="29">
        <f t="shared" ref="D6:D33" si="1">SUM(E6:O6)</f>
        <v>0</v>
      </c>
      <c r="E6" s="30"/>
      <c r="F6" s="30"/>
      <c r="G6" s="30"/>
      <c r="H6" s="30"/>
      <c r="I6" s="30"/>
      <c r="J6" s="30"/>
      <c r="K6" s="30"/>
      <c r="L6" s="30"/>
      <c r="M6" s="30"/>
      <c r="N6" s="30"/>
      <c r="O6" s="30"/>
      <c r="P6" s="37"/>
    </row>
    <row r="7" spans="1:16" ht="28.5" customHeight="1" x14ac:dyDescent="0.25">
      <c r="A7" s="54"/>
      <c r="B7" s="36" t="s">
        <v>72</v>
      </c>
      <c r="C7" s="35">
        <v>3</v>
      </c>
      <c r="D7" s="29">
        <f t="shared" si="1"/>
        <v>0</v>
      </c>
      <c r="E7" s="30"/>
      <c r="F7" s="30"/>
      <c r="G7" s="30"/>
      <c r="H7" s="30"/>
      <c r="I7" s="30"/>
      <c r="J7" s="30"/>
      <c r="K7" s="30"/>
      <c r="L7" s="30"/>
      <c r="M7" s="30"/>
      <c r="N7" s="30"/>
      <c r="O7" s="30"/>
      <c r="P7" s="37"/>
    </row>
    <row r="8" spans="1:16" ht="28.5" customHeight="1" x14ac:dyDescent="0.25">
      <c r="A8" s="54"/>
      <c r="B8" s="36" t="s">
        <v>73</v>
      </c>
      <c r="C8" s="35">
        <v>92</v>
      </c>
      <c r="D8" s="29">
        <f t="shared" si="1"/>
        <v>46</v>
      </c>
      <c r="E8" s="30">
        <v>8</v>
      </c>
      <c r="F8" s="30">
        <v>11</v>
      </c>
      <c r="G8" s="30">
        <v>4</v>
      </c>
      <c r="H8" s="30">
        <v>11</v>
      </c>
      <c r="I8" s="30">
        <v>8</v>
      </c>
      <c r="J8" s="30">
        <v>4</v>
      </c>
      <c r="K8" s="30"/>
      <c r="L8" s="30"/>
      <c r="M8" s="30"/>
      <c r="N8" s="30"/>
      <c r="O8" s="30"/>
      <c r="P8" s="37"/>
    </row>
    <row r="9" spans="1:16" ht="28.5" customHeight="1" x14ac:dyDescent="0.25">
      <c r="A9" s="54"/>
      <c r="B9" s="36" t="s">
        <v>74</v>
      </c>
      <c r="C9" s="35">
        <v>95</v>
      </c>
      <c r="D9" s="29">
        <f t="shared" si="1"/>
        <v>54</v>
      </c>
      <c r="E9" s="30"/>
      <c r="F9" s="30"/>
      <c r="G9" s="30">
        <v>23</v>
      </c>
      <c r="H9" s="30">
        <v>31</v>
      </c>
      <c r="I9" s="30"/>
      <c r="J9" s="30"/>
      <c r="K9" s="30"/>
      <c r="L9" s="30"/>
      <c r="M9" s="30"/>
      <c r="N9" s="30"/>
      <c r="O9" s="30"/>
      <c r="P9" s="37"/>
    </row>
    <row r="10" spans="1:16" ht="28.5" customHeight="1" x14ac:dyDescent="0.25">
      <c r="A10" s="54"/>
      <c r="B10" s="36" t="s">
        <v>75</v>
      </c>
      <c r="C10" s="35">
        <v>0</v>
      </c>
      <c r="D10" s="29">
        <f t="shared" si="1"/>
        <v>0</v>
      </c>
      <c r="E10" s="30"/>
      <c r="F10" s="30"/>
      <c r="G10" s="30"/>
      <c r="H10" s="30"/>
      <c r="I10" s="30"/>
      <c r="J10" s="30"/>
      <c r="K10" s="30"/>
      <c r="L10" s="30"/>
      <c r="M10" s="30"/>
      <c r="N10" s="30"/>
      <c r="O10" s="30"/>
      <c r="P10" s="37"/>
    </row>
    <row r="11" spans="1:16" ht="28.5" customHeight="1" x14ac:dyDescent="0.25">
      <c r="A11" s="54"/>
      <c r="B11" s="36" t="s">
        <v>76</v>
      </c>
      <c r="C11" s="35">
        <v>15</v>
      </c>
      <c r="D11" s="29">
        <f t="shared" si="1"/>
        <v>3</v>
      </c>
      <c r="E11" s="30"/>
      <c r="F11" s="30"/>
      <c r="G11" s="30">
        <v>2</v>
      </c>
      <c r="H11" s="30">
        <v>1</v>
      </c>
      <c r="I11" s="30"/>
      <c r="J11" s="30"/>
      <c r="K11" s="30"/>
      <c r="L11" s="30"/>
      <c r="M11" s="30"/>
      <c r="N11" s="30"/>
      <c r="O11" s="30"/>
      <c r="P11" s="37"/>
    </row>
    <row r="12" spans="1:16" ht="28.5" customHeight="1" x14ac:dyDescent="0.25">
      <c r="A12" s="54"/>
      <c r="B12" s="36" t="s">
        <v>77</v>
      </c>
      <c r="C12" s="35">
        <v>0</v>
      </c>
      <c r="D12" s="29">
        <f t="shared" si="1"/>
        <v>0</v>
      </c>
      <c r="E12" s="30"/>
      <c r="F12" s="30"/>
      <c r="G12" s="30"/>
      <c r="H12" s="30"/>
      <c r="I12" s="30"/>
      <c r="J12" s="30"/>
      <c r="K12" s="30"/>
      <c r="L12" s="30"/>
      <c r="M12" s="30"/>
      <c r="N12" s="30"/>
      <c r="O12" s="30"/>
      <c r="P12" s="37"/>
    </row>
    <row r="13" spans="1:16" ht="28.5" customHeight="1" x14ac:dyDescent="0.25">
      <c r="A13" s="54"/>
      <c r="B13" s="36" t="s">
        <v>78</v>
      </c>
      <c r="C13" s="35">
        <v>0</v>
      </c>
      <c r="D13" s="29">
        <f t="shared" si="1"/>
        <v>0</v>
      </c>
      <c r="E13" s="30"/>
      <c r="F13" s="30"/>
      <c r="G13" s="30"/>
      <c r="H13" s="30"/>
      <c r="I13" s="30"/>
      <c r="J13" s="30"/>
      <c r="K13" s="30"/>
      <c r="L13" s="30"/>
      <c r="M13" s="30"/>
      <c r="N13" s="30"/>
      <c r="O13" s="30"/>
      <c r="P13" s="37"/>
    </row>
    <row r="14" spans="1:16" ht="28.5" customHeight="1" x14ac:dyDescent="0.25">
      <c r="A14" s="54"/>
      <c r="B14" s="36" t="s">
        <v>79</v>
      </c>
      <c r="C14" s="35">
        <v>0</v>
      </c>
      <c r="D14" s="29">
        <f t="shared" si="1"/>
        <v>0</v>
      </c>
      <c r="E14" s="30"/>
      <c r="F14" s="30"/>
      <c r="G14" s="30"/>
      <c r="H14" s="30"/>
      <c r="I14" s="30"/>
      <c r="J14" s="30"/>
      <c r="K14" s="30"/>
      <c r="L14" s="30"/>
      <c r="M14" s="30"/>
      <c r="N14" s="30"/>
      <c r="O14" s="30"/>
      <c r="P14" s="37"/>
    </row>
    <row r="15" spans="1:16" ht="28.5" customHeight="1" x14ac:dyDescent="0.25">
      <c r="A15" s="54"/>
      <c r="B15" s="36" t="s">
        <v>80</v>
      </c>
      <c r="C15" s="35">
        <v>0</v>
      </c>
      <c r="D15" s="29">
        <f t="shared" si="1"/>
        <v>0</v>
      </c>
      <c r="E15" s="30"/>
      <c r="F15" s="30"/>
      <c r="G15" s="30"/>
      <c r="H15" s="30"/>
      <c r="I15" s="30"/>
      <c r="J15" s="30"/>
      <c r="K15" s="30"/>
      <c r="L15" s="30"/>
      <c r="M15" s="30"/>
      <c r="N15" s="30"/>
      <c r="O15" s="30"/>
      <c r="P15" s="37"/>
    </row>
    <row r="16" spans="1:16" ht="28.5" customHeight="1" x14ac:dyDescent="0.25">
      <c r="A16" s="54"/>
      <c r="B16" s="36" t="s">
        <v>81</v>
      </c>
      <c r="C16" s="35">
        <v>0</v>
      </c>
      <c r="D16" s="29">
        <f t="shared" si="1"/>
        <v>0</v>
      </c>
      <c r="E16" s="30"/>
      <c r="F16" s="30"/>
      <c r="G16" s="30"/>
      <c r="H16" s="30"/>
      <c r="I16" s="30"/>
      <c r="J16" s="30"/>
      <c r="K16" s="30"/>
      <c r="L16" s="30"/>
      <c r="M16" s="30"/>
      <c r="N16" s="30"/>
      <c r="O16" s="30"/>
      <c r="P16" s="37"/>
    </row>
    <row r="17" spans="1:16" ht="28.5" customHeight="1" x14ac:dyDescent="0.25">
      <c r="A17" s="54"/>
      <c r="B17" s="36" t="s">
        <v>82</v>
      </c>
      <c r="C17" s="35">
        <v>0</v>
      </c>
      <c r="D17" s="29">
        <f t="shared" si="1"/>
        <v>0</v>
      </c>
      <c r="E17" s="30"/>
      <c r="F17" s="30"/>
      <c r="G17" s="30"/>
      <c r="H17" s="30"/>
      <c r="I17" s="30"/>
      <c r="J17" s="30"/>
      <c r="K17" s="30"/>
      <c r="L17" s="30"/>
      <c r="M17" s="30"/>
      <c r="N17" s="30"/>
      <c r="O17" s="30"/>
      <c r="P17" s="37"/>
    </row>
    <row r="18" spans="1:16" ht="28.5" customHeight="1" x14ac:dyDescent="0.25">
      <c r="A18" s="54"/>
      <c r="B18" s="36" t="s">
        <v>83</v>
      </c>
      <c r="C18" s="35">
        <v>0</v>
      </c>
      <c r="D18" s="29">
        <f t="shared" si="1"/>
        <v>0</v>
      </c>
      <c r="E18" s="30"/>
      <c r="F18" s="30"/>
      <c r="G18" s="30"/>
      <c r="H18" s="30"/>
      <c r="I18" s="30"/>
      <c r="J18" s="30"/>
      <c r="K18" s="30"/>
      <c r="L18" s="30"/>
      <c r="M18" s="30"/>
      <c r="N18" s="30"/>
      <c r="O18" s="30"/>
      <c r="P18" s="37"/>
    </row>
    <row r="19" spans="1:16" ht="28.5" customHeight="1" x14ac:dyDescent="0.25">
      <c r="A19" s="54"/>
      <c r="B19" s="36" t="s">
        <v>84</v>
      </c>
      <c r="C19" s="35">
        <v>0</v>
      </c>
      <c r="D19" s="29">
        <f t="shared" si="1"/>
        <v>0</v>
      </c>
      <c r="E19" s="30"/>
      <c r="F19" s="30"/>
      <c r="G19" s="30"/>
      <c r="H19" s="30"/>
      <c r="I19" s="30"/>
      <c r="J19" s="30"/>
      <c r="K19" s="30"/>
      <c r="L19" s="30"/>
      <c r="M19" s="30"/>
      <c r="N19" s="30"/>
      <c r="O19" s="30"/>
      <c r="P19" s="37"/>
    </row>
    <row r="20" spans="1:16" ht="28.5" customHeight="1" x14ac:dyDescent="0.25">
      <c r="A20" s="54"/>
      <c r="B20" s="36" t="s">
        <v>85</v>
      </c>
      <c r="C20" s="35">
        <v>126</v>
      </c>
      <c r="D20" s="29">
        <f t="shared" si="1"/>
        <v>54</v>
      </c>
      <c r="E20" s="30">
        <v>36</v>
      </c>
      <c r="F20" s="30"/>
      <c r="G20" s="30"/>
      <c r="H20" s="30"/>
      <c r="I20" s="30">
        <v>18</v>
      </c>
      <c r="J20" s="30"/>
      <c r="K20" s="30"/>
      <c r="L20" s="30"/>
      <c r="M20" s="30"/>
      <c r="N20" s="30"/>
      <c r="O20" s="30"/>
      <c r="P20" s="37"/>
    </row>
    <row r="21" spans="1:16" ht="28.5" customHeight="1" x14ac:dyDescent="0.25">
      <c r="A21" s="54"/>
      <c r="B21" s="36" t="s">
        <v>86</v>
      </c>
      <c r="C21" s="35">
        <v>0</v>
      </c>
      <c r="D21" s="29">
        <f t="shared" si="1"/>
        <v>0</v>
      </c>
      <c r="E21" s="30"/>
      <c r="F21" s="30"/>
      <c r="G21" s="30"/>
      <c r="H21" s="30"/>
      <c r="I21" s="30"/>
      <c r="J21" s="30"/>
      <c r="K21" s="30"/>
      <c r="L21" s="30"/>
      <c r="M21" s="30"/>
      <c r="N21" s="30"/>
      <c r="O21" s="30"/>
      <c r="P21" s="37"/>
    </row>
    <row r="22" spans="1:16" ht="24" customHeight="1" x14ac:dyDescent="0.25">
      <c r="A22" s="54"/>
      <c r="B22" s="38" t="s">
        <v>87</v>
      </c>
      <c r="C22" s="35">
        <v>4</v>
      </c>
      <c r="D22" s="29">
        <f t="shared" si="1"/>
        <v>0</v>
      </c>
      <c r="E22" s="30"/>
      <c r="F22" s="30"/>
      <c r="G22" s="30"/>
      <c r="H22" s="30"/>
      <c r="I22" s="30"/>
      <c r="J22" s="30"/>
      <c r="K22" s="30"/>
      <c r="L22" s="30"/>
      <c r="M22" s="30"/>
      <c r="N22" s="30"/>
      <c r="O22" s="30"/>
      <c r="P22" s="37"/>
    </row>
    <row r="23" spans="1:16" ht="24" customHeight="1" x14ac:dyDescent="0.25">
      <c r="A23" s="54"/>
      <c r="B23" s="38" t="s">
        <v>88</v>
      </c>
      <c r="C23" s="35">
        <v>4</v>
      </c>
      <c r="D23" s="29">
        <f t="shared" si="1"/>
        <v>0</v>
      </c>
      <c r="E23" s="30"/>
      <c r="F23" s="30"/>
      <c r="G23" s="30"/>
      <c r="H23" s="30"/>
      <c r="I23" s="30"/>
      <c r="J23" s="30"/>
      <c r="K23" s="30"/>
      <c r="L23" s="30"/>
      <c r="M23" s="30"/>
      <c r="N23" s="30"/>
      <c r="O23" s="30"/>
      <c r="P23" s="37"/>
    </row>
    <row r="24" spans="1:16" ht="24" customHeight="1" x14ac:dyDescent="0.25">
      <c r="A24" s="54"/>
      <c r="B24" s="38" t="s">
        <v>89</v>
      </c>
      <c r="C24" s="35">
        <v>4</v>
      </c>
      <c r="D24" s="29">
        <f t="shared" si="1"/>
        <v>0</v>
      </c>
      <c r="E24" s="30"/>
      <c r="F24" s="30"/>
      <c r="G24" s="30"/>
      <c r="H24" s="30"/>
      <c r="I24" s="30"/>
      <c r="J24" s="30"/>
      <c r="K24" s="30"/>
      <c r="L24" s="30"/>
      <c r="M24" s="30"/>
      <c r="N24" s="30"/>
      <c r="O24" s="30"/>
      <c r="P24" s="37"/>
    </row>
    <row r="25" spans="1:16" ht="24" customHeight="1" x14ac:dyDescent="0.25">
      <c r="A25" s="54"/>
      <c r="B25" s="38" t="s">
        <v>90</v>
      </c>
      <c r="C25" s="35">
        <v>4</v>
      </c>
      <c r="D25" s="29">
        <f t="shared" si="1"/>
        <v>0</v>
      </c>
      <c r="E25" s="30"/>
      <c r="F25" s="30"/>
      <c r="G25" s="30"/>
      <c r="H25" s="30"/>
      <c r="I25" s="30"/>
      <c r="J25" s="30"/>
      <c r="K25" s="30"/>
      <c r="L25" s="30"/>
      <c r="M25" s="30"/>
      <c r="N25" s="30"/>
      <c r="O25" s="30"/>
      <c r="P25" s="37"/>
    </row>
    <row r="26" spans="1:16" ht="24" customHeight="1" x14ac:dyDescent="0.25">
      <c r="A26" s="54"/>
      <c r="B26" s="38" t="s">
        <v>91</v>
      </c>
      <c r="C26" s="35">
        <v>4</v>
      </c>
      <c r="D26" s="29">
        <f t="shared" si="1"/>
        <v>0</v>
      </c>
      <c r="E26" s="30"/>
      <c r="F26" s="30"/>
      <c r="G26" s="30"/>
      <c r="H26" s="30"/>
      <c r="I26" s="30"/>
      <c r="J26" s="30"/>
      <c r="K26" s="30"/>
      <c r="L26" s="30"/>
      <c r="M26" s="30"/>
      <c r="N26" s="30"/>
      <c r="O26" s="30"/>
      <c r="P26" s="37"/>
    </row>
    <row r="27" spans="1:16" ht="24" customHeight="1" x14ac:dyDescent="0.25">
      <c r="A27" s="54"/>
      <c r="B27" s="38" t="s">
        <v>92</v>
      </c>
      <c r="C27" s="35">
        <v>1</v>
      </c>
      <c r="D27" s="29">
        <f t="shared" si="1"/>
        <v>0</v>
      </c>
      <c r="E27" s="30"/>
      <c r="F27" s="30"/>
      <c r="G27" s="30"/>
      <c r="H27" s="30"/>
      <c r="I27" s="30"/>
      <c r="J27" s="30"/>
      <c r="K27" s="30"/>
      <c r="L27" s="30"/>
      <c r="M27" s="30"/>
      <c r="N27" s="30"/>
      <c r="O27" s="30"/>
      <c r="P27" s="37"/>
    </row>
    <row r="28" spans="1:16" ht="24" customHeight="1" x14ac:dyDescent="0.25">
      <c r="A28" s="54"/>
      <c r="B28" s="38" t="s">
        <v>93</v>
      </c>
      <c r="C28" s="35">
        <v>1</v>
      </c>
      <c r="D28" s="29">
        <f t="shared" si="1"/>
        <v>0</v>
      </c>
      <c r="E28" s="30"/>
      <c r="F28" s="30"/>
      <c r="G28" s="30"/>
      <c r="H28" s="30"/>
      <c r="I28" s="30"/>
      <c r="J28" s="30"/>
      <c r="K28" s="30"/>
      <c r="L28" s="30"/>
      <c r="M28" s="30"/>
      <c r="N28" s="30"/>
      <c r="O28" s="30"/>
      <c r="P28" s="37"/>
    </row>
    <row r="29" spans="1:16" ht="24" customHeight="1" x14ac:dyDescent="0.25">
      <c r="A29" s="54"/>
      <c r="B29" s="38" t="s">
        <v>94</v>
      </c>
      <c r="C29" s="35">
        <v>1</v>
      </c>
      <c r="D29" s="29">
        <f t="shared" si="1"/>
        <v>0</v>
      </c>
      <c r="E29" s="30"/>
      <c r="F29" s="30"/>
      <c r="G29" s="30"/>
      <c r="H29" s="30"/>
      <c r="I29" s="30"/>
      <c r="J29" s="30"/>
      <c r="K29" s="30"/>
      <c r="L29" s="30"/>
      <c r="M29" s="30"/>
      <c r="N29" s="30"/>
      <c r="O29" s="30"/>
      <c r="P29" s="37"/>
    </row>
    <row r="30" spans="1:16" ht="24" customHeight="1" x14ac:dyDescent="0.25">
      <c r="A30" s="54"/>
      <c r="B30" s="38" t="s">
        <v>95</v>
      </c>
      <c r="C30" s="35">
        <v>1</v>
      </c>
      <c r="D30" s="29">
        <f t="shared" si="1"/>
        <v>0</v>
      </c>
      <c r="E30" s="30"/>
      <c r="F30" s="30"/>
      <c r="G30" s="30"/>
      <c r="H30" s="30"/>
      <c r="I30" s="30"/>
      <c r="J30" s="30"/>
      <c r="K30" s="30"/>
      <c r="L30" s="30"/>
      <c r="M30" s="30"/>
      <c r="N30" s="30"/>
      <c r="O30" s="30"/>
      <c r="P30" s="37"/>
    </row>
    <row r="31" spans="1:16" ht="24" customHeight="1" x14ac:dyDescent="0.25">
      <c r="A31" s="54"/>
      <c r="B31" s="38" t="s">
        <v>96</v>
      </c>
      <c r="C31" s="35">
        <v>1</v>
      </c>
      <c r="D31" s="29">
        <f t="shared" si="1"/>
        <v>0</v>
      </c>
      <c r="E31" s="30"/>
      <c r="F31" s="30"/>
      <c r="G31" s="30"/>
      <c r="H31" s="30"/>
      <c r="I31" s="30"/>
      <c r="J31" s="30"/>
      <c r="K31" s="30"/>
      <c r="L31" s="30"/>
      <c r="M31" s="30"/>
      <c r="N31" s="30"/>
      <c r="O31" s="30"/>
      <c r="P31" s="37"/>
    </row>
    <row r="32" spans="1:16" ht="24" customHeight="1" x14ac:dyDescent="0.25">
      <c r="A32" s="54"/>
      <c r="B32" s="38" t="s">
        <v>97</v>
      </c>
      <c r="C32" s="35">
        <v>1</v>
      </c>
      <c r="D32" s="29">
        <f t="shared" si="1"/>
        <v>0</v>
      </c>
      <c r="E32" s="30"/>
      <c r="F32" s="30"/>
      <c r="G32" s="30"/>
      <c r="H32" s="30"/>
      <c r="I32" s="30"/>
      <c r="J32" s="30"/>
      <c r="K32" s="30"/>
      <c r="L32" s="30"/>
      <c r="M32" s="30"/>
      <c r="N32" s="30"/>
      <c r="O32" s="30"/>
      <c r="P32" s="37"/>
    </row>
    <row r="33" spans="1:16" ht="24" customHeight="1" thickBot="1" x14ac:dyDescent="0.3">
      <c r="A33" s="55"/>
      <c r="B33" s="39" t="s">
        <v>98</v>
      </c>
      <c r="C33" s="35">
        <v>1</v>
      </c>
      <c r="D33" s="29">
        <f t="shared" si="1"/>
        <v>0</v>
      </c>
      <c r="E33" s="30"/>
      <c r="F33" s="30"/>
      <c r="G33" s="30"/>
      <c r="H33" s="30"/>
      <c r="I33" s="30"/>
      <c r="J33" s="30"/>
      <c r="K33" s="30"/>
      <c r="L33" s="30"/>
      <c r="M33" s="30"/>
      <c r="N33" s="30"/>
      <c r="O33" s="30"/>
      <c r="P33" s="37"/>
    </row>
    <row r="34" spans="1:16" x14ac:dyDescent="0.25">
      <c r="C34" s="40">
        <f>SUM(C3:C33)</f>
        <v>365</v>
      </c>
      <c r="D34" s="41">
        <f>SUM(D3:D33)</f>
        <v>162</v>
      </c>
    </row>
    <row r="35" spans="1:16" x14ac:dyDescent="0.25">
      <c r="C35" s="8"/>
      <c r="D35" s="42">
        <f>D34/C34</f>
        <v>0.44383561643835617</v>
      </c>
    </row>
  </sheetData>
  <sheetProtection algorithmName="SHA-512" hashValue="zKDQLbDEYQbL6i86A2ipMGR5lV6IAB+LnhmEtVY2Hipb27+lcwNo9cUgd4e3EyH2wwxh2UVLTi9iVzfHyT27ZQ==" saltValue="0lfHe/tvugG8zK0azjYZ2w==" spinCount="100000" sheet="1" objects="1" scenarios="1" autoFilter="0"/>
  <mergeCells count="2">
    <mergeCell ref="A1:A2"/>
    <mergeCell ref="A6:A33"/>
  </mergeCells>
  <conditionalFormatting sqref="C3:D3 D4:D5">
    <cfRule type="dataBar" priority="53">
      <dataBar>
        <cfvo type="min"/>
        <cfvo type="max"/>
        <color rgb="FF008AEF"/>
      </dataBar>
      <extLst>
        <ext xmlns:x14="http://schemas.microsoft.com/office/spreadsheetml/2009/9/main" uri="{B025F937-C7B1-47D3-B67F-A62EFF666E3E}">
          <x14:id>{6174CF5E-2336-4DFA-9ED5-64A687FB0D08}</x14:id>
        </ext>
      </extLst>
    </cfRule>
  </conditionalFormatting>
  <conditionalFormatting sqref="C4:D4">
    <cfRule type="dataBar" priority="6">
      <dataBar>
        <cfvo type="min"/>
        <cfvo type="max"/>
        <color rgb="FF008AEF"/>
      </dataBar>
      <extLst>
        <ext xmlns:x14="http://schemas.microsoft.com/office/spreadsheetml/2009/9/main" uri="{B025F937-C7B1-47D3-B67F-A62EFF666E3E}">
          <x14:id>{BE7902D9-8BB8-4A8F-BFFB-966FA9360BAC}</x14:id>
        </ext>
      </extLst>
    </cfRule>
  </conditionalFormatting>
  <conditionalFormatting sqref="C5:D5">
    <cfRule type="dataBar" priority="7">
      <dataBar>
        <cfvo type="min"/>
        <cfvo type="max"/>
        <color rgb="FF008AEF"/>
      </dataBar>
      <extLst>
        <ext xmlns:x14="http://schemas.microsoft.com/office/spreadsheetml/2009/9/main" uri="{B025F937-C7B1-47D3-B67F-A62EFF666E3E}">
          <x14:id>{B3014EBC-59A0-4514-BE23-E9B81C94CA99}</x14:id>
        </ext>
      </extLst>
    </cfRule>
  </conditionalFormatting>
  <conditionalFormatting sqref="C6:D6">
    <cfRule type="dataBar" priority="13">
      <dataBar>
        <cfvo type="min"/>
        <cfvo type="max"/>
        <color rgb="FF008AEF"/>
      </dataBar>
      <extLst>
        <ext xmlns:x14="http://schemas.microsoft.com/office/spreadsheetml/2009/9/main" uri="{B025F937-C7B1-47D3-B67F-A62EFF666E3E}">
          <x14:id>{6940511A-0291-45CD-8855-28D566E40AFC}</x14:id>
        </ext>
      </extLst>
    </cfRule>
  </conditionalFormatting>
  <conditionalFormatting sqref="C7:D7">
    <cfRule type="dataBar" priority="40">
      <dataBar>
        <cfvo type="min"/>
        <cfvo type="max"/>
        <color rgb="FF008AEF"/>
      </dataBar>
      <extLst>
        <ext xmlns:x14="http://schemas.microsoft.com/office/spreadsheetml/2009/9/main" uri="{B025F937-C7B1-47D3-B67F-A62EFF666E3E}">
          <x14:id>{E5273473-6458-4A24-83BA-3263914A109C}</x14:id>
        </ext>
      </extLst>
    </cfRule>
  </conditionalFormatting>
  <conditionalFormatting sqref="C8:D8">
    <cfRule type="dataBar" priority="39">
      <dataBar>
        <cfvo type="min"/>
        <cfvo type="max"/>
        <color rgb="FF008AEF"/>
      </dataBar>
      <extLst>
        <ext xmlns:x14="http://schemas.microsoft.com/office/spreadsheetml/2009/9/main" uri="{B025F937-C7B1-47D3-B67F-A62EFF666E3E}">
          <x14:id>{256D4E59-EAFA-4FFD-8BCC-A5004FC1505E}</x14:id>
        </ext>
      </extLst>
    </cfRule>
  </conditionalFormatting>
  <conditionalFormatting sqref="C9:D9">
    <cfRule type="dataBar" priority="38">
      <dataBar>
        <cfvo type="min"/>
        <cfvo type="max"/>
        <color rgb="FF008AEF"/>
      </dataBar>
      <extLst>
        <ext xmlns:x14="http://schemas.microsoft.com/office/spreadsheetml/2009/9/main" uri="{B025F937-C7B1-47D3-B67F-A62EFF666E3E}">
          <x14:id>{B3550C79-11CD-42C7-B665-22A8838E4D79}</x14:id>
        </ext>
      </extLst>
    </cfRule>
  </conditionalFormatting>
  <conditionalFormatting sqref="C10:D10">
    <cfRule type="dataBar" priority="37">
      <dataBar>
        <cfvo type="min"/>
        <cfvo type="max"/>
        <color rgb="FF008AEF"/>
      </dataBar>
      <extLst>
        <ext xmlns:x14="http://schemas.microsoft.com/office/spreadsheetml/2009/9/main" uri="{B025F937-C7B1-47D3-B67F-A62EFF666E3E}">
          <x14:id>{4D9D4789-2AB2-443E-8215-B2421F4F2F67}</x14:id>
        </ext>
      </extLst>
    </cfRule>
  </conditionalFormatting>
  <conditionalFormatting sqref="C11:D11">
    <cfRule type="dataBar" priority="36">
      <dataBar>
        <cfvo type="min"/>
        <cfvo type="max"/>
        <color rgb="FF008AEF"/>
      </dataBar>
      <extLst>
        <ext xmlns:x14="http://schemas.microsoft.com/office/spreadsheetml/2009/9/main" uri="{B025F937-C7B1-47D3-B67F-A62EFF666E3E}">
          <x14:id>{F1164DC6-2218-42B5-9754-894AF3FC91F0}</x14:id>
        </ext>
      </extLst>
    </cfRule>
  </conditionalFormatting>
  <conditionalFormatting sqref="C12:D12">
    <cfRule type="dataBar" priority="35">
      <dataBar>
        <cfvo type="min"/>
        <cfvo type="max"/>
        <color rgb="FF008AEF"/>
      </dataBar>
      <extLst>
        <ext xmlns:x14="http://schemas.microsoft.com/office/spreadsheetml/2009/9/main" uri="{B025F937-C7B1-47D3-B67F-A62EFF666E3E}">
          <x14:id>{D47D1898-1CE1-426B-A45B-56545EB342F0}</x14:id>
        </ext>
      </extLst>
    </cfRule>
  </conditionalFormatting>
  <conditionalFormatting sqref="C13:D13">
    <cfRule type="dataBar" priority="34">
      <dataBar>
        <cfvo type="min"/>
        <cfvo type="max"/>
        <color rgb="FF008AEF"/>
      </dataBar>
      <extLst>
        <ext xmlns:x14="http://schemas.microsoft.com/office/spreadsheetml/2009/9/main" uri="{B025F937-C7B1-47D3-B67F-A62EFF666E3E}">
          <x14:id>{44A41897-1C54-4C1E-94EC-7AE2B585917C}</x14:id>
        </ext>
      </extLst>
    </cfRule>
  </conditionalFormatting>
  <conditionalFormatting sqref="C14:D14">
    <cfRule type="dataBar" priority="33">
      <dataBar>
        <cfvo type="min"/>
        <cfvo type="max"/>
        <color rgb="FF008AEF"/>
      </dataBar>
      <extLst>
        <ext xmlns:x14="http://schemas.microsoft.com/office/spreadsheetml/2009/9/main" uri="{B025F937-C7B1-47D3-B67F-A62EFF666E3E}">
          <x14:id>{DD9576B9-C148-420C-94C3-8857759653D9}</x14:id>
        </ext>
      </extLst>
    </cfRule>
  </conditionalFormatting>
  <conditionalFormatting sqref="C15:D15">
    <cfRule type="dataBar" priority="32">
      <dataBar>
        <cfvo type="min"/>
        <cfvo type="max"/>
        <color rgb="FF008AEF"/>
      </dataBar>
      <extLst>
        <ext xmlns:x14="http://schemas.microsoft.com/office/spreadsheetml/2009/9/main" uri="{B025F937-C7B1-47D3-B67F-A62EFF666E3E}">
          <x14:id>{2D02F304-4131-4793-B1C7-AC5118C221BB}</x14:id>
        </ext>
      </extLst>
    </cfRule>
  </conditionalFormatting>
  <conditionalFormatting sqref="C16:D16">
    <cfRule type="dataBar" priority="31">
      <dataBar>
        <cfvo type="min"/>
        <cfvo type="max"/>
        <color rgb="FF008AEF"/>
      </dataBar>
      <extLst>
        <ext xmlns:x14="http://schemas.microsoft.com/office/spreadsheetml/2009/9/main" uri="{B025F937-C7B1-47D3-B67F-A62EFF666E3E}">
          <x14:id>{98CAEA32-CCD4-48CE-92A3-301795ED6536}</x14:id>
        </ext>
      </extLst>
    </cfRule>
  </conditionalFormatting>
  <conditionalFormatting sqref="C17:D17">
    <cfRule type="dataBar" priority="30">
      <dataBar>
        <cfvo type="min"/>
        <cfvo type="max"/>
        <color rgb="FF008AEF"/>
      </dataBar>
      <extLst>
        <ext xmlns:x14="http://schemas.microsoft.com/office/spreadsheetml/2009/9/main" uri="{B025F937-C7B1-47D3-B67F-A62EFF666E3E}">
          <x14:id>{CEEEDEC0-C55A-40FB-9507-916593C68829}</x14:id>
        </ext>
      </extLst>
    </cfRule>
  </conditionalFormatting>
  <conditionalFormatting sqref="C18:D18">
    <cfRule type="dataBar" priority="29">
      <dataBar>
        <cfvo type="min"/>
        <cfvo type="max"/>
        <color rgb="FF008AEF"/>
      </dataBar>
      <extLst>
        <ext xmlns:x14="http://schemas.microsoft.com/office/spreadsheetml/2009/9/main" uri="{B025F937-C7B1-47D3-B67F-A62EFF666E3E}">
          <x14:id>{5EF651D0-E887-4085-B40A-47F0249B6F1B}</x14:id>
        </ext>
      </extLst>
    </cfRule>
  </conditionalFormatting>
  <conditionalFormatting sqref="C19:D19">
    <cfRule type="dataBar" priority="28">
      <dataBar>
        <cfvo type="min"/>
        <cfvo type="max"/>
        <color rgb="FF008AEF"/>
      </dataBar>
      <extLst>
        <ext xmlns:x14="http://schemas.microsoft.com/office/spreadsheetml/2009/9/main" uri="{B025F937-C7B1-47D3-B67F-A62EFF666E3E}">
          <x14:id>{2A668349-B0B6-4ED9-82E7-32A76A7F66BE}</x14:id>
        </ext>
      </extLst>
    </cfRule>
  </conditionalFormatting>
  <conditionalFormatting sqref="C20:D20">
    <cfRule type="dataBar" priority="27">
      <dataBar>
        <cfvo type="min"/>
        <cfvo type="max"/>
        <color rgb="FF008AEF"/>
      </dataBar>
      <extLst>
        <ext xmlns:x14="http://schemas.microsoft.com/office/spreadsheetml/2009/9/main" uri="{B025F937-C7B1-47D3-B67F-A62EFF666E3E}">
          <x14:id>{C87E055C-9F5E-482C-8504-ACA1B530DF11}</x14:id>
        </ext>
      </extLst>
    </cfRule>
  </conditionalFormatting>
  <conditionalFormatting sqref="C21:D21">
    <cfRule type="dataBar" priority="26">
      <dataBar>
        <cfvo type="min"/>
        <cfvo type="max"/>
        <color rgb="FF008AEF"/>
      </dataBar>
      <extLst>
        <ext xmlns:x14="http://schemas.microsoft.com/office/spreadsheetml/2009/9/main" uri="{B025F937-C7B1-47D3-B67F-A62EFF666E3E}">
          <x14:id>{C2FD5530-E5E4-4046-9A48-390EF154A663}</x14:id>
        </ext>
      </extLst>
    </cfRule>
  </conditionalFormatting>
  <conditionalFormatting sqref="C22:D22">
    <cfRule type="dataBar" priority="25">
      <dataBar>
        <cfvo type="min"/>
        <cfvo type="max"/>
        <color rgb="FF008AEF"/>
      </dataBar>
      <extLst>
        <ext xmlns:x14="http://schemas.microsoft.com/office/spreadsheetml/2009/9/main" uri="{B025F937-C7B1-47D3-B67F-A62EFF666E3E}">
          <x14:id>{5E5E4EBB-278E-46DC-875D-930B9EF88963}</x14:id>
        </ext>
      </extLst>
    </cfRule>
  </conditionalFormatting>
  <conditionalFormatting sqref="C23:D23">
    <cfRule type="dataBar" priority="24">
      <dataBar>
        <cfvo type="min"/>
        <cfvo type="max"/>
        <color rgb="FF008AEF"/>
      </dataBar>
      <extLst>
        <ext xmlns:x14="http://schemas.microsoft.com/office/spreadsheetml/2009/9/main" uri="{B025F937-C7B1-47D3-B67F-A62EFF666E3E}">
          <x14:id>{29C0D43E-7A6A-4AEE-A0C6-E0AAF7775423}</x14:id>
        </ext>
      </extLst>
    </cfRule>
  </conditionalFormatting>
  <conditionalFormatting sqref="C24:D24">
    <cfRule type="dataBar" priority="23">
      <dataBar>
        <cfvo type="min"/>
        <cfvo type="max"/>
        <color rgb="FF008AEF"/>
      </dataBar>
      <extLst>
        <ext xmlns:x14="http://schemas.microsoft.com/office/spreadsheetml/2009/9/main" uri="{B025F937-C7B1-47D3-B67F-A62EFF666E3E}">
          <x14:id>{F2E10096-BBD2-4923-9F41-2E084AEAEF06}</x14:id>
        </ext>
      </extLst>
    </cfRule>
  </conditionalFormatting>
  <conditionalFormatting sqref="C25:D25">
    <cfRule type="dataBar" priority="22">
      <dataBar>
        <cfvo type="min"/>
        <cfvo type="max"/>
        <color rgb="FF008AEF"/>
      </dataBar>
      <extLst>
        <ext xmlns:x14="http://schemas.microsoft.com/office/spreadsheetml/2009/9/main" uri="{B025F937-C7B1-47D3-B67F-A62EFF666E3E}">
          <x14:id>{2E328F57-4704-4E52-BB30-3A511183F217}</x14:id>
        </ext>
      </extLst>
    </cfRule>
  </conditionalFormatting>
  <conditionalFormatting sqref="C26:D26">
    <cfRule type="dataBar" priority="21">
      <dataBar>
        <cfvo type="min"/>
        <cfvo type="max"/>
        <color rgb="FF008AEF"/>
      </dataBar>
      <extLst>
        <ext xmlns:x14="http://schemas.microsoft.com/office/spreadsheetml/2009/9/main" uri="{B025F937-C7B1-47D3-B67F-A62EFF666E3E}">
          <x14:id>{53F3738A-5DAE-4A63-B6E5-6E30EAE0F956}</x14:id>
        </ext>
      </extLst>
    </cfRule>
  </conditionalFormatting>
  <conditionalFormatting sqref="C27:D27">
    <cfRule type="dataBar" priority="20">
      <dataBar>
        <cfvo type="min"/>
        <cfvo type="max"/>
        <color rgb="FF008AEF"/>
      </dataBar>
      <extLst>
        <ext xmlns:x14="http://schemas.microsoft.com/office/spreadsheetml/2009/9/main" uri="{B025F937-C7B1-47D3-B67F-A62EFF666E3E}">
          <x14:id>{98B4B393-F92C-4523-931C-71F9E1FF5340}</x14:id>
        </ext>
      </extLst>
    </cfRule>
  </conditionalFormatting>
  <conditionalFormatting sqref="C28:D28">
    <cfRule type="dataBar" priority="19">
      <dataBar>
        <cfvo type="min"/>
        <cfvo type="max"/>
        <color rgb="FF008AEF"/>
      </dataBar>
      <extLst>
        <ext xmlns:x14="http://schemas.microsoft.com/office/spreadsheetml/2009/9/main" uri="{B025F937-C7B1-47D3-B67F-A62EFF666E3E}">
          <x14:id>{4EE2D281-8A27-4C9D-8D8C-D9ACFFBD2C77}</x14:id>
        </ext>
      </extLst>
    </cfRule>
  </conditionalFormatting>
  <conditionalFormatting sqref="C29:D29">
    <cfRule type="dataBar" priority="18">
      <dataBar>
        <cfvo type="min"/>
        <cfvo type="max"/>
        <color rgb="FF008AEF"/>
      </dataBar>
      <extLst>
        <ext xmlns:x14="http://schemas.microsoft.com/office/spreadsheetml/2009/9/main" uri="{B025F937-C7B1-47D3-B67F-A62EFF666E3E}">
          <x14:id>{13E252C5-A3DD-4EEE-8522-13732ADD171A}</x14:id>
        </ext>
      </extLst>
    </cfRule>
  </conditionalFormatting>
  <conditionalFormatting sqref="C30:D30">
    <cfRule type="dataBar" priority="17">
      <dataBar>
        <cfvo type="min"/>
        <cfvo type="max"/>
        <color rgb="FF008AEF"/>
      </dataBar>
      <extLst>
        <ext xmlns:x14="http://schemas.microsoft.com/office/spreadsheetml/2009/9/main" uri="{B025F937-C7B1-47D3-B67F-A62EFF666E3E}">
          <x14:id>{1DFD9416-3468-47C0-BA33-2FDD7F8DFFB7}</x14:id>
        </ext>
      </extLst>
    </cfRule>
  </conditionalFormatting>
  <conditionalFormatting sqref="C31:D31">
    <cfRule type="dataBar" priority="16">
      <dataBar>
        <cfvo type="min"/>
        <cfvo type="max"/>
        <color rgb="FF008AEF"/>
      </dataBar>
      <extLst>
        <ext xmlns:x14="http://schemas.microsoft.com/office/spreadsheetml/2009/9/main" uri="{B025F937-C7B1-47D3-B67F-A62EFF666E3E}">
          <x14:id>{317EA383-CD46-4F8F-B745-7D8A9EA49040}</x14:id>
        </ext>
      </extLst>
    </cfRule>
  </conditionalFormatting>
  <conditionalFormatting sqref="C32:D32">
    <cfRule type="dataBar" priority="15">
      <dataBar>
        <cfvo type="min"/>
        <cfvo type="max"/>
        <color rgb="FF008AEF"/>
      </dataBar>
      <extLst>
        <ext xmlns:x14="http://schemas.microsoft.com/office/spreadsheetml/2009/9/main" uri="{B025F937-C7B1-47D3-B67F-A62EFF666E3E}">
          <x14:id>{8A1F9B61-DBAA-42CE-8698-F7313AD273D4}</x14:id>
        </ext>
      </extLst>
    </cfRule>
  </conditionalFormatting>
  <conditionalFormatting sqref="C33:D33">
    <cfRule type="dataBar" priority="14">
      <dataBar>
        <cfvo type="min"/>
        <cfvo type="max"/>
        <color rgb="FF008AEF"/>
      </dataBar>
      <extLst>
        <ext xmlns:x14="http://schemas.microsoft.com/office/spreadsheetml/2009/9/main" uri="{B025F937-C7B1-47D3-B67F-A62EFF666E3E}">
          <x14:id>{AFF8B9C2-E27B-446C-9A25-53EDC5278ECB}</x14:id>
        </ext>
      </extLst>
    </cfRule>
  </conditionalFormatting>
  <conditionalFormatting sqref="E3:F29 E30:O33">
    <cfRule type="cellIs" dxfId="4" priority="3" operator="greaterThan">
      <formula>0</formula>
    </cfRule>
  </conditionalFormatting>
  <conditionalFormatting sqref="G6:O29">
    <cfRule type="cellIs" dxfId="3" priority="12" operator="greaterThan">
      <formula>0</formula>
    </cfRule>
  </conditionalFormatting>
  <conditionalFormatting sqref="G3:P5">
    <cfRule type="cellIs" dxfId="2" priority="4" operator="greaterThan">
      <formula>0</formula>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6174CF5E-2336-4DFA-9ED5-64A687FB0D08}">
            <x14:dataBar minLength="0" maxLength="100" gradient="0">
              <x14:cfvo type="autoMin"/>
              <x14:cfvo type="autoMax"/>
              <x14:negativeFillColor rgb="FFFF0000"/>
              <x14:axisColor rgb="FF000000"/>
            </x14:dataBar>
          </x14:cfRule>
          <xm:sqref>C3:D3 D4:D5</xm:sqref>
        </x14:conditionalFormatting>
        <x14:conditionalFormatting xmlns:xm="http://schemas.microsoft.com/office/excel/2006/main">
          <x14:cfRule type="dataBar" id="{BE7902D9-8BB8-4A8F-BFFB-966FA9360BAC}">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B3014EBC-59A0-4514-BE23-E9B81C94CA99}">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6940511A-0291-45CD-8855-28D566E40AFC}">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E5273473-6458-4A24-83BA-3263914A109C}">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256D4E59-EAFA-4FFD-8BCC-A5004FC1505E}">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B3550C79-11CD-42C7-B665-22A8838E4D79}">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4D9D4789-2AB2-443E-8215-B2421F4F2F67}">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F1164DC6-2218-42B5-9754-894AF3FC91F0}">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D47D1898-1CE1-426B-A45B-56545EB342F0}">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44A41897-1C54-4C1E-94EC-7AE2B585917C}">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DD9576B9-C148-420C-94C3-8857759653D9}">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2D02F304-4131-4793-B1C7-AC5118C221BB}">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98CAEA32-CCD4-48CE-92A3-301795ED6536}">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CEEEDEC0-C55A-40FB-9507-916593C68829}">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5EF651D0-E887-4085-B40A-47F0249B6F1B}">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2A668349-B0B6-4ED9-82E7-32A76A7F66BE}">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C87E055C-9F5E-482C-8504-ACA1B530DF11}">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C2FD5530-E5E4-4046-9A48-390EF154A663}">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5E5E4EBB-278E-46DC-875D-930B9EF88963}">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29C0D43E-7A6A-4AEE-A0C6-E0AAF7775423}">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F2E10096-BBD2-4923-9F41-2E084AEAEF06}">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2E328F57-4704-4E52-BB30-3A511183F217}">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53F3738A-5DAE-4A63-B6E5-6E30EAE0F956}">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98B4B393-F92C-4523-931C-71F9E1FF5340}">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4EE2D281-8A27-4C9D-8D8C-D9ACFFBD2C77}">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13E252C5-A3DD-4EEE-8522-13732ADD171A}">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1DFD9416-3468-47C0-BA33-2FDD7F8DFFB7}">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317EA383-CD46-4F8F-B745-7D8A9EA49040}">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8A1F9B61-DBAA-42CE-8698-F7313AD273D4}">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AFF8B9C2-E27B-446C-9A25-53EDC5278ECB}">
            <x14:dataBar minLength="0" maxLength="100" gradient="0">
              <x14:cfvo type="autoMin"/>
              <x14:cfvo type="autoMax"/>
              <x14:negativeFillColor rgb="FFFF0000"/>
              <x14:axisColor rgb="FF000000"/>
            </x14:dataBar>
          </x14:cfRule>
          <xm:sqref>C33:D33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dimension ref="A1:E13"/>
  <sheetViews>
    <sheetView tabSelected="1" workbookViewId="0">
      <selection activeCell="K8" sqref="K8"/>
    </sheetView>
  </sheetViews>
  <sheetFormatPr baseColWidth="10" defaultRowHeight="15" x14ac:dyDescent="0.25"/>
  <cols>
    <col min="1" max="1" width="11.28515625" customWidth="1"/>
    <col min="2" max="2" width="24" customWidth="1"/>
    <col min="3" max="3" width="11.85546875" bestFit="1" customWidth="1"/>
  </cols>
  <sheetData>
    <row r="1" spans="1:5" x14ac:dyDescent="0.25">
      <c r="A1" s="56" t="s">
        <v>45</v>
      </c>
      <c r="B1" s="56"/>
      <c r="C1" s="19" t="s">
        <v>2</v>
      </c>
      <c r="D1" s="19" t="s">
        <v>68</v>
      </c>
      <c r="E1" s="19" t="s">
        <v>99</v>
      </c>
    </row>
    <row r="2" spans="1:5" x14ac:dyDescent="0.25">
      <c r="A2" s="16" t="s">
        <v>46</v>
      </c>
      <c r="B2" s="17" t="s">
        <v>57</v>
      </c>
      <c r="C2" s="20">
        <f>'D60 Liberia'!C37</f>
        <v>634</v>
      </c>
      <c r="D2" s="24">
        <f>'D60 Liberia'!D37</f>
        <v>210</v>
      </c>
      <c r="E2" s="50">
        <f>D2/C2</f>
        <v>0.33123028391167192</v>
      </c>
    </row>
    <row r="3" spans="1:5" x14ac:dyDescent="0.25">
      <c r="A3" s="16" t="s">
        <v>47</v>
      </c>
      <c r="B3" s="17" t="s">
        <v>58</v>
      </c>
      <c r="C3" s="21">
        <f>'D61 Nicoya'!C36</f>
        <v>591</v>
      </c>
      <c r="D3" s="21">
        <f>'D61 Nicoya'!D36</f>
        <v>227</v>
      </c>
      <c r="E3" s="50">
        <f t="shared" ref="E3:E12" si="0">D3/C3</f>
        <v>0.38409475465313031</v>
      </c>
    </row>
    <row r="4" spans="1:5" x14ac:dyDescent="0.25">
      <c r="A4" s="16" t="s">
        <v>48</v>
      </c>
      <c r="B4" s="17" t="s">
        <v>59</v>
      </c>
      <c r="C4" s="20">
        <f>'D62 Santa Cruz'!C37</f>
        <v>374</v>
      </c>
      <c r="D4" s="24">
        <f>'D62 Santa Cruz'!D37</f>
        <v>176</v>
      </c>
      <c r="E4" s="50">
        <f t="shared" si="0"/>
        <v>0.47058823529411764</v>
      </c>
    </row>
    <row r="5" spans="1:5" x14ac:dyDescent="0.25">
      <c r="A5" s="16" t="s">
        <v>49</v>
      </c>
      <c r="B5" s="17" t="s">
        <v>60</v>
      </c>
      <c r="C5" s="20">
        <f>'D63 Bagaces'!C34</f>
        <v>249</v>
      </c>
      <c r="D5" s="24">
        <f>'D63 Bagaces'!D34</f>
        <v>94</v>
      </c>
      <c r="E5" s="50">
        <f t="shared" si="0"/>
        <v>0.37751004016064255</v>
      </c>
    </row>
    <row r="6" spans="1:5" x14ac:dyDescent="0.25">
      <c r="A6" s="16" t="s">
        <v>50</v>
      </c>
      <c r="B6" s="17" t="s">
        <v>61</v>
      </c>
      <c r="C6" s="20">
        <f>'D64 Carrillo'!C36</f>
        <v>286</v>
      </c>
      <c r="D6" s="24">
        <f>'D64 Carrillo'!D36</f>
        <v>98</v>
      </c>
      <c r="E6" s="50">
        <f t="shared" si="0"/>
        <v>0.34265734265734266</v>
      </c>
    </row>
    <row r="7" spans="1:5" x14ac:dyDescent="0.25">
      <c r="A7" s="16" t="s">
        <v>51</v>
      </c>
      <c r="B7" s="17" t="s">
        <v>62</v>
      </c>
      <c r="C7" s="20">
        <f>'D65 Cañas'!C34</f>
        <v>491</v>
      </c>
      <c r="D7" s="24">
        <f>'D65 Cañas'!D34</f>
        <v>166</v>
      </c>
      <c r="E7" s="50">
        <f t="shared" si="0"/>
        <v>0.3380855397148676</v>
      </c>
    </row>
    <row r="8" spans="1:5" x14ac:dyDescent="0.25">
      <c r="A8" s="16" t="s">
        <v>52</v>
      </c>
      <c r="B8" s="17" t="s">
        <v>63</v>
      </c>
      <c r="C8" s="20">
        <f>'D66 Abangares'!C40</f>
        <v>385</v>
      </c>
      <c r="D8" s="24">
        <f>'D66 Abangares'!D40</f>
        <v>132</v>
      </c>
      <c r="E8" s="50">
        <f t="shared" si="0"/>
        <v>0.34285714285714286</v>
      </c>
    </row>
    <row r="9" spans="1:5" x14ac:dyDescent="0.25">
      <c r="A9" s="16" t="s">
        <v>53</v>
      </c>
      <c r="B9" s="17" t="s">
        <v>64</v>
      </c>
      <c r="C9" s="20">
        <f>'D67 Tilarán'!C32</f>
        <v>222</v>
      </c>
      <c r="D9" s="24">
        <f>'D67 Tilarán'!D32</f>
        <v>55</v>
      </c>
      <c r="E9" s="50">
        <f t="shared" si="0"/>
        <v>0.24774774774774774</v>
      </c>
    </row>
    <row r="10" spans="1:5" x14ac:dyDescent="0.25">
      <c r="A10" s="16" t="s">
        <v>54</v>
      </c>
      <c r="B10" s="17" t="s">
        <v>65</v>
      </c>
      <c r="C10" s="20">
        <f>'D68 Nandayure'!C34</f>
        <v>161</v>
      </c>
      <c r="D10" s="24">
        <f>'D68 Nandayure'!D34</f>
        <v>64</v>
      </c>
      <c r="E10" s="50">
        <f t="shared" si="0"/>
        <v>0.39751552795031053</v>
      </c>
    </row>
    <row r="11" spans="1:5" x14ac:dyDescent="0.25">
      <c r="A11" s="16" t="s">
        <v>55</v>
      </c>
      <c r="B11" s="17" t="s">
        <v>66</v>
      </c>
      <c r="C11" s="20">
        <f>'D69 Hojancha'!C36</f>
        <v>242</v>
      </c>
      <c r="D11" s="24">
        <f>'D69 Hojancha'!D36</f>
        <v>106</v>
      </c>
      <c r="E11" s="50">
        <f t="shared" si="0"/>
        <v>0.43801652892561982</v>
      </c>
    </row>
    <row r="12" spans="1:5" ht="16.149999999999999" customHeight="1" x14ac:dyDescent="0.25">
      <c r="A12" s="16" t="s">
        <v>56</v>
      </c>
      <c r="B12" s="17" t="s">
        <v>67</v>
      </c>
      <c r="C12" s="20">
        <f>'D70 La Cruz'!C34</f>
        <v>365</v>
      </c>
      <c r="D12" s="24">
        <f>'D70 La Cruz'!D34</f>
        <v>162</v>
      </c>
      <c r="E12" s="50">
        <f t="shared" si="0"/>
        <v>0.44383561643835617</v>
      </c>
    </row>
    <row r="13" spans="1:5" x14ac:dyDescent="0.25">
      <c r="B13" s="18" t="s">
        <v>69</v>
      </c>
      <c r="C13" s="22">
        <f>SUM(C2:C12)</f>
        <v>4000</v>
      </c>
      <c r="D13" s="22">
        <f>SUM(D2:D12)</f>
        <v>1490</v>
      </c>
      <c r="E13" s="50">
        <f>D13/C13</f>
        <v>0.3725</v>
      </c>
    </row>
  </sheetData>
  <sheetProtection autoFilter="0"/>
  <mergeCells count="1">
    <mergeCell ref="A1:B1"/>
  </mergeCells>
  <phoneticPr fontId="10" type="noConversion"/>
  <conditionalFormatting sqref="C2:D2">
    <cfRule type="dataBar" priority="14">
      <dataBar>
        <cfvo type="min"/>
        <cfvo type="max"/>
        <color rgb="FF008AEF"/>
      </dataBar>
      <extLst>
        <ext xmlns:x14="http://schemas.microsoft.com/office/spreadsheetml/2009/9/main" uri="{B025F937-C7B1-47D3-B67F-A62EFF666E3E}">
          <x14:id>{DC5938E3-CECF-4813-AF3D-12EBD470D2D6}</x14:id>
        </ext>
      </extLst>
    </cfRule>
  </conditionalFormatting>
  <conditionalFormatting sqref="C3:D3">
    <cfRule type="dataBar" priority="13">
      <dataBar>
        <cfvo type="min"/>
        <cfvo type="max"/>
        <color rgb="FF008AEF"/>
      </dataBar>
      <extLst>
        <ext xmlns:x14="http://schemas.microsoft.com/office/spreadsheetml/2009/9/main" uri="{B025F937-C7B1-47D3-B67F-A62EFF666E3E}">
          <x14:id>{0C83091E-A3B8-4EC8-A9CB-309C7AD1CE49}</x14:id>
        </ext>
      </extLst>
    </cfRule>
  </conditionalFormatting>
  <conditionalFormatting sqref="C4:D4">
    <cfRule type="dataBar" priority="12">
      <dataBar>
        <cfvo type="min"/>
        <cfvo type="max"/>
        <color rgb="FF008AEF"/>
      </dataBar>
      <extLst>
        <ext xmlns:x14="http://schemas.microsoft.com/office/spreadsheetml/2009/9/main" uri="{B025F937-C7B1-47D3-B67F-A62EFF666E3E}">
          <x14:id>{9109953A-9073-4296-9350-04E68EEB018E}</x14:id>
        </ext>
      </extLst>
    </cfRule>
  </conditionalFormatting>
  <conditionalFormatting sqref="C5:D5">
    <cfRule type="dataBar" priority="11">
      <dataBar>
        <cfvo type="min"/>
        <cfvo type="max"/>
        <color rgb="FF008AEF"/>
      </dataBar>
      <extLst>
        <ext xmlns:x14="http://schemas.microsoft.com/office/spreadsheetml/2009/9/main" uri="{B025F937-C7B1-47D3-B67F-A62EFF666E3E}">
          <x14:id>{292ECC1F-0643-4B2D-AD54-499754FA28F2}</x14:id>
        </ext>
      </extLst>
    </cfRule>
  </conditionalFormatting>
  <conditionalFormatting sqref="C6:D6">
    <cfRule type="dataBar" priority="10">
      <dataBar>
        <cfvo type="min"/>
        <cfvo type="max"/>
        <color rgb="FF008AEF"/>
      </dataBar>
      <extLst>
        <ext xmlns:x14="http://schemas.microsoft.com/office/spreadsheetml/2009/9/main" uri="{B025F937-C7B1-47D3-B67F-A62EFF666E3E}">
          <x14:id>{84BA025F-475E-4616-B3E1-E36F281C08AA}</x14:id>
        </ext>
      </extLst>
    </cfRule>
  </conditionalFormatting>
  <conditionalFormatting sqref="C7:D7">
    <cfRule type="dataBar" priority="5">
      <dataBar>
        <cfvo type="min"/>
        <cfvo type="max"/>
        <color rgb="FF008AEF"/>
      </dataBar>
      <extLst>
        <ext xmlns:x14="http://schemas.microsoft.com/office/spreadsheetml/2009/9/main" uri="{B025F937-C7B1-47D3-B67F-A62EFF666E3E}">
          <x14:id>{88657B1A-C3F3-43C9-940F-F756AA5C81AC}</x14:id>
        </ext>
      </extLst>
    </cfRule>
  </conditionalFormatting>
  <conditionalFormatting sqref="C8:D8">
    <cfRule type="dataBar" priority="4">
      <dataBar>
        <cfvo type="min"/>
        <cfvo type="max"/>
        <color rgb="FF008AEF"/>
      </dataBar>
      <extLst>
        <ext xmlns:x14="http://schemas.microsoft.com/office/spreadsheetml/2009/9/main" uri="{B025F937-C7B1-47D3-B67F-A62EFF666E3E}">
          <x14:id>{541DB154-FC6B-4DCA-BB83-DCECCDE3B065}</x14:id>
        </ext>
      </extLst>
    </cfRule>
  </conditionalFormatting>
  <conditionalFormatting sqref="C9:D9">
    <cfRule type="dataBar" priority="3">
      <dataBar>
        <cfvo type="min"/>
        <cfvo type="max"/>
        <color rgb="FF008AEF"/>
      </dataBar>
      <extLst>
        <ext xmlns:x14="http://schemas.microsoft.com/office/spreadsheetml/2009/9/main" uri="{B025F937-C7B1-47D3-B67F-A62EFF666E3E}">
          <x14:id>{8B2BA43B-D35D-4DEA-90C5-0252B64CB1CB}</x14:id>
        </ext>
      </extLst>
    </cfRule>
  </conditionalFormatting>
  <conditionalFormatting sqref="C10:D10">
    <cfRule type="dataBar" priority="8">
      <dataBar>
        <cfvo type="min"/>
        <cfvo type="max"/>
        <color rgb="FF008AEF"/>
      </dataBar>
      <extLst>
        <ext xmlns:x14="http://schemas.microsoft.com/office/spreadsheetml/2009/9/main" uri="{B025F937-C7B1-47D3-B67F-A62EFF666E3E}">
          <x14:id>{84FA572E-EEBD-416A-85C0-D22A5199CFC5}</x14:id>
        </ext>
      </extLst>
    </cfRule>
  </conditionalFormatting>
  <conditionalFormatting sqref="C11:D11">
    <cfRule type="dataBar" priority="7">
      <dataBar>
        <cfvo type="min"/>
        <cfvo type="max"/>
        <color rgb="FF008AEF"/>
      </dataBar>
      <extLst>
        <ext xmlns:x14="http://schemas.microsoft.com/office/spreadsheetml/2009/9/main" uri="{B025F937-C7B1-47D3-B67F-A62EFF666E3E}">
          <x14:id>{FADE0405-BE85-47A1-9D4C-13CBBBB8F1CA}</x14:id>
        </ext>
      </extLst>
    </cfRule>
  </conditionalFormatting>
  <conditionalFormatting sqref="C12:D12">
    <cfRule type="dataBar" priority="6">
      <dataBar>
        <cfvo type="min"/>
        <cfvo type="max"/>
        <color rgb="FF008AEF"/>
      </dataBar>
      <extLst>
        <ext xmlns:x14="http://schemas.microsoft.com/office/spreadsheetml/2009/9/main" uri="{B025F937-C7B1-47D3-B67F-A62EFF666E3E}">
          <x14:id>{757E9F32-BC91-49CD-B5DA-1D0EBFEC129E}</x14:id>
        </ext>
      </extLst>
    </cfRule>
  </conditionalFormatting>
  <conditionalFormatting sqref="E2:E13">
    <cfRule type="cellIs" dxfId="1" priority="1" operator="greaterThan">
      <formula>0.2499</formula>
    </cfRule>
    <cfRule type="cellIs" dxfId="0" priority="2" operator="lessThan">
      <formula>0.24999999</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DC5938E3-CECF-4813-AF3D-12EBD470D2D6}">
            <x14:dataBar minLength="0" maxLength="100" gradient="0">
              <x14:cfvo type="autoMin"/>
              <x14:cfvo type="autoMax"/>
              <x14:negativeFillColor rgb="FFFF0000"/>
              <x14:axisColor rgb="FF000000"/>
            </x14:dataBar>
          </x14:cfRule>
          <xm:sqref>C2:D2</xm:sqref>
        </x14:conditionalFormatting>
        <x14:conditionalFormatting xmlns:xm="http://schemas.microsoft.com/office/excel/2006/main">
          <x14:cfRule type="dataBar" id="{0C83091E-A3B8-4EC8-A9CB-309C7AD1CE49}">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9109953A-9073-4296-9350-04E68EEB018E}">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292ECC1F-0643-4B2D-AD54-499754FA28F2}">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84BA025F-475E-4616-B3E1-E36F281C08AA}">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88657B1A-C3F3-43C9-940F-F756AA5C81AC}">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541DB154-FC6B-4DCA-BB83-DCECCDE3B065}">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8B2BA43B-D35D-4DEA-90C5-0252B64CB1CB}">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84FA572E-EEBD-416A-85C0-D22A5199CFC5}">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FADE0405-BE85-47A1-9D4C-13CBBBB8F1CA}">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757E9F32-BC91-49CD-B5DA-1D0EBFEC129E}">
            <x14:dataBar minLength="0" maxLength="100" gradient="0">
              <x14:cfvo type="autoMin"/>
              <x14:cfvo type="autoMax"/>
              <x14:negativeFillColor rgb="FFFF0000"/>
              <x14:axisColor rgb="FF000000"/>
            </x14:dataBar>
          </x14:cfRule>
          <xm:sqref>C12:D12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D60 Liberia</vt:lpstr>
      <vt:lpstr>D61 Nicoya</vt:lpstr>
      <vt:lpstr>D62 Santa Cruz</vt:lpstr>
      <vt:lpstr>D63 Bagaces</vt:lpstr>
      <vt:lpstr>D64 Carrillo</vt:lpstr>
      <vt:lpstr>D65 Cañas</vt:lpstr>
      <vt:lpstr>D66 Abangares</vt:lpstr>
      <vt:lpstr>D67 Tilarán</vt:lpstr>
      <vt:lpstr>D68 Nandayure</vt:lpstr>
      <vt:lpstr>D69 Hojancha</vt:lpstr>
      <vt:lpstr>D70 La Cruz</vt:lpstr>
      <vt:lpstr>Total Región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Alb Cartin</dc:creator>
  <cp:lastModifiedBy>Manuel Alberto Cartin Sequeira</cp:lastModifiedBy>
  <dcterms:created xsi:type="dcterms:W3CDTF">2025-07-06T14:24:52Z</dcterms:created>
  <dcterms:modified xsi:type="dcterms:W3CDTF">2026-06-20T00:34:55Z</dcterms:modified>
</cp:coreProperties>
</file>